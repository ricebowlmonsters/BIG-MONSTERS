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P Resto" sheetId="1" r:id="rId5"/>
    <sheet state="visible" name="BPP Dapur" sheetId="2" r:id="rId6"/>
    <sheet state="visible" name="Pembungkus" sheetId="3" r:id="rId7"/>
    <sheet state="visible" name="Rekap Harga Dapur" sheetId="4" r:id="rId8"/>
    <sheet state="visible" name="Database Resto" sheetId="5" r:id="rId9"/>
    <sheet state="visible" name="Database Dapur" sheetId="6" r:id="rId10"/>
    <sheet state="visible" name="Harga Bpp Resto" sheetId="7" r:id="rId11"/>
  </sheets>
  <definedNames>
    <definedName hidden="1" localSheetId="5" name="_xlnm._FilterDatabase">'Database Dapur'!$A$1:$E$999</definedName>
  </definedNames>
  <calcPr/>
</workbook>
</file>

<file path=xl/sharedStrings.xml><?xml version="1.0" encoding="utf-8"?>
<sst xmlns="http://schemas.openxmlformats.org/spreadsheetml/2006/main" count="5411" uniqueCount="3678">
  <si>
    <t>Nama</t>
  </si>
  <si>
    <t>Kode</t>
  </si>
  <si>
    <t>Qty</t>
  </si>
  <si>
    <t>Satuan</t>
  </si>
  <si>
    <t>Ice Campur</t>
  </si>
  <si>
    <t>BKS.30131</t>
  </si>
  <si>
    <t>Thinwall Victory</t>
  </si>
  <si>
    <t>Pcs</t>
  </si>
  <si>
    <t>BKS.30128</t>
  </si>
  <si>
    <t>Sendok Garbu</t>
  </si>
  <si>
    <t>BKS.30120</t>
  </si>
  <si>
    <t>Kresek. 20</t>
  </si>
  <si>
    <t>Mie</t>
  </si>
  <si>
    <t>BPP Per Jual</t>
  </si>
  <si>
    <t>Laba Lama</t>
  </si>
  <si>
    <r>
      <rPr>
        <rFont val="Arial"/>
        <color theme="1"/>
        <sz val="9.0"/>
      </rPr>
      <t>BKS.30135</t>
    </r>
  </si>
  <si>
    <t>Persentase Lama</t>
  </si>
  <si>
    <r>
      <rPr>
        <rFont val="Arial"/>
        <color theme="1"/>
        <sz val="9.0"/>
      </rPr>
      <t>Tutup Paper Bowl</t>
    </r>
  </si>
  <si>
    <t>Harga Jual Lama</t>
  </si>
  <si>
    <r>
      <rPr>
        <rFont val="Arial"/>
        <color theme="1"/>
        <sz val="9.0"/>
      </rPr>
      <t>BKS.30123</t>
    </r>
  </si>
  <si>
    <t>Harga Jual Baru</t>
  </si>
  <si>
    <r>
      <rPr>
        <rFont val="Arial"/>
        <color theme="1"/>
        <sz val="9.0"/>
      </rPr>
      <t>Paper Bowl</t>
    </r>
  </si>
  <si>
    <t>Laba Baru</t>
  </si>
  <si>
    <t>Persentase Baru</t>
  </si>
  <si>
    <t>Free</t>
  </si>
  <si>
    <t>FRE.001</t>
  </si>
  <si>
    <t>Ice Tea</t>
  </si>
  <si>
    <t>Porsi</t>
  </si>
  <si>
    <t>MNMN.30100</t>
  </si>
  <si>
    <t>Air Mineral</t>
  </si>
  <si>
    <t>Btl</t>
  </si>
  <si>
    <t>Laporan Hpp Dapur</t>
  </si>
  <si>
    <t>Perhitungan Bpp Resto</t>
  </si>
  <si>
    <t>Pembungus</t>
  </si>
  <si>
    <t>Harga</t>
  </si>
  <si>
    <t>QTY Jual</t>
  </si>
  <si>
    <t>Satuan Jual</t>
  </si>
  <si>
    <t>Rincian</t>
  </si>
  <si>
    <t>IceCampur</t>
  </si>
  <si>
    <t>Barang Jadi</t>
  </si>
  <si>
    <t>Kompres</t>
  </si>
  <si>
    <t>Rincian Harga</t>
  </si>
  <si>
    <t>Perhitungan Harga Lama</t>
  </si>
  <si>
    <t>Rice Bowl &amp; Mie</t>
  </si>
  <si>
    <t>Perhitungan Harga Baru</t>
  </si>
  <si>
    <t>Atur Harga</t>
  </si>
  <si>
    <t>kompres Gr</t>
  </si>
  <si>
    <t>QTY /GR</t>
  </si>
  <si>
    <t>Harga Satuan</t>
  </si>
  <si>
    <t>NAMA BARANG</t>
  </si>
  <si>
    <t>Harga /KG</t>
  </si>
  <si>
    <t>Laba</t>
  </si>
  <si>
    <t xml:space="preserve">RESEP BAHAN </t>
  </si>
  <si>
    <t>Persentase</t>
  </si>
  <si>
    <t>Saus Asam Manis</t>
  </si>
  <si>
    <t>Sauce Sambal ABC @24kg</t>
  </si>
  <si>
    <t>Gram</t>
  </si>
  <si>
    <t>Kg</t>
  </si>
  <si>
    <r>
      <rPr>
        <rFont val="Arial"/>
        <b/>
        <color rgb="FF003366"/>
        <sz val="9.0"/>
      </rPr>
      <t>Kategori Barang</t>
    </r>
  </si>
  <si>
    <r>
      <rPr>
        <rFont val="Arial"/>
        <b/>
        <color rgb="FF003366"/>
        <sz val="9.0"/>
      </rPr>
      <t>Kode Barang</t>
    </r>
  </si>
  <si>
    <r>
      <rPr>
        <rFont val="Arial"/>
        <b/>
        <color rgb="FF003366"/>
        <sz val="9.0"/>
      </rPr>
      <t>Nama Barang</t>
    </r>
  </si>
  <si>
    <r>
      <rPr>
        <rFont val="Arial"/>
        <b/>
        <color rgb="FF003366"/>
        <sz val="9.0"/>
      </rPr>
      <t>Jenis Barang</t>
    </r>
  </si>
  <si>
    <r>
      <rPr>
        <rFont val="Arial"/>
        <b/>
        <color rgb="FF003366"/>
        <sz val="9.0"/>
      </rPr>
      <t>Def. Hrg. Jual Satuan #1</t>
    </r>
  </si>
  <si>
    <r>
      <rPr>
        <rFont val="Arial"/>
        <b/>
        <color rgb="FF003366"/>
        <sz val="9.0"/>
      </rPr>
      <t>Kts (Semua Gdng)</t>
    </r>
  </si>
  <si>
    <r>
      <rPr>
        <rFont val="Arial"/>
        <b/>
        <color rgb="FF003366"/>
        <sz val="9.0"/>
      </rPr>
      <t>Nilai Satuan</t>
    </r>
  </si>
  <si>
    <r>
      <rPr>
        <rFont val="Arial"/>
        <b/>
        <color rgb="FF003366"/>
        <sz val="9.0"/>
      </rPr>
      <t>Nama Satuan</t>
    </r>
  </si>
  <si>
    <r>
      <rPr>
        <rFont val="Arial"/>
        <b/>
        <color theme="1"/>
        <sz val="9.0"/>
      </rPr>
      <t>1. PAKET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</si>
  <si>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</si>
  <si>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PKT.033</t>
    </r>
  </si>
  <si>
    <r>
      <rPr>
        <rFont val="Arial"/>
        <color theme="1"/>
        <sz val="9.0"/>
      </rPr>
      <t>1. ICE CAMPUR ES</t>
    </r>
  </si>
  <si>
    <r>
      <rPr>
        <rFont val="Arial"/>
        <color theme="1"/>
        <sz val="9.0"/>
      </rPr>
      <t>Non Persediaan</t>
    </r>
  </si>
  <si>
    <t>HARGA LAMA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</si>
  <si>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</si>
  <si>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PKT.0020</t>
    </r>
  </si>
  <si>
    <r>
      <rPr>
        <rFont val="Arial"/>
        <color theme="1"/>
        <sz val="9.0"/>
      </rPr>
      <t>CHIKEN JAVA HONEY SPC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</si>
  <si>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</si>
  <si>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</si>
  <si>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</si>
  <si>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PKT.0017</t>
    </r>
  </si>
  <si>
    <r>
      <rPr>
        <rFont val="Arial"/>
        <color theme="1"/>
        <sz val="9.0"/>
      </rPr>
      <t>CHICKEN HOT MONSTERS</t>
    </r>
  </si>
  <si>
    <r>
      <rPr>
        <rFont val="Arial"/>
        <color theme="1"/>
        <sz val="9.0"/>
      </rPr>
      <t>Non Persediaan</t>
    </r>
  </si>
  <si>
    <t>HARGA BARU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</si>
  <si>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</si>
  <si>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</si>
  <si>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PKT.0018</t>
    </r>
  </si>
  <si>
    <r>
      <rPr>
        <rFont val="Arial"/>
        <color theme="1"/>
        <sz val="9.0"/>
      </rPr>
      <t>CHICKEN SWEET SOUR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</si>
  <si>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</si>
  <si>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</si>
  <si>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</si>
  <si>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PKT.0021</t>
    </r>
  </si>
  <si>
    <r>
      <rPr>
        <rFont val="Arial"/>
        <color theme="1"/>
        <sz val="9.0"/>
      </rPr>
      <t>CHIKEN KATSU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</si>
  <si>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</si>
  <si>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</si>
  <si>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Kode Barang Grup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</si>
  <si>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</si>
  <si>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PKT.017</t>
    </r>
  </si>
  <si>
    <r>
      <rPr>
        <rFont val="Arial"/>
        <color theme="1"/>
        <sz val="9.0"/>
      </rPr>
      <t>HOT MONSTERS BEEF</t>
    </r>
  </si>
  <si>
    <r>
      <rPr>
        <rFont val="Arial"/>
        <color theme="1"/>
        <sz val="9.0"/>
      </rPr>
      <t>Non Persediaan</t>
    </r>
  </si>
  <si>
    <t>Nama Barang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</si>
  <si>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</si>
  <si>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</si>
  <si>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PKT.018</t>
    </r>
  </si>
  <si>
    <r>
      <rPr>
        <rFont val="Arial"/>
        <color theme="1"/>
        <sz val="9.0"/>
      </rPr>
      <t>MIE AYAM HOT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</si>
  <si>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</si>
  <si>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</si>
  <si>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Kode Rincian Grup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</si>
  <si>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</si>
  <si>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PKT.019</t>
    </r>
  </si>
  <si>
    <r>
      <rPr>
        <rFont val="Arial"/>
        <color theme="1"/>
        <sz val="9.0"/>
      </rPr>
      <t>MIE AYAM JAMUR</t>
    </r>
  </si>
  <si>
    <r>
      <rPr>
        <rFont val="Arial"/>
        <color theme="1"/>
        <sz val="9.0"/>
      </rPr>
      <t>Non Persediaan</t>
    </r>
  </si>
  <si>
    <t>KTS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</si>
  <si>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</si>
  <si>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</si>
  <si>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PKT.020</t>
    </r>
  </si>
  <si>
    <r>
      <rPr>
        <rFont val="Arial"/>
        <color theme="1"/>
        <sz val="9.0"/>
      </rPr>
      <t>MIE AYAM KATSU</t>
    </r>
  </si>
  <si>
    <t>SHS</t>
  </si>
  <si>
    <r>
      <rPr>
        <rFont val="Arial"/>
        <color theme="1"/>
        <sz val="9.0"/>
      </rPr>
      <t>Non Persediaan</t>
    </r>
  </si>
  <si>
    <t>Harga Per Kg</t>
  </si>
  <si>
    <r>
      <rPr>
        <rFont val="Arial"/>
        <color theme="1"/>
        <sz val="9.0"/>
      </rPr>
      <t>Porsi</t>
    </r>
  </si>
  <si>
    <t>Total BPP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</si>
  <si>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</si>
  <si>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PKT.021</t>
    </r>
  </si>
  <si>
    <r>
      <rPr>
        <rFont val="Arial"/>
        <color theme="1"/>
        <sz val="9.0"/>
      </rPr>
      <t>MIE AYAM MONSTERS</t>
    </r>
  </si>
  <si>
    <r>
      <rPr>
        <rFont val="Arial"/>
        <color theme="1"/>
        <sz val="9.0"/>
      </rPr>
      <t>Non Persediaan</t>
    </r>
  </si>
  <si>
    <t>% Bpp</t>
  </si>
  <si>
    <r>
      <rPr>
        <rFont val="Arial"/>
        <color theme="1"/>
        <sz val="9.0"/>
      </rPr>
      <t>Porsi</t>
    </r>
  </si>
  <si>
    <t>KEUNTUNGAN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</si>
  <si>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</si>
  <si>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PKT.030</t>
    </r>
  </si>
  <si>
    <r>
      <rPr>
        <rFont val="Arial"/>
        <color theme="1"/>
        <sz val="9.0"/>
      </rPr>
      <t>MIE SAPI MONSTERS</t>
    </r>
  </si>
  <si>
    <r>
      <rPr>
        <rFont val="Arial"/>
        <color theme="1"/>
        <sz val="9.0"/>
      </rPr>
      <t>Non Persediaan</t>
    </r>
  </si>
  <si>
    <t>% keuntungan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</si>
  <si>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</si>
  <si>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</si>
  <si>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PKT.018 NEW</t>
    </r>
  </si>
  <si>
    <r>
      <rPr>
        <rFont val="Arial"/>
        <color theme="1"/>
        <sz val="9.0"/>
      </rPr>
      <t>MIE AYAM HOT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</si>
  <si>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</si>
  <si>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</si>
  <si>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t>Profit</t>
  </si>
  <si>
    <r>
      <rPr>
        <rFont val="Arial"/>
        <color theme="1"/>
        <sz val="9.0"/>
      </rPr>
      <t>1. PAKET</t>
    </r>
  </si>
  <si>
    <t>% Profit</t>
  </si>
  <si>
    <r>
      <rPr>
        <rFont val="Arial"/>
        <color theme="1"/>
        <sz val="9.0"/>
      </rPr>
      <t>PKT.0022</t>
    </r>
  </si>
  <si>
    <r>
      <rPr>
        <rFont val="Arial"/>
        <color theme="1"/>
        <sz val="9.0"/>
      </rPr>
      <t>HONEY SAUCE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</si>
  <si>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</si>
  <si>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</si>
  <si>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ES CAMPUR MONSTERS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</si>
  <si>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</si>
  <si>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PKT.005</t>
    </r>
  </si>
  <si>
    <r>
      <rPr>
        <rFont val="Arial"/>
        <color theme="1"/>
        <sz val="9.0"/>
      </rPr>
      <t>.PAKET 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</si>
  <si>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</si>
  <si>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</si>
  <si>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</si>
  <si>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PKT.016</t>
    </r>
  </si>
  <si>
    <r>
      <rPr>
        <rFont val="Arial"/>
        <color theme="1"/>
        <sz val="9.0"/>
      </rPr>
      <t>.PAKET 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</si>
  <si>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</si>
  <si>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</si>
  <si>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</si>
  <si>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PKT.032</t>
    </r>
  </si>
  <si>
    <r>
      <rPr>
        <rFont val="Arial"/>
        <color theme="1"/>
        <sz val="9.0"/>
      </rPr>
      <t>SPECIAL MONSTER BEEF</t>
    </r>
  </si>
  <si>
    <t>CPR.0001 NEW</t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</si>
  <si>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</si>
  <si>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</si>
  <si>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ICE CAMPUR1 PORSI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</si>
  <si>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</si>
  <si>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PKT.031</t>
    </r>
  </si>
  <si>
    <r>
      <rPr>
        <rFont val="Arial"/>
        <color theme="1"/>
        <sz val="9.0"/>
      </rPr>
      <t>SMOKED PAPPER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</si>
  <si>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</si>
  <si>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</si>
  <si>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</si>
  <si>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PKT.035</t>
    </r>
  </si>
  <si>
    <r>
      <rPr>
        <rFont val="Arial"/>
        <color theme="1"/>
        <sz val="9.0"/>
      </rPr>
      <t>.PAKET 2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</si>
  <si>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</si>
  <si>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</si>
  <si>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</si>
  <si>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PKT.002</t>
    </r>
  </si>
  <si>
    <r>
      <rPr>
        <rFont val="Arial"/>
        <color theme="1"/>
        <sz val="9.0"/>
      </rPr>
      <t>.PAKET B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</si>
  <si>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</si>
  <si>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</si>
  <si>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</si>
  <si>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PKT.038</t>
    </r>
  </si>
  <si>
    <r>
      <rPr>
        <rFont val="Arial"/>
        <color theme="1"/>
        <sz val="9.0"/>
      </rPr>
      <t>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</si>
  <si>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</si>
  <si>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</si>
  <si>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</si>
  <si>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PKT.036</t>
    </r>
  </si>
  <si>
    <r>
      <rPr>
        <rFont val="Arial"/>
        <color theme="1"/>
        <sz val="9.0"/>
      </rPr>
      <t>.PAKET 3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</si>
  <si>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</si>
  <si>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</si>
  <si>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</si>
  <si>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PKT.001</t>
    </r>
  </si>
  <si>
    <r>
      <rPr>
        <rFont val="Arial"/>
        <color theme="1"/>
        <sz val="9.0"/>
      </rPr>
      <t>.PAKET 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</si>
  <si>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</si>
  <si>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</si>
  <si>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</si>
  <si>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PKT.0019</t>
    </r>
  </si>
  <si>
    <r>
      <rPr>
        <rFont val="Arial"/>
        <color theme="1"/>
        <sz val="9.0"/>
      </rPr>
      <t>CHICKEN TERIYAKI</t>
    </r>
  </si>
  <si>
    <t>MNMN.30102</t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</si>
  <si>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</si>
  <si>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</si>
  <si>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Buah Naga</t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</si>
  <si>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</si>
  <si>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PKT.037</t>
    </r>
  </si>
  <si>
    <r>
      <rPr>
        <rFont val="Arial"/>
        <color theme="1"/>
        <sz val="9.0"/>
      </rPr>
      <t>FREE 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</si>
  <si>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</si>
  <si>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</si>
  <si>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</si>
  <si>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PKT.039</t>
    </r>
  </si>
  <si>
    <r>
      <rPr>
        <rFont val="Arial"/>
        <color theme="1"/>
        <sz val="9.0"/>
      </rPr>
      <t>Gorengan Mix 6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</si>
  <si>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</si>
  <si>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</si>
  <si>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</si>
  <si>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PKT.003</t>
    </r>
  </si>
  <si>
    <r>
      <rPr>
        <rFont val="Arial"/>
        <color theme="1"/>
        <sz val="9.0"/>
      </rPr>
      <t>.PAKET C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</si>
  <si>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</si>
  <si>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</si>
  <si>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</si>
  <si>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PKT.0040</t>
    </r>
  </si>
  <si>
    <r>
      <rPr>
        <rFont val="Arial"/>
        <color theme="1"/>
        <sz val="9.0"/>
      </rPr>
      <t>MIE KUAH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</si>
  <si>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</si>
  <si>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</si>
  <si>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</si>
  <si>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PKT.034</t>
    </r>
  </si>
  <si>
    <r>
      <rPr>
        <rFont val="Arial"/>
        <color theme="1"/>
        <sz val="9.0"/>
      </rPr>
      <t>.PAKET 1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</si>
  <si>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</si>
  <si>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</si>
  <si>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1. PAKET</t>
    </r>
  </si>
  <si>
    <r>
      <rPr>
        <rFont val="Arial"/>
        <color theme="1"/>
        <sz val="9.0"/>
      </rPr>
      <t>PKT.004</t>
    </r>
  </si>
  <si>
    <r>
      <rPr>
        <rFont val="Arial"/>
        <color theme="1"/>
        <sz val="9.0"/>
      </rPr>
      <t>.PAKET D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</si>
  <si>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</si>
  <si>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</si>
  <si>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10.FROZEN FOOD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</si>
  <si>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</si>
  <si>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FRF.007</t>
    </r>
  </si>
  <si>
    <r>
      <rPr>
        <rFont val="Arial"/>
        <color theme="1"/>
        <sz val="9.0"/>
      </rPr>
      <t>CHICKEN CAKE ROLL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</si>
  <si>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</si>
  <si>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</si>
  <si>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</si>
  <si>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FRF.001</t>
    </r>
  </si>
  <si>
    <r>
      <rPr>
        <rFont val="Arial"/>
        <color theme="1"/>
        <sz val="9.0"/>
      </rPr>
      <t>IKAN OLAHAN BENTUK TAHU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</si>
  <si>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</si>
  <si>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</si>
  <si>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</si>
  <si>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FRF.002</t>
    </r>
  </si>
  <si>
    <r>
      <rPr>
        <rFont val="Arial"/>
        <color theme="1"/>
        <sz val="9.0"/>
      </rPr>
      <t>OTAK OTAK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</si>
  <si>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</si>
  <si>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</si>
  <si>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</si>
  <si>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FRF.003</t>
    </r>
  </si>
  <si>
    <r>
      <rPr>
        <rFont val="Arial"/>
        <color theme="1"/>
        <sz val="9.0"/>
      </rPr>
      <t>BAKSO IKAN BANDENG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</si>
  <si>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</si>
  <si>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</si>
  <si>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</si>
  <si>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FRF.004</t>
    </r>
  </si>
  <si>
    <r>
      <rPr>
        <rFont val="Arial"/>
        <color theme="1"/>
        <sz val="9.0"/>
      </rPr>
      <t>IKAN OLAHHAN BENTUK KOTAK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</si>
  <si>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</si>
  <si>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</si>
  <si>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</si>
  <si>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FRF.005</t>
    </r>
  </si>
  <si>
    <r>
      <rPr>
        <rFont val="Arial"/>
        <color theme="1"/>
        <sz val="9.0"/>
      </rPr>
      <t>IKAN OLAHAN BENTUK SCALLOP</t>
    </r>
  </si>
  <si>
    <r>
      <rPr>
        <rFont val="Arial"/>
        <color theme="1"/>
        <sz val="9.0"/>
      </rPr>
      <t>Non Persediaan</t>
    </r>
  </si>
  <si>
    <t>Gula Pasir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</si>
  <si>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</si>
  <si>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</si>
  <si>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FRF.006</t>
    </r>
  </si>
  <si>
    <r>
      <rPr>
        <rFont val="Arial"/>
        <color theme="1"/>
        <sz val="9.0"/>
      </rPr>
      <t>BAKSO IKAN ISI AYAM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</si>
  <si>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</si>
  <si>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</si>
  <si>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10.FROZEN FOOD</t>
    </r>
  </si>
  <si>
    <r>
      <rPr>
        <rFont val="Arial"/>
        <color theme="1"/>
        <sz val="9.0"/>
      </rPr>
      <t>FRF.008</t>
    </r>
  </si>
  <si>
    <r>
      <rPr>
        <rFont val="Arial"/>
        <color theme="1"/>
        <sz val="9.0"/>
      </rPr>
      <t>BAKSO IKAN BENTUK BINTANG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</si>
  <si>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</si>
  <si>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</si>
  <si>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2. RICE BOWL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</si>
  <si>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</si>
  <si>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REB.013</t>
    </r>
  </si>
  <si>
    <r>
      <rPr>
        <rFont val="Arial"/>
        <color theme="1"/>
        <sz val="9.0"/>
      </rPr>
      <t>FREE 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</si>
  <si>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</si>
  <si>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</si>
  <si>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</si>
  <si>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REB.014</t>
    </r>
  </si>
  <si>
    <r>
      <rPr>
        <rFont val="Arial"/>
        <color theme="1"/>
        <sz val="9.0"/>
      </rPr>
      <t>FREE MINERAL WATER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</si>
  <si>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</si>
  <si>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</si>
  <si>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</si>
  <si>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REB.015</t>
    </r>
  </si>
  <si>
    <r>
      <rPr>
        <rFont val="Arial"/>
        <color theme="1"/>
        <sz val="9.0"/>
      </rPr>
      <t>FREE ICE CHOCOLATE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</si>
  <si>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</si>
  <si>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</si>
  <si>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</si>
  <si>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REB.001</t>
    </r>
  </si>
  <si>
    <r>
      <rPr>
        <rFont val="Arial"/>
        <color theme="1"/>
        <sz val="9.0"/>
      </rPr>
      <t>SPECIAL MONSTER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</si>
  <si>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</si>
  <si>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</si>
  <si>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</si>
  <si>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REB.008</t>
    </r>
  </si>
  <si>
    <r>
      <rPr>
        <rFont val="Arial"/>
        <color theme="1"/>
        <sz val="9.0"/>
      </rPr>
      <t>CHIKEN KATSU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</si>
  <si>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</si>
  <si>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</si>
  <si>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</si>
  <si>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REB.016</t>
    </r>
  </si>
  <si>
    <r>
      <rPr>
        <rFont val="Arial"/>
        <color theme="1"/>
        <sz val="9.0"/>
      </rPr>
      <t>FREE ICE CAMPUR 1 P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</si>
  <si>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</si>
  <si>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</si>
  <si>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</si>
  <si>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REB.010</t>
    </r>
  </si>
  <si>
    <r>
      <rPr>
        <rFont val="Arial"/>
        <color theme="1"/>
        <sz val="9.0"/>
      </rPr>
      <t>TAMBAH TELUR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</si>
  <si>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</si>
  <si>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</si>
  <si>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</si>
  <si>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REB.009</t>
    </r>
  </si>
  <si>
    <r>
      <rPr>
        <rFont val="Arial"/>
        <color theme="1"/>
        <sz val="9.0"/>
      </rPr>
      <t>TAMBAH NASIH PUTIH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</si>
  <si>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</si>
  <si>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</si>
  <si>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</si>
  <si>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REB.012</t>
    </r>
  </si>
  <si>
    <r>
      <rPr>
        <rFont val="Arial"/>
        <color theme="1"/>
        <sz val="9.0"/>
      </rPr>
      <t>HOT MONSTERS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</si>
  <si>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</si>
  <si>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</si>
  <si>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</si>
  <si>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REB.017</t>
    </r>
  </si>
  <si>
    <r>
      <rPr>
        <rFont val="Arial"/>
        <color theme="1"/>
        <sz val="9.0"/>
      </rPr>
      <t>FREE ICE TEA SUSU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</si>
  <si>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</si>
  <si>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</si>
  <si>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</si>
  <si>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REB.002</t>
    </r>
  </si>
  <si>
    <r>
      <rPr>
        <rFont val="Arial"/>
        <color theme="1"/>
        <sz val="9.0"/>
      </rPr>
      <t>SMOKED PAPPER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</si>
  <si>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</si>
  <si>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</si>
  <si>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</si>
  <si>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100036</t>
    </r>
  </si>
  <si>
    <r>
      <rPr>
        <rFont val="Arial"/>
        <color theme="1"/>
        <sz val="9.0"/>
      </rPr>
      <t>CHIKEN STEAK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</si>
  <si>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</si>
  <si>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</si>
  <si>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REB.004</t>
    </r>
  </si>
  <si>
    <r>
      <rPr>
        <rFont val="Arial"/>
        <color theme="1"/>
        <sz val="9.0"/>
      </rPr>
      <t>CHICKEN TERIYAKI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</si>
  <si>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</si>
  <si>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</si>
  <si>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</si>
  <si>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REB.003</t>
    </r>
  </si>
  <si>
    <r>
      <rPr>
        <rFont val="Arial"/>
        <color theme="1"/>
        <sz val="9.0"/>
      </rPr>
      <t>HONEY SAUCE BEEF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</si>
  <si>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</si>
  <si>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</si>
  <si>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</si>
  <si>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REB.005</t>
    </r>
  </si>
  <si>
    <r>
      <rPr>
        <rFont val="Arial"/>
        <color theme="1"/>
        <sz val="9.0"/>
      </rPr>
      <t>CHICKEN SWEET SOUR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</si>
  <si>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</si>
  <si>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</si>
  <si>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</si>
  <si>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REB.011</t>
    </r>
  </si>
  <si>
    <r>
      <rPr>
        <rFont val="Arial"/>
        <color theme="1"/>
        <sz val="9.0"/>
      </rPr>
      <t>CHICKEN HOT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</si>
  <si>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</si>
  <si>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</si>
  <si>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</si>
  <si>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REB.006</t>
    </r>
  </si>
  <si>
    <r>
      <rPr>
        <rFont val="Arial"/>
        <color theme="1"/>
        <sz val="9.0"/>
      </rPr>
      <t>CHIKEN JAVA HONEY SPC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</si>
  <si>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</si>
  <si>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</si>
  <si>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2. RICE BOWL</t>
    </r>
  </si>
  <si>
    <r>
      <rPr>
        <rFont val="Arial"/>
        <color theme="1"/>
        <sz val="9.0"/>
      </rPr>
      <t>REB.020</t>
    </r>
  </si>
  <si>
    <r>
      <rPr>
        <rFont val="Arial"/>
        <color theme="1"/>
        <sz val="9.0"/>
      </rPr>
      <t>AYAM KATSU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</si>
  <si>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</si>
  <si>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</si>
  <si>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3. MIE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</si>
  <si>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</si>
  <si>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MIE.013</t>
    </r>
  </si>
  <si>
    <r>
      <rPr>
        <rFont val="Arial"/>
        <color theme="1"/>
        <sz val="9.0"/>
      </rPr>
      <t>FREE 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</si>
  <si>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</si>
  <si>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</si>
  <si>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</si>
  <si>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MIE.016</t>
    </r>
  </si>
  <si>
    <r>
      <rPr>
        <rFont val="Arial"/>
        <color theme="1"/>
        <sz val="9.0"/>
      </rPr>
      <t>FREE ICE CAMPUR 1 P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</si>
  <si>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</si>
  <si>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</si>
  <si>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</si>
  <si>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REB.018</t>
    </r>
  </si>
  <si>
    <r>
      <rPr>
        <rFont val="Arial"/>
        <color theme="1"/>
        <sz val="9.0"/>
      </rPr>
      <t>FREE ICE TEA SUSU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</si>
  <si>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</si>
  <si>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</si>
  <si>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</si>
  <si>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MIE.015</t>
    </r>
  </si>
  <si>
    <r>
      <rPr>
        <rFont val="Arial"/>
        <color theme="1"/>
        <sz val="9.0"/>
      </rPr>
      <t>FREE ICE CHOCOLATE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</si>
  <si>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</si>
  <si>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</si>
  <si>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</si>
  <si>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MIE.014</t>
    </r>
  </si>
  <si>
    <r>
      <rPr>
        <rFont val="Arial"/>
        <color theme="1"/>
        <sz val="9.0"/>
      </rPr>
      <t>FREE MINERAL WATER</t>
    </r>
  </si>
  <si>
    <t>Garam</t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</si>
  <si>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</si>
  <si>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</si>
  <si>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</si>
  <si>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MIE.003</t>
    </r>
  </si>
  <si>
    <r>
      <rPr>
        <rFont val="Arial"/>
        <color theme="1"/>
        <sz val="9.0"/>
      </rPr>
      <t>MIE AYAM KATSU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</si>
  <si>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</si>
  <si>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</si>
  <si>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</si>
  <si>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MIE.004</t>
    </r>
  </si>
  <si>
    <r>
      <rPr>
        <rFont val="Arial"/>
        <color theme="1"/>
        <sz val="9.0"/>
      </rPr>
      <t>MIE SAPI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</si>
  <si>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</si>
  <si>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</si>
  <si>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</si>
  <si>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100021</t>
    </r>
  </si>
  <si>
    <r>
      <rPr>
        <rFont val="Arial"/>
        <color theme="1"/>
        <sz val="9.0"/>
      </rPr>
      <t>MIE GORENG ( HOT)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</si>
  <si>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</si>
  <si>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</si>
  <si>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</si>
  <si>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MIE.001</t>
    </r>
  </si>
  <si>
    <r>
      <rPr>
        <rFont val="Arial"/>
        <color theme="1"/>
        <sz val="9.0"/>
      </rPr>
      <t>MIE AYAM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</si>
  <si>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</si>
  <si>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</si>
  <si>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</si>
  <si>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MIE.005</t>
    </r>
  </si>
  <si>
    <r>
      <rPr>
        <rFont val="Arial"/>
        <color theme="1"/>
        <sz val="9.0"/>
      </rPr>
      <t>MIE POLOS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</si>
  <si>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</si>
  <si>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</si>
  <si>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</si>
  <si>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MIE.008</t>
    </r>
  </si>
  <si>
    <r>
      <rPr>
        <rFont val="Arial"/>
        <color theme="1"/>
        <sz val="9.0"/>
      </rPr>
      <t>MIE GORENG (JAMUR)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</si>
  <si>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</si>
  <si>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</si>
  <si>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</si>
  <si>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MIE.009</t>
    </r>
  </si>
  <si>
    <r>
      <rPr>
        <rFont val="Arial"/>
        <color theme="1"/>
        <sz val="9.0"/>
      </rPr>
      <t>MIE GORENG (KATSU)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</si>
  <si>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</si>
  <si>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</si>
  <si>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</si>
  <si>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MIE.011</t>
    </r>
  </si>
  <si>
    <r>
      <rPr>
        <rFont val="Arial"/>
        <color theme="1"/>
        <sz val="9.0"/>
      </rPr>
      <t>MIE GORENG (POLOS)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</si>
  <si>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</si>
  <si>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</si>
  <si>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</si>
  <si>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MIE.006</t>
    </r>
  </si>
  <si>
    <r>
      <rPr>
        <rFont val="Arial"/>
        <color theme="1"/>
        <sz val="9.0"/>
      </rPr>
      <t>MIE KUAH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</si>
  <si>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</si>
  <si>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</si>
  <si>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</si>
  <si>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MIE.010</t>
    </r>
  </si>
  <si>
    <r>
      <rPr>
        <rFont val="Arial"/>
        <color theme="1"/>
        <sz val="9.0"/>
      </rPr>
      <t>MIE GORENG (SAPI)</t>
    </r>
  </si>
  <si>
    <r>
      <rPr>
        <rFont val="Arial"/>
        <color theme="1"/>
        <sz val="9.0"/>
      </rPr>
      <t>Non Persediaan</t>
    </r>
  </si>
  <si>
    <t>MNMN.30109</t>
  </si>
  <si>
    <r>
      <rPr>
        <rFont val="Arial"/>
        <color theme="1"/>
        <sz val="9.0"/>
      </rPr>
      <t>Porsi</t>
    </r>
  </si>
  <si>
    <t>Gula Es Campur</t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</si>
  <si>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</si>
  <si>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MIE.007</t>
    </r>
  </si>
  <si>
    <r>
      <rPr>
        <rFont val="Arial"/>
        <color theme="1"/>
        <sz val="9.0"/>
      </rPr>
      <t>MIE GORENG (AYAM)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</si>
  <si>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</si>
  <si>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</si>
  <si>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</si>
  <si>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MIE.012</t>
    </r>
  </si>
  <si>
    <r>
      <rPr>
        <rFont val="Arial"/>
        <color theme="1"/>
        <sz val="9.0"/>
      </rPr>
      <t>MIE GORENG (HOT)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</si>
  <si>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</si>
  <si>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</si>
  <si>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</si>
  <si>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MIE.017</t>
    </r>
  </si>
  <si>
    <r>
      <rPr>
        <rFont val="Arial"/>
        <color theme="1"/>
        <sz val="9.0"/>
      </rPr>
      <t>FREE ICE TEA SUSU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</si>
  <si>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</si>
  <si>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</si>
  <si>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</si>
  <si>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MIE.002</t>
    </r>
  </si>
  <si>
    <r>
      <rPr>
        <rFont val="Arial"/>
        <color theme="1"/>
        <sz val="9.0"/>
      </rPr>
      <t>MIE AYAM JAMUR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</si>
  <si>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</si>
  <si>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</si>
  <si>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3. MIE</t>
    </r>
  </si>
  <si>
    <r>
      <rPr>
        <rFont val="Arial"/>
        <color theme="1"/>
        <sz val="9.0"/>
      </rPr>
      <t>020</t>
    </r>
  </si>
  <si>
    <r>
      <rPr>
        <rFont val="Arial"/>
        <color theme="1"/>
        <sz val="9.0"/>
      </rPr>
      <t>MIE HOT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</si>
  <si>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</si>
  <si>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</si>
  <si>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4. MINUMAN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</si>
  <si>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</si>
  <si>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ICE.001</t>
    </r>
  </si>
  <si>
    <r>
      <rPr>
        <rFont val="Arial"/>
        <color theme="1"/>
        <sz val="9.0"/>
      </rPr>
      <t>ICE CHOCOLATE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</si>
  <si>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</si>
  <si>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</si>
  <si>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</si>
  <si>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ICE.003</t>
    </r>
  </si>
  <si>
    <r>
      <rPr>
        <rFont val="Arial"/>
        <color theme="1"/>
        <sz val="9.0"/>
      </rPr>
      <t>ICE TEA SUSU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</si>
  <si>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</si>
  <si>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</si>
  <si>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</si>
  <si>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ICE.013</t>
    </r>
  </si>
  <si>
    <r>
      <rPr>
        <rFont val="Arial"/>
        <color theme="1"/>
        <sz val="9.0"/>
      </rPr>
      <t>MATCHA MILK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</si>
  <si>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</si>
  <si>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</si>
  <si>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</si>
  <si>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ICE.006</t>
    </r>
  </si>
  <si>
    <r>
      <rPr>
        <rFont val="Arial"/>
        <color theme="1"/>
        <sz val="9.0"/>
      </rPr>
      <t>MINERAL WATER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</si>
  <si>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</si>
  <si>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</si>
  <si>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</si>
  <si>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ICE.011</t>
    </r>
  </si>
  <si>
    <r>
      <rPr>
        <rFont val="Arial"/>
        <color theme="1"/>
        <sz val="9.0"/>
      </rPr>
      <t>DRAK BLUE SEA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</si>
  <si>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</si>
  <si>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</si>
  <si>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</si>
  <si>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ICE.009</t>
    </r>
  </si>
  <si>
    <r>
      <rPr>
        <rFont val="Arial"/>
        <color theme="1"/>
        <sz val="9.0"/>
      </rPr>
      <t>LEMON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</si>
  <si>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</si>
  <si>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</si>
  <si>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</si>
  <si>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ICE.007</t>
    </r>
  </si>
  <si>
    <r>
      <rPr>
        <rFont val="Arial"/>
        <color theme="1"/>
        <sz val="9.0"/>
      </rPr>
      <t>ORANGE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</si>
  <si>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</si>
  <si>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</si>
  <si>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Cuka Dixi @650ml</t>
  </si>
  <si>
    <t>MNMN.30112</t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</si>
  <si>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</si>
  <si>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ICE.004</t>
    </r>
  </si>
  <si>
    <t>K. Hijau</t>
  </si>
  <si>
    <r>
      <rPr>
        <rFont val="Arial"/>
        <color theme="1"/>
        <sz val="9.0"/>
      </rPr>
      <t>LECI SQUASH</t>
    </r>
  </si>
  <si>
    <r>
      <rPr>
        <rFont val="Arial"/>
        <color theme="1"/>
        <sz val="9.0"/>
      </rPr>
      <t>Non Persediaan</t>
    </r>
  </si>
  <si>
    <t>Botol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</si>
  <si>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</si>
  <si>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</si>
  <si>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ICE.005</t>
    </r>
  </si>
  <si>
    <r>
      <rPr>
        <rFont val="Arial"/>
        <color theme="1"/>
        <sz val="9.0"/>
      </rPr>
      <t>MARKISA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</si>
  <si>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</si>
  <si>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</si>
  <si>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</si>
  <si>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ICE.008</t>
    </r>
  </si>
  <si>
    <r>
      <rPr>
        <rFont val="Arial"/>
        <color theme="1"/>
        <sz val="9.0"/>
      </rPr>
      <t>STRABERRY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</si>
  <si>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</si>
  <si>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</si>
  <si>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</si>
  <si>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ICE.017</t>
    </r>
  </si>
  <si>
    <r>
      <rPr>
        <rFont val="Arial"/>
        <color theme="1"/>
        <sz val="9.0"/>
      </rPr>
      <t>WATERMELOM MILK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</si>
  <si>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</si>
  <si>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</si>
  <si>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</si>
  <si>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ICE.010</t>
    </r>
  </si>
  <si>
    <r>
      <rPr>
        <rFont val="Arial"/>
        <color theme="1"/>
        <sz val="9.0"/>
      </rPr>
      <t>BLUE OCEAN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</si>
  <si>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</si>
  <si>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</si>
  <si>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</si>
  <si>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ICE.016</t>
    </r>
  </si>
  <si>
    <r>
      <rPr>
        <rFont val="Arial"/>
        <color theme="1"/>
        <sz val="9.0"/>
      </rPr>
      <t>MELON SILKY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</si>
  <si>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</si>
  <si>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</si>
  <si>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</si>
  <si>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ICE.018</t>
    </r>
  </si>
  <si>
    <r>
      <rPr>
        <rFont val="Arial"/>
        <color theme="1"/>
        <sz val="9.0"/>
      </rPr>
      <t>DRAGON CREAMY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</si>
  <si>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</si>
  <si>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</si>
  <si>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</si>
  <si>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ICE.002</t>
    </r>
  </si>
  <si>
    <r>
      <rPr>
        <rFont val="Arial"/>
        <color theme="1"/>
        <sz val="9.0"/>
      </rPr>
      <t>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</si>
  <si>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</si>
  <si>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</si>
  <si>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</si>
  <si>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ICE.021</t>
    </r>
  </si>
  <si>
    <r>
      <rPr>
        <rFont val="Arial"/>
        <color theme="1"/>
        <sz val="9.0"/>
      </rPr>
      <t>MINERAL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</si>
  <si>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</si>
  <si>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</si>
  <si>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MNMN.30113</t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</si>
  <si>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</si>
  <si>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ICE.015</t>
    </r>
  </si>
  <si>
    <t>K. Merah</t>
  </si>
  <si>
    <r>
      <rPr>
        <rFont val="Arial"/>
        <color theme="1"/>
        <sz val="9.0"/>
      </rPr>
      <t>COOKIES &amp; CREAM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</si>
  <si>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</si>
  <si>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</si>
  <si>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</si>
  <si>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ICE.023</t>
    </r>
  </si>
  <si>
    <r>
      <rPr>
        <rFont val="Arial"/>
        <color theme="1"/>
        <sz val="9.0"/>
      </rPr>
      <t>MATCHA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</si>
  <si>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</si>
  <si>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</si>
  <si>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</si>
  <si>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ICE.024</t>
    </r>
  </si>
  <si>
    <r>
      <rPr>
        <rFont val="Arial"/>
        <color theme="1"/>
        <sz val="9.0"/>
      </rPr>
      <t>RED VELVET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</si>
  <si>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</si>
  <si>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</si>
  <si>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</si>
  <si>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ICE.025</t>
    </r>
  </si>
  <si>
    <r>
      <rPr>
        <rFont val="Arial"/>
        <color theme="1"/>
        <sz val="9.0"/>
      </rPr>
      <t>TARO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</si>
  <si>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</si>
  <si>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</si>
  <si>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</si>
  <si>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ICE.014</t>
    </r>
  </si>
  <si>
    <r>
      <rPr>
        <rFont val="Arial"/>
        <color theme="1"/>
        <sz val="9.0"/>
      </rPr>
      <t>BUTTERSCOUTH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</si>
  <si>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</si>
  <si>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</si>
  <si>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4. MINUMAN</t>
    </r>
  </si>
  <si>
    <r>
      <rPr>
        <rFont val="Arial"/>
        <color theme="1"/>
        <sz val="9.0"/>
      </rPr>
      <t>ICE.019</t>
    </r>
  </si>
  <si>
    <r>
      <rPr>
        <rFont val="Arial"/>
        <color theme="1"/>
        <sz val="9.0"/>
      </rPr>
      <t>BUTTERSCOTCH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</si>
  <si>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</si>
  <si>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</si>
  <si>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5. GORENGAN</t>
    </r>
  </si>
  <si>
    <t>MNMN.30115</t>
  </si>
  <si>
    <t>Melon</t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</si>
  <si>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</si>
  <si>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GRN.007</t>
    </r>
  </si>
  <si>
    <r>
      <rPr>
        <rFont val="Arial"/>
        <color theme="1"/>
        <sz val="9.0"/>
      </rPr>
      <t>AYAM GULUNG*  3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</si>
  <si>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</si>
  <si>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</si>
  <si>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</si>
  <si>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GRN.013</t>
    </r>
  </si>
  <si>
    <r>
      <rPr>
        <rFont val="Arial"/>
        <color theme="1"/>
        <sz val="9.0"/>
      </rPr>
      <t>AYAM GULUNG* 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</si>
  <si>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</si>
  <si>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</si>
  <si>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</si>
  <si>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GRN.008</t>
    </r>
  </si>
  <si>
    <r>
      <rPr>
        <rFont val="Arial"/>
        <color theme="1"/>
        <sz val="9.0"/>
      </rPr>
      <t>BAKSO ISI AYAM* 3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</si>
  <si>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</si>
  <si>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</si>
  <si>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</si>
  <si>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GRN.014</t>
    </r>
  </si>
  <si>
    <r>
      <rPr>
        <rFont val="Arial"/>
        <color theme="1"/>
        <sz val="9.0"/>
      </rPr>
      <t>BAKSO ISI AYAM*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</si>
  <si>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</si>
  <si>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</si>
  <si>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</si>
  <si>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GRN.020</t>
    </r>
  </si>
  <si>
    <r>
      <rPr>
        <rFont val="Arial"/>
        <color theme="1"/>
        <sz val="9.0"/>
      </rPr>
      <t>Gorengan Mix 6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</si>
  <si>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</si>
  <si>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</si>
  <si>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</si>
  <si>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GRN.012</t>
    </r>
  </si>
  <si>
    <r>
      <rPr>
        <rFont val="Arial"/>
        <color theme="1"/>
        <sz val="9.0"/>
      </rPr>
      <t>IKAN OLAHAN BINTANG* 3 Pcs</t>
    </r>
  </si>
  <si>
    <t>Plum Sauce @7ltr</t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</si>
  <si>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</si>
  <si>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</si>
  <si>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t>Pack</t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</si>
  <si>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</si>
  <si>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GRN.018</t>
    </r>
  </si>
  <si>
    <r>
      <rPr>
        <rFont val="Arial"/>
        <color theme="1"/>
        <sz val="9.0"/>
      </rPr>
      <t>IKAN OLAHAN BINTANG*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</si>
  <si>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</si>
  <si>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</si>
  <si>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</si>
  <si>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GRN.011</t>
    </r>
  </si>
  <si>
    <r>
      <rPr>
        <rFont val="Arial"/>
        <color theme="1"/>
        <sz val="9.0"/>
      </rPr>
      <t>TOFU* 3 Pcs</t>
    </r>
  </si>
  <si>
    <r>
      <rPr>
        <rFont val="Arial"/>
        <color theme="1"/>
        <sz val="9.0"/>
      </rPr>
      <t>Non Persediaan</t>
    </r>
  </si>
  <si>
    <t>MNMN.30120</t>
  </si>
  <si>
    <t>Semangka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</si>
  <si>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</si>
  <si>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</si>
  <si>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GRN.019</t>
    </r>
  </si>
  <si>
    <r>
      <rPr>
        <rFont val="Arial"/>
        <color theme="1"/>
        <sz val="9.0"/>
      </rPr>
      <t>TOFU*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</si>
  <si>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</si>
  <si>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</si>
  <si>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</si>
  <si>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GRN.017</t>
    </r>
  </si>
  <si>
    <r>
      <rPr>
        <rFont val="Arial"/>
        <color theme="1"/>
        <sz val="9.0"/>
      </rPr>
      <t>Gorengan Mix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</si>
  <si>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</si>
  <si>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</si>
  <si>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</si>
  <si>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100034</t>
    </r>
  </si>
  <si>
    <r>
      <rPr>
        <rFont val="Arial"/>
        <color theme="1"/>
        <sz val="9.0"/>
      </rPr>
      <t>TEMPURA COINS 3PCS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</si>
  <si>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</si>
  <si>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</si>
  <si>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</si>
  <si>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100033</t>
    </r>
  </si>
  <si>
    <r>
      <rPr>
        <rFont val="Arial"/>
        <color theme="1"/>
        <sz val="9.0"/>
      </rPr>
      <t>TEMPURA COINS 6PCS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</si>
  <si>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</si>
  <si>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</si>
  <si>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</si>
  <si>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GRN.010</t>
    </r>
  </si>
  <si>
    <r>
      <rPr>
        <rFont val="Arial"/>
        <color theme="1"/>
        <sz val="9.0"/>
      </rPr>
      <t>OTAK-OTAK* 3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</si>
  <si>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</si>
  <si>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</si>
  <si>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</si>
  <si>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GRN.016</t>
    </r>
  </si>
  <si>
    <r>
      <rPr>
        <rFont val="Arial"/>
        <color theme="1"/>
        <sz val="9.0"/>
      </rPr>
      <t>OTAK-OTAK*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</si>
  <si>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</si>
  <si>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</si>
  <si>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</si>
  <si>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GRN.009</t>
    </r>
  </si>
  <si>
    <r>
      <rPr>
        <rFont val="Arial"/>
        <color theme="1"/>
        <sz val="9.0"/>
      </rPr>
      <t>SCALLOP* 3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</si>
  <si>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</si>
  <si>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</si>
  <si>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5. GORENGAN</t>
    </r>
  </si>
  <si>
    <r>
      <rPr>
        <rFont val="Arial"/>
        <color theme="1"/>
        <sz val="9.0"/>
      </rPr>
      <t>GRN.015</t>
    </r>
  </si>
  <si>
    <r>
      <rPr>
        <rFont val="Arial"/>
        <color theme="1"/>
        <sz val="9.0"/>
      </rPr>
      <t>SCALLOP* 6 Pcs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</si>
  <si>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</si>
  <si>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</si>
  <si>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6. COFFEE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</si>
  <si>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</si>
  <si>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COF.002</t>
    </r>
  </si>
  <si>
    <r>
      <rPr>
        <rFont val="Arial"/>
        <color theme="1"/>
        <sz val="9.0"/>
      </rPr>
      <t>CARAMEL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</si>
  <si>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</si>
  <si>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</si>
  <si>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</si>
  <si>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COF.003</t>
    </r>
  </si>
  <si>
    <r>
      <rPr>
        <rFont val="Arial"/>
        <color theme="1"/>
        <sz val="9.0"/>
      </rPr>
      <t>COFFEE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</si>
  <si>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</si>
  <si>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</si>
  <si>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</si>
  <si>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COF.007</t>
    </r>
  </si>
  <si>
    <r>
      <rPr>
        <rFont val="Arial"/>
        <color theme="1"/>
        <sz val="9.0"/>
      </rPr>
      <t>COFFEE CREAM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</si>
  <si>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</si>
  <si>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</si>
  <si>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</si>
  <si>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COF.006</t>
    </r>
  </si>
  <si>
    <r>
      <rPr>
        <rFont val="Arial"/>
        <color theme="1"/>
        <sz val="9.0"/>
      </rPr>
      <t>COFFEE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</si>
  <si>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</si>
  <si>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</si>
  <si>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</si>
  <si>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COF.005</t>
    </r>
  </si>
  <si>
    <r>
      <rPr>
        <rFont val="Arial"/>
        <color theme="1"/>
        <sz val="9.0"/>
      </rPr>
      <t>LEMON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</si>
  <si>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</si>
  <si>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</si>
  <si>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</si>
  <si>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COF.004</t>
    </r>
  </si>
  <si>
    <r>
      <rPr>
        <rFont val="Arial"/>
        <color theme="1"/>
        <sz val="9.0"/>
      </rPr>
      <t>VANILLA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</si>
  <si>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</si>
  <si>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</si>
  <si>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6. COFFEE</t>
    </r>
  </si>
  <si>
    <r>
      <rPr>
        <rFont val="Arial"/>
        <color theme="1"/>
        <sz val="9.0"/>
      </rPr>
      <t>COF.001</t>
    </r>
  </si>
  <si>
    <r>
      <rPr>
        <rFont val="Arial"/>
        <color theme="1"/>
        <sz val="9.0"/>
      </rPr>
      <t>AMERICANO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</si>
  <si>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</si>
  <si>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</si>
  <si>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7. DESSERT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</si>
  <si>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</si>
  <si>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DST.009</t>
    </r>
  </si>
  <si>
    <r>
      <rPr>
        <rFont val="Arial"/>
        <color theme="1"/>
        <sz val="9.0"/>
      </rPr>
      <t>ICE CREAM GORENG COKLAT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</si>
  <si>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</si>
  <si>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</si>
  <si>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</si>
  <si>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DST.12</t>
    </r>
  </si>
  <si>
    <r>
      <rPr>
        <rFont val="Arial"/>
        <color theme="1"/>
        <sz val="9.0"/>
      </rPr>
      <t>FREE ICE CREAM GORENG COKLAT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</si>
  <si>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</si>
  <si>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</si>
  <si>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</si>
  <si>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DST.014</t>
    </r>
  </si>
  <si>
    <r>
      <rPr>
        <rFont val="Arial"/>
        <color theme="1"/>
        <sz val="9.0"/>
      </rPr>
      <t>FREE ICE CREAM GORENG STRAWBERRY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</si>
  <si>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</si>
  <si>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</si>
  <si>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</si>
  <si>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DST.002</t>
    </r>
  </si>
  <si>
    <r>
      <rPr>
        <rFont val="Arial"/>
        <color theme="1"/>
        <sz val="9.0"/>
      </rPr>
      <t>FRENCH FRIES</t>
    </r>
  </si>
  <si>
    <r>
      <rPr>
        <rFont val="Arial"/>
        <color theme="1"/>
        <sz val="9.0"/>
      </rPr>
      <t>Non Persediaan</t>
    </r>
  </si>
  <si>
    <t>Sauce Tomat ABC @5,7</t>
  </si>
  <si>
    <r>
      <rPr>
        <rFont val="Arial"/>
        <color theme="1"/>
        <sz val="9.0"/>
      </rPr>
      <t>Porsi</t>
    </r>
  </si>
  <si>
    <t>Jrigen</t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</si>
  <si>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</si>
  <si>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DST.004</t>
    </r>
  </si>
  <si>
    <r>
      <rPr>
        <rFont val="Arial"/>
        <color theme="1"/>
        <sz val="9.0"/>
      </rPr>
      <t>FRENCH FRIES BBQ</t>
    </r>
  </si>
  <si>
    <r>
      <rPr>
        <rFont val="Arial"/>
        <color theme="1"/>
        <sz val="9.0"/>
      </rPr>
      <t>Non Persediaan</t>
    </r>
  </si>
  <si>
    <t/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</si>
  <si>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</si>
  <si>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</si>
  <si>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DST.003</t>
    </r>
  </si>
  <si>
    <r>
      <rPr>
        <rFont val="Arial"/>
        <color theme="1"/>
        <sz val="9.0"/>
      </rPr>
      <t>FRENCH FRIES CHEESE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</si>
  <si>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</si>
  <si>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</si>
  <si>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</si>
  <si>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DST.001</t>
    </r>
  </si>
  <si>
    <r>
      <rPr>
        <rFont val="Arial"/>
        <color theme="1"/>
        <sz val="9.0"/>
      </rPr>
      <t>SAUSAGE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</si>
  <si>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</si>
  <si>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</si>
  <si>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</si>
  <si>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DST.007</t>
    </r>
  </si>
  <si>
    <r>
      <rPr>
        <rFont val="Arial"/>
        <color theme="1"/>
        <sz val="9.0"/>
      </rPr>
      <t>LUMPIAH KULIT TAHU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</si>
  <si>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</si>
  <si>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</si>
  <si>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</si>
  <si>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DST.005</t>
    </r>
  </si>
  <si>
    <r>
      <rPr>
        <rFont val="Arial"/>
        <color theme="1"/>
        <sz val="9.0"/>
      </rPr>
      <t>SIOMAY AYAM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</si>
  <si>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</si>
  <si>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</si>
  <si>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</si>
  <si>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DST.006</t>
    </r>
  </si>
  <si>
    <r>
      <rPr>
        <rFont val="Arial"/>
        <color theme="1"/>
        <sz val="9.0"/>
      </rPr>
      <t>SIOMAY AYAM KEJU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</si>
  <si>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</si>
  <si>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</si>
  <si>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</si>
  <si>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DST.008</t>
    </r>
  </si>
  <si>
    <r>
      <rPr>
        <rFont val="Arial"/>
        <color theme="1"/>
        <sz val="9.0"/>
      </rPr>
      <t>FRECH FRIES SEWEED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</si>
  <si>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</si>
  <si>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</si>
  <si>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</si>
  <si>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DST.010</t>
    </r>
  </si>
  <si>
    <r>
      <rPr>
        <rFont val="Arial"/>
        <color theme="1"/>
        <sz val="9.0"/>
      </rPr>
      <t>ICE CREAM GORENG STRABERY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</si>
  <si>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</si>
  <si>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</si>
  <si>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</si>
  <si>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DST.013</t>
    </r>
  </si>
  <si>
    <r>
      <rPr>
        <rFont val="Arial"/>
        <color theme="1"/>
        <sz val="9.0"/>
      </rPr>
      <t>FREE ICE CREAM GORENG VANILLA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</si>
  <si>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</si>
  <si>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</si>
  <si>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7. DESSERT</t>
    </r>
  </si>
  <si>
    <r>
      <rPr>
        <rFont val="Arial"/>
        <color theme="1"/>
        <sz val="9.0"/>
      </rPr>
      <t>DST.011</t>
    </r>
  </si>
  <si>
    <r>
      <rPr>
        <rFont val="Arial"/>
        <color theme="1"/>
        <sz val="9.0"/>
      </rPr>
      <t>ICE CREAM GORENG VANILY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</si>
  <si>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</si>
  <si>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</si>
  <si>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8. ICE CAMPUR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</si>
  <si>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</si>
  <si>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CPR.0004</t>
    </r>
  </si>
  <si>
    <r>
      <rPr>
        <rFont val="Arial"/>
        <color theme="1"/>
        <sz val="9.0"/>
      </rPr>
      <t>ICE CAMPUR 8 PORSI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</si>
  <si>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</si>
  <si>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</si>
  <si>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</si>
  <si>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100031</t>
    </r>
  </si>
  <si>
    <r>
      <rPr>
        <rFont val="Arial"/>
        <color theme="1"/>
        <sz val="9.0"/>
      </rPr>
      <t>Bungkusan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</si>
  <si>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</si>
  <si>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</si>
  <si>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</si>
  <si>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CPR.0002</t>
    </r>
  </si>
  <si>
    <r>
      <rPr>
        <rFont val="Arial"/>
        <color theme="1"/>
        <sz val="9.0"/>
      </rPr>
      <t>ICE CAMPUR 2 PORSI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</si>
  <si>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</si>
  <si>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</si>
  <si>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</si>
  <si>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CPR.0005</t>
    </r>
  </si>
  <si>
    <r>
      <rPr>
        <rFont val="Arial"/>
        <color theme="1"/>
        <sz val="9.0"/>
      </rPr>
      <t>ICE CAMPUR10 PORSI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</si>
  <si>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</si>
  <si>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</si>
  <si>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</si>
  <si>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CPR.0006</t>
    </r>
  </si>
  <si>
    <r>
      <rPr>
        <rFont val="Arial"/>
        <color theme="1"/>
        <sz val="9.0"/>
      </rPr>
      <t>ICE CAMPUR 30 PORSI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</si>
  <si>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</si>
  <si>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</si>
  <si>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</si>
  <si>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CPR.0003</t>
    </r>
  </si>
  <si>
    <r>
      <rPr>
        <rFont val="Arial"/>
        <color theme="1"/>
        <sz val="9.0"/>
      </rPr>
      <t>ICE CAMPUR 4 PORSI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</si>
  <si>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</si>
  <si>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</si>
  <si>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8. ICE CAMPUR</t>
    </r>
  </si>
  <si>
    <r>
      <rPr>
        <rFont val="Arial"/>
        <color theme="1"/>
        <sz val="9.0"/>
      </rPr>
      <t>CPR.0001</t>
    </r>
  </si>
  <si>
    <r>
      <rPr>
        <rFont val="Arial"/>
        <color theme="1"/>
        <sz val="9.0"/>
      </rPr>
      <t>ICE CAMPUR1 PORSI</t>
    </r>
  </si>
  <si>
    <r>
      <rPr>
        <rFont val="Arial"/>
        <color theme="1"/>
        <sz val="9.0"/>
      </rPr>
      <t>Non Persediaan</t>
    </r>
  </si>
  <si>
    <t>Air</t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</si>
  <si>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</si>
  <si>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9. KRUPUK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</si>
  <si>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</si>
  <si>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KRP.008</t>
    </r>
  </si>
  <si>
    <r>
      <rPr>
        <rFont val="Arial"/>
        <color theme="1"/>
        <sz val="9.0"/>
      </rPr>
      <t>MIE MONSTERS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</si>
  <si>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</si>
  <si>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</si>
  <si>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</si>
  <si>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KRP.005</t>
    </r>
  </si>
  <si>
    <r>
      <rPr>
        <rFont val="Arial"/>
        <color theme="1"/>
        <sz val="9.0"/>
      </rPr>
      <t>BELINJO ASIN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</si>
  <si>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</si>
  <si>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</si>
  <si>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</si>
  <si>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KRP.006</t>
    </r>
  </si>
  <si>
    <r>
      <rPr>
        <rFont val="Arial"/>
        <color theme="1"/>
        <sz val="9.0"/>
      </rPr>
      <t>BELINJO PEDAS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</si>
  <si>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</si>
  <si>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</si>
  <si>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</si>
  <si>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KRP.003</t>
    </r>
  </si>
  <si>
    <r>
      <rPr>
        <rFont val="Arial"/>
        <color theme="1"/>
        <sz val="9.0"/>
      </rPr>
      <t>KRUPUK BANGKA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</si>
  <si>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</si>
  <si>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</si>
  <si>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</si>
  <si>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KRP.002</t>
    </r>
  </si>
  <si>
    <r>
      <rPr>
        <rFont val="Arial"/>
        <color theme="1"/>
        <sz val="9.0"/>
      </rPr>
      <t>KACANG MENTE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</si>
  <si>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</si>
  <si>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</si>
  <si>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</si>
  <si>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KRP.007</t>
    </r>
  </si>
  <si>
    <r>
      <rPr>
        <rFont val="Arial"/>
        <color theme="1"/>
        <sz val="9.0"/>
      </rPr>
      <t>KERIPIK TEMPE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</si>
  <si>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</si>
  <si>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</si>
  <si>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</si>
  <si>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KRP.001</t>
    </r>
  </si>
  <si>
    <r>
      <rPr>
        <rFont val="Arial"/>
        <color theme="1"/>
        <sz val="9.0"/>
      </rPr>
      <t>KACANG BALI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</si>
  <si>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</si>
  <si>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</si>
  <si>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9. KRUPUK</t>
    </r>
  </si>
  <si>
    <r>
      <rPr>
        <rFont val="Arial"/>
        <color theme="1"/>
        <sz val="9.0"/>
      </rPr>
      <t>KRP.004</t>
    </r>
  </si>
  <si>
    <r>
      <rPr>
        <rFont val="Arial"/>
        <color theme="1"/>
        <sz val="9.0"/>
      </rPr>
      <t>KRUPUK UDANG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</si>
  <si>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</si>
  <si>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</si>
  <si>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A. PAKET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</si>
  <si>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</si>
  <si>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PKT.017 NEW</t>
    </r>
  </si>
  <si>
    <r>
      <rPr>
        <rFont val="Arial"/>
        <color theme="1"/>
        <sz val="9.0"/>
      </rPr>
      <t>HOT MONSTERS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</si>
  <si>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</si>
  <si>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</si>
  <si>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</si>
  <si>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PKT.033 NEW</t>
    </r>
  </si>
  <si>
    <r>
      <rPr>
        <rFont val="Arial"/>
        <color theme="1"/>
        <sz val="9.0"/>
      </rPr>
      <t>1. ICE CAMPUR ES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</si>
  <si>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</si>
  <si>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</si>
  <si>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</si>
  <si>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PKT.034 NEW</t>
    </r>
  </si>
  <si>
    <r>
      <rPr>
        <rFont val="Arial"/>
        <color theme="1"/>
        <sz val="9.0"/>
      </rPr>
      <t>.PAKET 1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</si>
  <si>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</si>
  <si>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</si>
  <si>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</si>
  <si>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PKT.035 NEW</t>
    </r>
  </si>
  <si>
    <r>
      <rPr>
        <rFont val="Arial"/>
        <color theme="1"/>
        <sz val="9.0"/>
      </rPr>
      <t>.PAKET 2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</si>
  <si>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</si>
  <si>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</si>
  <si>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</si>
  <si>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PKT.002 NEW</t>
    </r>
  </si>
  <si>
    <r>
      <rPr>
        <rFont val="Arial"/>
        <color theme="1"/>
        <sz val="9.0"/>
      </rPr>
      <t>.PAKET B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</si>
  <si>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</si>
  <si>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</si>
  <si>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</si>
  <si>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PKT.036 NEW</t>
    </r>
  </si>
  <si>
    <r>
      <rPr>
        <rFont val="Arial"/>
        <color theme="1"/>
        <sz val="9.0"/>
      </rPr>
      <t>.PAKET 3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</si>
  <si>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</si>
  <si>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</si>
  <si>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</si>
  <si>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PKT.004 NEW</t>
    </r>
  </si>
  <si>
    <r>
      <rPr>
        <rFont val="Arial"/>
        <color theme="1"/>
        <sz val="9.0"/>
      </rPr>
      <t>.PAKET D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</si>
  <si>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</si>
  <si>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</si>
  <si>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</si>
  <si>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PKT.019 NEW</t>
    </r>
  </si>
  <si>
    <r>
      <rPr>
        <rFont val="Arial"/>
        <color theme="1"/>
        <sz val="9.0"/>
      </rPr>
      <t>MIE AYAM JAMUR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</si>
  <si>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</si>
  <si>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</si>
  <si>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</si>
  <si>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PKT.031 NEW</t>
    </r>
  </si>
  <si>
    <r>
      <rPr>
        <rFont val="Arial"/>
        <color theme="1"/>
        <sz val="9.0"/>
      </rPr>
      <t>SMOKED PAPPER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</si>
  <si>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</si>
  <si>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</si>
  <si>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</si>
  <si>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PKT.039 NEW</t>
    </r>
  </si>
  <si>
    <r>
      <rPr>
        <rFont val="Arial"/>
        <color theme="1"/>
        <sz val="9.0"/>
      </rPr>
      <t>Gorengan Mix 6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</si>
  <si>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</si>
  <si>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</si>
  <si>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</si>
  <si>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PKT.001 NEW</t>
    </r>
  </si>
  <si>
    <r>
      <rPr>
        <rFont val="Arial"/>
        <color theme="1"/>
        <sz val="9.0"/>
      </rPr>
      <t>.PAKET 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</si>
  <si>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</si>
  <si>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</si>
  <si>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</si>
  <si>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PKT.0040 NEW</t>
    </r>
  </si>
  <si>
    <r>
      <rPr>
        <rFont val="Arial"/>
        <color theme="1"/>
        <sz val="9.0"/>
      </rPr>
      <t>MIE KUAH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</si>
  <si>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</si>
  <si>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</si>
  <si>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</si>
  <si>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PKT.0020 NEW</t>
    </r>
  </si>
  <si>
    <r>
      <rPr>
        <rFont val="Arial"/>
        <color theme="1"/>
        <sz val="9.0"/>
      </rPr>
      <t>CHIKEN JAVA HONEY SPC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</si>
  <si>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</si>
  <si>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</si>
  <si>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t>CPR.0002 NEW</t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</si>
  <si>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</si>
  <si>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PKT.005 NEW</t>
    </r>
  </si>
  <si>
    <t>ICE CAMPUR 2 PORSI</t>
  </si>
  <si>
    <r>
      <rPr>
        <rFont val="Arial"/>
        <color theme="1"/>
        <sz val="9.0"/>
      </rPr>
      <t>.PAKET 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</si>
  <si>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</si>
  <si>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</si>
  <si>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</si>
  <si>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PKT.0017 NEW</t>
    </r>
  </si>
  <si>
    <r>
      <rPr>
        <rFont val="Arial"/>
        <color theme="1"/>
        <sz val="9.0"/>
      </rPr>
      <t>CHICKEN HOT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</si>
  <si>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</si>
  <si>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</si>
  <si>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</si>
  <si>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PKT.0021 NEW</t>
    </r>
  </si>
  <si>
    <r>
      <rPr>
        <rFont val="Arial"/>
        <color theme="1"/>
        <sz val="9.0"/>
      </rPr>
      <t>CHIKEN KATSU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</si>
  <si>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</si>
  <si>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</si>
  <si>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</si>
  <si>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PKT.032 NEW</t>
    </r>
  </si>
  <si>
    <r>
      <rPr>
        <rFont val="Arial"/>
        <color theme="1"/>
        <sz val="9.0"/>
      </rPr>
      <t>SPECIAL MONSTER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</si>
  <si>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</si>
  <si>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</si>
  <si>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</si>
  <si>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PKT.020 NEW</t>
    </r>
  </si>
  <si>
    <r>
      <rPr>
        <rFont val="Arial"/>
        <color theme="1"/>
        <sz val="9.0"/>
      </rPr>
      <t>MIE AYAM KATSU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</si>
  <si>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</si>
  <si>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</si>
  <si>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</si>
  <si>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PKT.016 NEW</t>
    </r>
  </si>
  <si>
    <r>
      <rPr>
        <rFont val="Arial"/>
        <color theme="1"/>
        <sz val="9.0"/>
      </rPr>
      <t>.PAKET F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</si>
  <si>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</si>
  <si>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</si>
  <si>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</si>
  <si>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PKT.0018 NEW</t>
    </r>
  </si>
  <si>
    <r>
      <rPr>
        <rFont val="Arial"/>
        <color theme="1"/>
        <sz val="9.0"/>
      </rPr>
      <t>CHICKEN SWEET SOUR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</si>
  <si>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</si>
  <si>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</si>
  <si>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</si>
  <si>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PKT.0022 NEW</t>
    </r>
  </si>
  <si>
    <r>
      <rPr>
        <rFont val="Arial"/>
        <color theme="1"/>
        <sz val="9.0"/>
      </rPr>
      <t>HONEY SAUCE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</si>
  <si>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</si>
  <si>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</si>
  <si>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</si>
  <si>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PKT.021 NEW</t>
    </r>
  </si>
  <si>
    <r>
      <rPr>
        <rFont val="Arial"/>
        <color theme="1"/>
        <sz val="9.0"/>
      </rPr>
      <t>MIE AYAM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</si>
  <si>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</si>
  <si>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</si>
  <si>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</si>
  <si>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PKT.003 NEW</t>
    </r>
  </si>
  <si>
    <r>
      <rPr>
        <rFont val="Arial"/>
        <color theme="1"/>
        <sz val="9.0"/>
      </rPr>
      <t>.PAKET C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</si>
  <si>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</si>
  <si>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</si>
  <si>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</si>
  <si>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PKT.030 NEW</t>
    </r>
  </si>
  <si>
    <r>
      <rPr>
        <rFont val="Arial"/>
        <color theme="1"/>
        <sz val="9.0"/>
      </rPr>
      <t>MIE SAPI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</si>
  <si>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</si>
  <si>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</si>
  <si>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A. PAKET</t>
    </r>
  </si>
  <si>
    <r>
      <rPr>
        <rFont val="Arial"/>
        <color theme="1"/>
        <sz val="9.0"/>
      </rPr>
      <t>PKT.0019 NEW</t>
    </r>
  </si>
  <si>
    <r>
      <rPr>
        <rFont val="Arial"/>
        <color theme="1"/>
        <sz val="9.0"/>
      </rPr>
      <t>CHICKEN TERIYAKI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</si>
  <si>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</si>
  <si>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</si>
  <si>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B. RICE BOWL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</si>
  <si>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</si>
  <si>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REB.022 NEW</t>
    </r>
  </si>
  <si>
    <r>
      <rPr>
        <rFont val="Arial"/>
        <color theme="1"/>
        <sz val="9.0"/>
      </rPr>
      <t>Tumpeng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</si>
  <si>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</si>
  <si>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</si>
  <si>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</si>
  <si>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REB.004 NEW</t>
    </r>
  </si>
  <si>
    <r>
      <rPr>
        <rFont val="Arial"/>
        <color theme="1"/>
        <sz val="9.0"/>
      </rPr>
      <t>CHICKEN TERIYAKI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</si>
  <si>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</si>
  <si>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</si>
  <si>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</si>
  <si>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REB.016 NEW</t>
    </r>
  </si>
  <si>
    <r>
      <rPr>
        <rFont val="Arial"/>
        <color theme="1"/>
        <sz val="9.0"/>
      </rPr>
      <t>FREE ICE CAMPUR 1 P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</si>
  <si>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</si>
  <si>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</si>
  <si>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</si>
  <si>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REB.005 NEW</t>
    </r>
  </si>
  <si>
    <r>
      <rPr>
        <rFont val="Arial"/>
        <color theme="1"/>
        <sz val="9.0"/>
      </rPr>
      <t>CHICKEN SWEET SOUR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</si>
  <si>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</si>
  <si>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</si>
  <si>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</si>
  <si>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REB.021 NEW</t>
    </r>
  </si>
  <si>
    <r>
      <rPr>
        <rFont val="Arial"/>
        <color theme="1"/>
        <sz val="9.0"/>
      </rPr>
      <t>CHIKEN STEAK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</si>
  <si>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</si>
  <si>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</si>
  <si>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</si>
  <si>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REB.020 NEW</t>
    </r>
  </si>
  <si>
    <r>
      <rPr>
        <rFont val="Arial"/>
        <color theme="1"/>
        <sz val="9.0"/>
      </rPr>
      <t>AYAM KATSU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</si>
  <si>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</si>
  <si>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</si>
  <si>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</si>
  <si>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REB.006 NEW</t>
    </r>
  </si>
  <si>
    <r>
      <rPr>
        <rFont val="Arial"/>
        <color theme="1"/>
        <sz val="9.0"/>
      </rPr>
      <t>CHIKEN JAVA HONEY SPC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</si>
  <si>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</si>
  <si>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</si>
  <si>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</si>
  <si>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REB.008 NEW</t>
    </r>
  </si>
  <si>
    <r>
      <rPr>
        <rFont val="Arial"/>
        <color theme="1"/>
        <sz val="9.0"/>
      </rPr>
      <t>CHIKEN KATSU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</si>
  <si>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</si>
  <si>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</si>
  <si>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</si>
  <si>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REB.009 NEW</t>
    </r>
  </si>
  <si>
    <r>
      <rPr>
        <rFont val="Arial"/>
        <color theme="1"/>
        <sz val="9.0"/>
      </rPr>
      <t>TAMBAH NASIH PUTIH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</si>
  <si>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</si>
  <si>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</si>
  <si>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</si>
  <si>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REB.001 NEW</t>
    </r>
  </si>
  <si>
    <r>
      <rPr>
        <rFont val="Arial"/>
        <color theme="1"/>
        <sz val="9.0"/>
      </rPr>
      <t>SPECIAL MONSTER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</si>
  <si>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</si>
  <si>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</si>
  <si>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</si>
  <si>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REB.010 NEW</t>
    </r>
  </si>
  <si>
    <r>
      <rPr>
        <rFont val="Arial"/>
        <color theme="1"/>
        <sz val="9.0"/>
      </rPr>
      <t>TAMBAH TELUR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</si>
  <si>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</si>
  <si>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</si>
  <si>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</si>
  <si>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REB.011 NEW</t>
    </r>
  </si>
  <si>
    <r>
      <rPr>
        <rFont val="Arial"/>
        <color theme="1"/>
        <sz val="9.0"/>
      </rPr>
      <t>CHICKEN HOT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</si>
  <si>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</si>
  <si>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</si>
  <si>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</si>
  <si>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REB.002 NEW</t>
    </r>
  </si>
  <si>
    <r>
      <rPr>
        <rFont val="Arial"/>
        <color theme="1"/>
        <sz val="9.0"/>
      </rPr>
      <t>SMOKED PAPPER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</si>
  <si>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</si>
  <si>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</si>
  <si>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</si>
  <si>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REB.012 NEW</t>
    </r>
  </si>
  <si>
    <r>
      <rPr>
        <rFont val="Arial"/>
        <color theme="1"/>
        <sz val="9.0"/>
      </rPr>
      <t>HOT MONSTERS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</si>
  <si>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</si>
  <si>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</si>
  <si>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B. RICE BOWL</t>
    </r>
  </si>
  <si>
    <r>
      <rPr>
        <rFont val="Arial"/>
        <color theme="1"/>
        <sz val="9.0"/>
      </rPr>
      <t>REB.003 NEW</t>
    </r>
  </si>
  <si>
    <r>
      <rPr>
        <rFont val="Arial"/>
        <color theme="1"/>
        <sz val="9.0"/>
      </rPr>
      <t>HONEY SAUCE BEEF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</si>
  <si>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</si>
  <si>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</si>
  <si>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BB.BKS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</si>
  <si>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</si>
  <si>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BKS.30112</t>
    </r>
  </si>
  <si>
    <r>
      <rPr>
        <rFont val="Arial"/>
        <color theme="1"/>
        <sz val="9.0"/>
      </rPr>
      <t>Cup Saus 25ml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</si>
  <si>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</si>
  <si>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</si>
  <si>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</si>
  <si>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BKS.30114</t>
    </r>
  </si>
  <si>
    <r>
      <rPr>
        <rFont val="Arial"/>
        <color theme="1"/>
        <sz val="9.0"/>
      </rPr>
      <t>Cup Saus 60ml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</si>
  <si>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</si>
  <si>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</si>
  <si>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</si>
  <si>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BKS.30115</t>
    </r>
  </si>
  <si>
    <r>
      <rPr>
        <rFont val="Arial"/>
        <color theme="1"/>
        <sz val="9.0"/>
      </rPr>
      <t>Cup Sealer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</si>
  <si>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</si>
  <si>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</si>
  <si>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t xml:space="preserve">Saus Lada Hitam </t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</si>
  <si>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</si>
  <si>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BKS.30131</t>
    </r>
  </si>
  <si>
    <r>
      <rPr>
        <rFont val="Arial"/>
        <color theme="1"/>
        <sz val="9.0"/>
      </rPr>
      <t>Thinwall Victory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</si>
  <si>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</si>
  <si>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</si>
  <si>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</si>
  <si>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BKS.30118</t>
    </r>
  </si>
  <si>
    <r>
      <rPr>
        <rFont val="Arial"/>
        <color theme="1"/>
        <sz val="9.0"/>
      </rPr>
      <t>Kresek. 10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</si>
  <si>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</si>
  <si>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</si>
  <si>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</si>
  <si>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BKS.30119</t>
    </r>
  </si>
  <si>
    <r>
      <rPr>
        <rFont val="Arial"/>
        <color theme="1"/>
        <sz val="9.0"/>
      </rPr>
      <t>Kresek. 15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</si>
  <si>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</si>
  <si>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</si>
  <si>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</si>
  <si>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Kresek. 20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</si>
  <si>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</si>
  <si>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</si>
  <si>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</si>
  <si>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BKS.30121</t>
    </r>
  </si>
  <si>
    <r>
      <rPr>
        <rFont val="Arial"/>
        <color theme="1"/>
        <sz val="9.0"/>
      </rPr>
      <t>Kresek. 25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</si>
  <si>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</si>
  <si>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</si>
  <si>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</si>
  <si>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BKS.30122</t>
    </r>
  </si>
  <si>
    <r>
      <rPr>
        <rFont val="Arial"/>
        <color theme="1"/>
        <sz val="9.0"/>
      </rPr>
      <t>Kresek. 35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</si>
  <si>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</si>
  <si>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</si>
  <si>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</si>
  <si>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BKS.30126</t>
    </r>
  </si>
  <si>
    <r>
      <rPr>
        <rFont val="Arial"/>
        <color theme="1"/>
        <sz val="9.0"/>
      </rPr>
      <t>Sedotan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</si>
  <si>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</si>
  <si>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</si>
  <si>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</si>
  <si>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BKS.30127</t>
    </r>
  </si>
  <si>
    <r>
      <rPr>
        <rFont val="Arial"/>
        <color theme="1"/>
        <sz val="9.0"/>
      </rPr>
      <t>Sendok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</si>
  <si>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</si>
  <si>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</si>
  <si>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</si>
  <si>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BKS.30117</t>
    </r>
  </si>
  <si>
    <r>
      <rPr>
        <rFont val="Arial"/>
        <color theme="1"/>
        <sz val="9.0"/>
      </rPr>
      <t>Inner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</si>
  <si>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</si>
  <si>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</si>
  <si>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</si>
  <si>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BKS.30128</t>
    </r>
  </si>
  <si>
    <r>
      <rPr>
        <rFont val="Arial"/>
        <color theme="1"/>
        <sz val="9.0"/>
      </rPr>
      <t>Sendok Garbu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</si>
  <si>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</si>
  <si>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</si>
  <si>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</si>
  <si>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BKS.30132</t>
    </r>
  </si>
  <si>
    <r>
      <rPr>
        <rFont val="Arial"/>
        <color theme="1"/>
        <sz val="9.0"/>
      </rPr>
      <t>Trashbag Besar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</si>
  <si>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</si>
  <si>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</si>
  <si>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</si>
  <si>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BKS.30133</t>
    </r>
  </si>
  <si>
    <r>
      <rPr>
        <rFont val="Arial"/>
        <color theme="1"/>
        <sz val="9.0"/>
      </rPr>
      <t>Trashbag Kecil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</si>
  <si>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</si>
  <si>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</si>
  <si>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</si>
  <si>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BKS.30135</t>
    </r>
  </si>
  <si>
    <r>
      <rPr>
        <rFont val="Arial"/>
        <color theme="1"/>
        <sz val="9.0"/>
      </rPr>
      <t>Tutup Paper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</si>
  <si>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</si>
  <si>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</si>
  <si>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</si>
  <si>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BKS.30124</t>
    </r>
  </si>
  <si>
    <r>
      <rPr>
        <rFont val="Arial"/>
        <color theme="1"/>
        <sz val="9.0"/>
      </rPr>
      <t>Plastik Kuah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</si>
  <si>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</si>
  <si>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</si>
  <si>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</si>
  <si>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BKS.30125</t>
    </r>
  </si>
  <si>
    <r>
      <rPr>
        <rFont val="Arial"/>
        <color theme="1"/>
        <sz val="9.0"/>
      </rPr>
      <t>Plastik Sambel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</si>
  <si>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</si>
  <si>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</si>
  <si>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</si>
  <si>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BKS.30109</t>
    </r>
  </si>
  <si>
    <r>
      <rPr>
        <rFont val="Arial"/>
        <color theme="1"/>
        <sz val="9.0"/>
      </rPr>
      <t>Cover Sumpit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</si>
  <si>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</si>
  <si>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</si>
  <si>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</si>
  <si>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BKS.30107</t>
    </r>
  </si>
  <si>
    <r>
      <rPr>
        <rFont val="Arial"/>
        <color theme="1"/>
        <sz val="9.0"/>
      </rPr>
      <t>Bungkus Gorengan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</si>
  <si>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</si>
  <si>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</si>
  <si>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</si>
  <si>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BKS.30108</t>
    </r>
  </si>
  <si>
    <r>
      <rPr>
        <rFont val="Arial"/>
        <color theme="1"/>
        <sz val="9.0"/>
      </rPr>
      <t>Cover Sendok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</si>
  <si>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</si>
  <si>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</si>
  <si>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</si>
  <si>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BKS.30110</t>
    </r>
  </si>
  <si>
    <r>
      <rPr>
        <rFont val="Arial"/>
        <color theme="1"/>
        <sz val="9.0"/>
      </rPr>
      <t>Cup 12oz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</si>
  <si>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</si>
  <si>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</si>
  <si>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BB.BKS</t>
    </r>
  </si>
  <si>
    <r>
      <rPr>
        <rFont val="Arial"/>
        <color theme="1"/>
        <sz val="9.0"/>
      </rPr>
      <t>BKS.30123</t>
    </r>
  </si>
  <si>
    <r>
      <rPr>
        <rFont val="Arial"/>
        <color theme="1"/>
        <sz val="9.0"/>
      </rPr>
      <t>Paper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</si>
  <si>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</si>
  <si>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</si>
  <si>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b/>
        <color theme="1"/>
        <sz val="9.0"/>
      </rPr>
      <t>BB.MAKANAN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</si>
  <si>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</si>
  <si>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MKN.032</t>
    </r>
  </si>
  <si>
    <r>
      <rPr>
        <rFont val="Arial"/>
        <color theme="1"/>
        <sz val="9.0"/>
      </rPr>
      <t>Bawang Merah Kupas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</si>
  <si>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</si>
  <si>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</si>
  <si>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</si>
  <si>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MKN.025</t>
    </r>
  </si>
  <si>
    <r>
      <rPr>
        <rFont val="Arial"/>
        <color theme="1"/>
        <sz val="9.0"/>
      </rPr>
      <t>Ayam Gulung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</si>
  <si>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</si>
  <si>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</si>
  <si>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</si>
  <si>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MKN.020</t>
    </r>
  </si>
  <si>
    <r>
      <rPr>
        <rFont val="Arial"/>
        <color theme="1"/>
        <sz val="9.0"/>
      </rPr>
      <t>Beras 25KG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</si>
  <si>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</si>
  <si>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</si>
  <si>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</si>
  <si>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MKN.053</t>
    </r>
  </si>
  <si>
    <r>
      <rPr>
        <rFont val="Arial"/>
        <color theme="1"/>
        <sz val="9.0"/>
      </rPr>
      <t>IKAN OLAHAN BINTANG BESAR @500 GRAM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</si>
  <si>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</si>
  <si>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</si>
  <si>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</si>
  <si>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MKN.054</t>
    </r>
  </si>
  <si>
    <r>
      <rPr>
        <rFont val="Arial"/>
        <color theme="1"/>
        <sz val="9.0"/>
      </rPr>
      <t>BAKSO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</si>
  <si>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</si>
  <si>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</si>
  <si>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</si>
  <si>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MKN.044</t>
    </r>
  </si>
  <si>
    <r>
      <rPr>
        <rFont val="Arial"/>
        <color theme="1"/>
        <sz val="9.0"/>
      </rPr>
      <t>Ajinomoto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</si>
  <si>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</si>
  <si>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</si>
  <si>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</si>
  <si>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MKN.017</t>
    </r>
  </si>
  <si>
    <r>
      <rPr>
        <rFont val="Arial"/>
        <color theme="1"/>
        <sz val="9.0"/>
      </rPr>
      <t>Bombay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</si>
  <si>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</si>
  <si>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</si>
  <si>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</si>
  <si>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MKN.049</t>
    </r>
  </si>
  <si>
    <r>
      <rPr>
        <rFont val="Arial"/>
        <color theme="1"/>
        <sz val="9.0"/>
      </rPr>
      <t>KEMANGI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</si>
  <si>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</si>
  <si>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</si>
  <si>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</si>
  <si>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MKN.033</t>
    </r>
  </si>
  <si>
    <r>
      <rPr>
        <rFont val="Arial"/>
        <color theme="1"/>
        <sz val="9.0"/>
      </rPr>
      <t>Kulit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</si>
  <si>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</si>
  <si>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</si>
  <si>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</si>
  <si>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MKN.022</t>
    </r>
  </si>
  <si>
    <r>
      <rPr>
        <rFont val="Arial"/>
        <color theme="1"/>
        <sz val="9.0"/>
      </rPr>
      <t>Mie Basah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</si>
  <si>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</si>
  <si>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</si>
  <si>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</si>
  <si>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MKN.043</t>
    </r>
  </si>
  <si>
    <r>
      <rPr>
        <rFont val="Arial"/>
        <color theme="1"/>
        <sz val="9.0"/>
      </rPr>
      <t>Minyak Wijen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</si>
  <si>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</si>
  <si>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</si>
  <si>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</si>
  <si>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MKN.016</t>
    </r>
  </si>
  <si>
    <r>
      <rPr>
        <rFont val="Arial"/>
        <color theme="1"/>
        <sz val="9.0"/>
      </rPr>
      <t>Pokcoy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</si>
  <si>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</si>
  <si>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</si>
  <si>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</si>
  <si>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MKN.034</t>
    </r>
  </si>
  <si>
    <r>
      <rPr>
        <rFont val="Arial"/>
        <color theme="1"/>
        <sz val="9.0"/>
      </rPr>
      <t>Telur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</si>
  <si>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</si>
  <si>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</si>
  <si>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</si>
  <si>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MKN.014</t>
    </r>
  </si>
  <si>
    <r>
      <rPr>
        <rFont val="Arial"/>
        <color theme="1"/>
        <sz val="9.0"/>
      </rPr>
      <t>Timun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</si>
  <si>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</si>
  <si>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</si>
  <si>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</si>
  <si>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MKN.060</t>
    </r>
  </si>
  <si>
    <r>
      <rPr>
        <rFont val="Arial"/>
        <color theme="1"/>
        <sz val="9.0"/>
      </rPr>
      <t>LUMPIA KULIT TAHU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</si>
  <si>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</si>
  <si>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</si>
  <si>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</si>
  <si>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MKN.011</t>
    </r>
  </si>
  <si>
    <r>
      <rPr>
        <rFont val="Arial"/>
        <color theme="1"/>
        <sz val="9.0"/>
      </rPr>
      <t>TOPING AYAM KECAP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</si>
  <si>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</si>
  <si>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</si>
  <si>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</si>
  <si>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MKN.013</t>
    </r>
  </si>
  <si>
    <r>
      <rPr>
        <rFont val="Arial"/>
        <color theme="1"/>
        <sz val="9.0"/>
      </rPr>
      <t>Toping Ayam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</si>
  <si>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</si>
  <si>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</si>
  <si>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</si>
  <si>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MKN.012</t>
    </r>
  </si>
  <si>
    <r>
      <rPr>
        <rFont val="Arial"/>
        <color theme="1"/>
        <sz val="9.0"/>
      </rPr>
      <t>Toping Jamur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</si>
  <si>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</si>
  <si>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</si>
  <si>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</si>
  <si>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MKN.058</t>
    </r>
  </si>
  <si>
    <r>
      <rPr>
        <rFont val="Arial"/>
        <color theme="1"/>
        <sz val="9.0"/>
      </rPr>
      <t>SOMAY KEJU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</si>
  <si>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</si>
  <si>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</si>
  <si>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</si>
  <si>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MKN.018</t>
    </r>
  </si>
  <si>
    <r>
      <rPr>
        <rFont val="Arial"/>
        <color theme="1"/>
        <sz val="9.0"/>
      </rPr>
      <t>Daun Bawang</t>
    </r>
  </si>
  <si>
    <r>
      <rPr>
        <rFont val="Arial"/>
        <color theme="1"/>
        <sz val="9.0"/>
      </rPr>
      <t>Persediaan</t>
    </r>
  </si>
  <si>
    <t>Lada Hitam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</si>
  <si>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</si>
  <si>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</si>
  <si>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MKN.063</t>
    </r>
  </si>
  <si>
    <r>
      <rPr>
        <rFont val="Arial"/>
        <color theme="1"/>
        <sz val="9.0"/>
      </rPr>
      <t>Ice Cream Goreng Vanilla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</si>
  <si>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</si>
  <si>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</si>
  <si>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</si>
  <si>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MKN.006</t>
    </r>
  </si>
  <si>
    <r>
      <rPr>
        <rFont val="Arial"/>
        <color theme="1"/>
        <sz val="9.0"/>
      </rPr>
      <t>S. Ayam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</si>
  <si>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</si>
  <si>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</si>
  <si>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</si>
  <si>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MKN.047</t>
    </r>
  </si>
  <si>
    <r>
      <rPr>
        <rFont val="Arial"/>
        <color theme="1"/>
        <sz val="9.0"/>
      </rPr>
      <t>UDANG FRESH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</si>
  <si>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</si>
  <si>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</si>
  <si>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</si>
  <si>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MKN.045</t>
    </r>
  </si>
  <si>
    <r>
      <rPr>
        <rFont val="Arial"/>
        <color theme="1"/>
        <sz val="9.0"/>
      </rPr>
      <t>Bakso Ikan Bintang Besar @500 gr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</si>
  <si>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</si>
  <si>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</si>
  <si>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</si>
  <si>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MKN.005</t>
    </r>
  </si>
  <si>
    <r>
      <rPr>
        <rFont val="Arial"/>
        <color theme="1"/>
        <sz val="9.0"/>
      </rPr>
      <t>S. Ladah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</si>
  <si>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</si>
  <si>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</si>
  <si>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</si>
  <si>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MKN.066</t>
    </r>
  </si>
  <si>
    <r>
      <rPr>
        <rFont val="Arial"/>
        <color theme="1"/>
        <sz val="9.0"/>
      </rPr>
      <t>Sambal Monster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</si>
  <si>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</si>
  <si>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</si>
  <si>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</si>
  <si>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100023</t>
    </r>
  </si>
  <si>
    <r>
      <rPr>
        <rFont val="Arial"/>
        <color theme="1"/>
        <sz val="9.0"/>
      </rPr>
      <t>DAGING YAKINIKU SLICE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</si>
  <si>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</si>
  <si>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</si>
  <si>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</si>
  <si>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MKN.050</t>
    </r>
  </si>
  <si>
    <r>
      <rPr>
        <rFont val="Arial"/>
        <color theme="1"/>
        <sz val="9.0"/>
      </rPr>
      <t>DAUN BAWANG PREI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</si>
  <si>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</si>
  <si>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</si>
  <si>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</si>
  <si>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MKN.039</t>
    </r>
  </si>
  <si>
    <r>
      <rPr>
        <rFont val="Arial"/>
        <color theme="1"/>
        <sz val="9.0"/>
      </rPr>
      <t>MINYAK GORENG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</si>
  <si>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</si>
  <si>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</si>
  <si>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</si>
  <si>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MKN.009</t>
    </r>
  </si>
  <si>
    <r>
      <rPr>
        <rFont val="Arial"/>
        <color theme="1"/>
        <sz val="9.0"/>
      </rPr>
      <t>Ayam Rice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</si>
  <si>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</si>
  <si>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</si>
  <si>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</si>
  <si>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MKN.008</t>
    </r>
  </si>
  <si>
    <r>
      <rPr>
        <rFont val="Arial"/>
        <color theme="1"/>
        <sz val="9.0"/>
      </rPr>
      <t>Daging Rice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</si>
  <si>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</si>
  <si>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</si>
  <si>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</si>
  <si>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100027</t>
    </r>
  </si>
  <si>
    <r>
      <rPr>
        <rFont val="Arial"/>
        <color theme="1"/>
        <sz val="9.0"/>
      </rPr>
      <t>KEMANGI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</si>
  <si>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</si>
  <si>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</si>
  <si>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</si>
  <si>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MKN.055</t>
    </r>
  </si>
  <si>
    <r>
      <rPr>
        <rFont val="Arial"/>
        <color theme="1"/>
        <sz val="9.0"/>
      </rPr>
      <t>KENTANG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</si>
  <si>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</si>
  <si>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</si>
  <si>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</si>
  <si>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MKN.001</t>
    </r>
  </si>
  <si>
    <r>
      <rPr>
        <rFont val="Arial"/>
        <color theme="1"/>
        <sz val="9.0"/>
      </rPr>
      <t>S. Vietnam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</si>
  <si>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</si>
  <si>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</si>
  <si>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</si>
  <si>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MKN.023</t>
    </r>
  </si>
  <si>
    <r>
      <rPr>
        <rFont val="Arial"/>
        <color theme="1"/>
        <sz val="9.0"/>
      </rPr>
      <t>Mie Goreng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</si>
  <si>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</si>
  <si>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</si>
  <si>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</si>
  <si>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MKN.007</t>
    </r>
  </si>
  <si>
    <r>
      <rPr>
        <rFont val="Arial"/>
        <color theme="1"/>
        <sz val="9.0"/>
      </rPr>
      <t>S. Daging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</si>
  <si>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</si>
  <si>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</si>
  <si>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</si>
  <si>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MKN.061</t>
    </r>
  </si>
  <si>
    <r>
      <rPr>
        <rFont val="Arial"/>
        <color theme="1"/>
        <sz val="9.0"/>
      </rPr>
      <t>Bakso Ikan Bintang Besar @250 gr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</si>
  <si>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</si>
  <si>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</si>
  <si>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</si>
  <si>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MKN.031</t>
    </r>
  </si>
  <si>
    <r>
      <rPr>
        <rFont val="Arial"/>
        <color theme="1"/>
        <sz val="9.0"/>
      </rPr>
      <t>Gorengan Mie</t>
    </r>
  </si>
  <si>
    <r>
      <rPr>
        <rFont val="Arial"/>
        <color theme="1"/>
        <sz val="9.0"/>
      </rPr>
      <t>Persediaan</t>
    </r>
  </si>
  <si>
    <t>Maggi @800ml (6)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</si>
  <si>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</si>
  <si>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</si>
  <si>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MKN.010</t>
    </r>
  </si>
  <si>
    <r>
      <rPr>
        <rFont val="Arial"/>
        <color theme="1"/>
        <sz val="9.0"/>
      </rPr>
      <t>Ayam Filet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</si>
  <si>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</si>
  <si>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</si>
  <si>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</si>
  <si>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MKN.064</t>
    </r>
  </si>
  <si>
    <r>
      <rPr>
        <rFont val="Arial"/>
        <color theme="1"/>
        <sz val="9.0"/>
      </rPr>
      <t>Ice Cream Goreng Coklat</t>
    </r>
  </si>
  <si>
    <r>
      <rPr>
        <rFont val="Arial"/>
        <color theme="1"/>
        <sz val="9.0"/>
      </rPr>
      <t>Persediaan</t>
    </r>
  </si>
  <si>
    <t>CPR.0003 NEW</t>
  </si>
  <si>
    <t>ICE CAMPUR 4 PORSI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</si>
  <si>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</si>
  <si>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</si>
  <si>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MKN.065</t>
    </r>
  </si>
  <si>
    <r>
      <rPr>
        <rFont val="Arial"/>
        <color theme="1"/>
        <sz val="9.0"/>
      </rPr>
      <t>Ice Cream Goreng Strawberry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</si>
  <si>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</si>
  <si>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</si>
  <si>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</si>
  <si>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MKN.035</t>
    </r>
  </si>
  <si>
    <r>
      <rPr>
        <rFont val="Arial"/>
        <color theme="1"/>
        <sz val="9.0"/>
      </rPr>
      <t>Minyak Bawang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</si>
  <si>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</si>
  <si>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</si>
  <si>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</si>
  <si>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MKN.019</t>
    </r>
  </si>
  <si>
    <r>
      <rPr>
        <rFont val="Arial"/>
        <color theme="1"/>
        <sz val="9.0"/>
      </rPr>
      <t>S. Jawa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</si>
  <si>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</si>
  <si>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</si>
  <si>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</si>
  <si>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MKN.003</t>
    </r>
  </si>
  <si>
    <r>
      <rPr>
        <rFont val="Arial"/>
        <color theme="1"/>
        <sz val="9.0"/>
      </rPr>
      <t>S. Madu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</si>
  <si>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</si>
  <si>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</si>
  <si>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</si>
  <si>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MKN.042</t>
    </r>
  </si>
  <si>
    <r>
      <rPr>
        <rFont val="Arial"/>
        <color theme="1"/>
        <sz val="9.0"/>
      </rPr>
      <t>Kecap Asin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</si>
  <si>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</si>
  <si>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</si>
  <si>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</si>
  <si>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MKN.021</t>
    </r>
  </si>
  <si>
    <r>
      <rPr>
        <rFont val="Arial"/>
        <color theme="1"/>
        <sz val="9.0"/>
      </rPr>
      <t>Kuah Mie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</si>
  <si>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</si>
  <si>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</si>
  <si>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</si>
  <si>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MKN.037</t>
    </r>
  </si>
  <si>
    <r>
      <rPr>
        <rFont val="Arial"/>
        <color theme="1"/>
        <sz val="9.0"/>
      </rPr>
      <t>S. Rice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</si>
  <si>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</si>
  <si>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</si>
  <si>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</si>
  <si>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MKN.051</t>
    </r>
  </si>
  <si>
    <r>
      <rPr>
        <rFont val="Arial"/>
        <color theme="1"/>
        <sz val="9.0"/>
      </rPr>
      <t>BAWANG PUTIH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</si>
  <si>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</si>
  <si>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</si>
  <si>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</si>
  <si>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MKN.048</t>
    </r>
  </si>
  <si>
    <r>
      <rPr>
        <rFont val="Arial"/>
        <color theme="1"/>
        <sz val="9.0"/>
      </rPr>
      <t>DAGING YAKINIKU SLICE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</si>
  <si>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</si>
  <si>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</si>
  <si>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</si>
  <si>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MKN.029</t>
    </r>
  </si>
  <si>
    <r>
      <rPr>
        <rFont val="Arial"/>
        <color theme="1"/>
        <sz val="9.0"/>
      </rPr>
      <t>Bakso Ikan Bandeng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</si>
  <si>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</si>
  <si>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</si>
  <si>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</si>
  <si>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MKN.056</t>
    </r>
  </si>
  <si>
    <r>
      <rPr>
        <rFont val="Arial"/>
        <color theme="1"/>
        <sz val="9.0"/>
      </rPr>
      <t>Bakso Ikan Isi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</si>
  <si>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</si>
  <si>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</si>
  <si>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</si>
  <si>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MKN.057</t>
    </r>
  </si>
  <si>
    <r>
      <rPr>
        <rFont val="Arial"/>
        <color theme="1"/>
        <sz val="9.0"/>
      </rPr>
      <t>Daging Lowfat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</si>
  <si>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</si>
  <si>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</si>
  <si>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</si>
  <si>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MKN.062</t>
    </r>
  </si>
  <si>
    <r>
      <rPr>
        <rFont val="Arial"/>
        <color theme="1"/>
        <sz val="9.0"/>
      </rPr>
      <t>Kecap Manis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</si>
  <si>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</si>
  <si>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</si>
  <si>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</si>
  <si>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MKN.036</t>
    </r>
  </si>
  <si>
    <r>
      <rPr>
        <rFont val="Arial"/>
        <color theme="1"/>
        <sz val="9.0"/>
      </rPr>
      <t>S. Sambel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</si>
  <si>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</si>
  <si>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</si>
  <si>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</si>
  <si>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MKN.026</t>
    </r>
  </si>
  <si>
    <r>
      <rPr>
        <rFont val="Arial"/>
        <color theme="1"/>
        <sz val="9.0"/>
      </rPr>
      <t>SCALLOP PREMIUM @500GRAM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</si>
  <si>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</si>
  <si>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</si>
  <si>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</si>
  <si>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MKN.067</t>
    </r>
  </si>
  <si>
    <r>
      <rPr>
        <rFont val="Arial"/>
        <color theme="1"/>
        <sz val="9.0"/>
      </rPr>
      <t>Beras 5KG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</si>
  <si>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</si>
  <si>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</si>
  <si>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</si>
  <si>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MKN.041</t>
    </r>
  </si>
  <si>
    <r>
      <rPr>
        <rFont val="Arial"/>
        <color theme="1"/>
        <sz val="9.0"/>
      </rPr>
      <t>Garam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</si>
  <si>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</si>
  <si>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</si>
  <si>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</si>
  <si>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MKN.052</t>
    </r>
  </si>
  <si>
    <r>
      <rPr>
        <rFont val="Arial"/>
        <color theme="1"/>
        <sz val="9.0"/>
      </rPr>
      <t>IKAN OLAHAN BENTUK TAHU @500 GRAM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</si>
  <si>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</si>
  <si>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</si>
  <si>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</si>
  <si>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MKN.004</t>
    </r>
  </si>
  <si>
    <r>
      <rPr>
        <rFont val="Arial"/>
        <color theme="1"/>
        <sz val="9.0"/>
      </rPr>
      <t>S. Asam Manis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</si>
  <si>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</si>
  <si>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</si>
  <si>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</si>
  <si>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MKN.002</t>
    </r>
  </si>
  <si>
    <r>
      <rPr>
        <rFont val="Arial"/>
        <color theme="1"/>
        <sz val="9.0"/>
      </rPr>
      <t>S. Teriyaki</t>
    </r>
  </si>
  <si>
    <r>
      <rPr>
        <rFont val="Arial"/>
        <color theme="1"/>
        <sz val="9.0"/>
      </rPr>
      <t>Persediaan</t>
    </r>
  </si>
  <si>
    <t>Ajinomoto @1kg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</si>
  <si>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</si>
  <si>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</si>
  <si>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MKN.059</t>
    </r>
  </si>
  <si>
    <r>
      <rPr>
        <rFont val="Arial"/>
        <color theme="1"/>
        <sz val="9.0"/>
      </rPr>
      <t>SOMAY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</si>
  <si>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</si>
  <si>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</si>
  <si>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</si>
  <si>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MKN.027</t>
    </r>
  </si>
  <si>
    <r>
      <rPr>
        <rFont val="Arial"/>
        <color theme="1"/>
        <sz val="9.0"/>
      </rPr>
      <t>Otak-Otak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</si>
  <si>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</si>
  <si>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</si>
  <si>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</si>
  <si>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MKN.038</t>
    </r>
  </si>
  <si>
    <r>
      <rPr>
        <rFont val="Arial"/>
        <color theme="1"/>
        <sz val="9.0"/>
      </rPr>
      <t>T. Kering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</si>
  <si>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</si>
  <si>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</si>
  <si>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</si>
  <si>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MKN.068</t>
    </r>
  </si>
  <si>
    <r>
      <rPr>
        <rFont val="Arial"/>
        <color theme="1"/>
        <sz val="9.0"/>
      </rPr>
      <t>TEMPURA BURGER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</si>
  <si>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</si>
  <si>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</si>
  <si>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</si>
  <si>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100001</t>
    </r>
  </si>
  <si>
    <r>
      <rPr>
        <rFont val="Arial"/>
        <color theme="1"/>
        <sz val="9.0"/>
      </rPr>
      <t>TOPING AYAM JAMUR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</si>
  <si>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</si>
  <si>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</si>
  <si>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</si>
  <si>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MKN.046</t>
    </r>
  </si>
  <si>
    <r>
      <rPr>
        <rFont val="Arial"/>
        <color theme="1"/>
        <sz val="9.0"/>
      </rPr>
      <t>TOPING AYAM JAMUR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</si>
  <si>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</si>
  <si>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</si>
  <si>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</si>
  <si>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MKN.028</t>
    </r>
  </si>
  <si>
    <r>
      <rPr>
        <rFont val="Arial"/>
        <color theme="1"/>
        <sz val="9.0"/>
      </rPr>
      <t>Tofu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</si>
  <si>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</si>
  <si>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</si>
  <si>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</si>
  <si>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MKN.015</t>
    </r>
  </si>
  <si>
    <r>
      <rPr>
        <rFont val="Arial"/>
        <color theme="1"/>
        <sz val="9.0"/>
      </rPr>
      <t>Tomat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</si>
  <si>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</si>
  <si>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</si>
  <si>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BB.MAKANAN</t>
    </r>
  </si>
  <si>
    <r>
      <rPr>
        <rFont val="Arial"/>
        <color theme="1"/>
        <sz val="9.0"/>
      </rPr>
      <t>100013</t>
    </r>
  </si>
  <si>
    <r>
      <rPr>
        <rFont val="Arial"/>
        <color theme="1"/>
        <sz val="9.0"/>
      </rPr>
      <t>UDANG FRESH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</si>
  <si>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</si>
  <si>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</si>
  <si>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b/>
        <color theme="1"/>
        <sz val="9.0"/>
      </rPr>
      <t>BB.MINUMAN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</si>
  <si>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</si>
  <si>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MNM.016</t>
    </r>
  </si>
  <si>
    <r>
      <rPr>
        <rFont val="Arial"/>
        <color theme="1"/>
        <sz val="9.0"/>
      </rPr>
      <t>Boba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</si>
  <si>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</si>
  <si>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</si>
  <si>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</si>
  <si>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MNM.024</t>
    </r>
  </si>
  <si>
    <r>
      <rPr>
        <rFont val="Arial"/>
        <color theme="1"/>
        <sz val="9.0"/>
      </rPr>
      <t>K. Merah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</si>
  <si>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</si>
  <si>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</si>
  <si>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</si>
  <si>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MNM.025</t>
    </r>
  </si>
  <si>
    <r>
      <rPr>
        <rFont val="Arial"/>
        <color theme="1"/>
        <sz val="9.0"/>
      </rPr>
      <t>Bubuk Matcha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</si>
  <si>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</si>
  <si>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</si>
  <si>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</si>
  <si>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BB.MNM.005</t>
    </r>
  </si>
  <si>
    <r>
      <rPr>
        <rFont val="Arial"/>
        <color theme="1"/>
        <sz val="9.0"/>
      </rPr>
      <t>Buah Naga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</si>
  <si>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</si>
  <si>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</si>
  <si>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</si>
  <si>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BB.MNM.007</t>
    </r>
  </si>
  <si>
    <r>
      <rPr>
        <rFont val="Arial"/>
        <color theme="1"/>
        <sz val="9.0"/>
      </rPr>
      <t>SIRUP LEMON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</si>
  <si>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</si>
  <si>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</si>
  <si>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</si>
  <si>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BB.MNM.002</t>
    </r>
  </si>
  <si>
    <r>
      <rPr>
        <rFont val="Arial"/>
        <color theme="1"/>
        <sz val="9.0"/>
      </rPr>
      <t>K. Hijau</t>
    </r>
  </si>
  <si>
    <r>
      <rPr>
        <rFont val="Arial"/>
        <color theme="1"/>
        <sz val="9.0"/>
      </rPr>
      <t>Persediaan</t>
    </r>
  </si>
  <si>
    <t>Susu UHT @946ml (12)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</si>
  <si>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</si>
  <si>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</si>
  <si>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MNM.019</t>
    </r>
  </si>
  <si>
    <r>
      <rPr>
        <rFont val="Arial"/>
        <color theme="1"/>
        <sz val="9.0"/>
      </rPr>
      <t>Crimer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</si>
  <si>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</si>
  <si>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</si>
  <si>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</si>
  <si>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MNM.013</t>
    </r>
  </si>
  <si>
    <r>
      <rPr>
        <rFont val="Arial"/>
        <color theme="1"/>
        <sz val="9.0"/>
      </rPr>
      <t>Es Batu Balok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</si>
  <si>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</si>
  <si>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</si>
  <si>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</si>
  <si>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MNM.014</t>
    </r>
  </si>
  <si>
    <r>
      <rPr>
        <rFont val="Arial"/>
        <color theme="1"/>
        <sz val="9.0"/>
      </rPr>
      <t>Es Cristal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</si>
  <si>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</si>
  <si>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</si>
  <si>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</si>
  <si>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BB.MNM.004</t>
    </r>
  </si>
  <si>
    <r>
      <rPr>
        <rFont val="Arial"/>
        <color theme="1"/>
        <sz val="9.0"/>
      </rPr>
      <t>Melon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</si>
  <si>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</si>
  <si>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</si>
  <si>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</si>
  <si>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MNM.021</t>
    </r>
  </si>
  <si>
    <r>
      <rPr>
        <rFont val="Arial"/>
        <color theme="1"/>
        <sz val="9.0"/>
      </rPr>
      <t>PEWARNA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</si>
  <si>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</si>
  <si>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</si>
  <si>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</si>
  <si>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MNM.020</t>
    </r>
  </si>
  <si>
    <r>
      <rPr>
        <rFont val="Arial"/>
        <color theme="1"/>
        <sz val="9.0"/>
      </rPr>
      <t>SKM CARNATION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</si>
  <si>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</si>
  <si>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</si>
  <si>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</si>
  <si>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MNM.012</t>
    </r>
  </si>
  <si>
    <r>
      <rPr>
        <rFont val="Arial"/>
        <color theme="1"/>
        <sz val="9.0"/>
      </rPr>
      <t>Twin Wall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</si>
  <si>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</si>
  <si>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</si>
  <si>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</si>
  <si>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MNM.011</t>
    </r>
  </si>
  <si>
    <r>
      <rPr>
        <rFont val="Arial"/>
        <color theme="1"/>
        <sz val="9.0"/>
      </rPr>
      <t>Jelly Kosena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</si>
  <si>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</si>
  <si>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</si>
  <si>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</si>
  <si>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MNM.009</t>
    </r>
  </si>
  <si>
    <r>
      <rPr>
        <rFont val="Arial"/>
        <color theme="1"/>
        <sz val="9.0"/>
      </rPr>
      <t>Gula Pasir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</si>
  <si>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</si>
  <si>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</si>
  <si>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</si>
  <si>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MNM.010</t>
    </r>
  </si>
  <si>
    <r>
      <rPr>
        <rFont val="Arial"/>
        <color theme="1"/>
        <sz val="9.0"/>
      </rPr>
      <t>Air Mineral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</si>
  <si>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</si>
  <si>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</si>
  <si>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</si>
  <si>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677</t>
    </r>
  </si>
  <si>
    <r>
      <rPr>
        <rFont val="Arial"/>
        <color theme="1"/>
        <sz val="9.0"/>
      </rPr>
      <t>K. Merah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</si>
  <si>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</si>
  <si>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</si>
  <si>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</si>
  <si>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BB.MNM.014</t>
    </r>
  </si>
  <si>
    <r>
      <rPr>
        <rFont val="Arial"/>
        <color theme="1"/>
        <sz val="9.0"/>
      </rPr>
      <t>LEA MARJAN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</si>
  <si>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</si>
  <si>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</si>
  <si>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</si>
  <si>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BB.MNM.011</t>
    </r>
  </si>
  <si>
    <r>
      <rPr>
        <rFont val="Arial"/>
        <color theme="1"/>
        <sz val="9.0"/>
      </rPr>
      <t>SIRUP STRAWBERRY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</si>
  <si>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</si>
  <si>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</si>
  <si>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</si>
  <si>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MNM.008</t>
    </r>
  </si>
  <si>
    <r>
      <rPr>
        <rFont val="Arial"/>
        <color theme="1"/>
        <sz val="9.0"/>
      </rPr>
      <t>Gula Es Campur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</si>
  <si>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</si>
  <si>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</si>
  <si>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</si>
  <si>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MNM.017</t>
    </r>
  </si>
  <si>
    <r>
      <rPr>
        <rFont val="Arial"/>
        <color theme="1"/>
        <sz val="9.0"/>
      </rPr>
      <t>BUBUK TEH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</si>
  <si>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</si>
  <si>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</si>
  <si>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</si>
  <si>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MNM.018</t>
    </r>
  </si>
  <si>
    <r>
      <rPr>
        <rFont val="Arial"/>
        <color theme="1"/>
        <sz val="9.0"/>
      </rPr>
      <t>Coklat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</si>
  <si>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</si>
  <si>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</si>
  <si>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</si>
  <si>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BB.MNM.013</t>
    </r>
  </si>
  <si>
    <r>
      <rPr>
        <rFont val="Arial"/>
        <color theme="1"/>
        <sz val="9.0"/>
      </rPr>
      <t>SIRUP MARKISA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</si>
  <si>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</si>
  <si>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</si>
  <si>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</si>
  <si>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BB.MNM.008</t>
    </r>
  </si>
  <si>
    <r>
      <rPr>
        <rFont val="Arial"/>
        <color theme="1"/>
        <sz val="9.0"/>
      </rPr>
      <t>SIRUP VANILLA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</si>
  <si>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</si>
  <si>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</si>
  <si>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</si>
  <si>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BB.MNM.012</t>
    </r>
  </si>
  <si>
    <r>
      <rPr>
        <rFont val="Arial"/>
        <color theme="1"/>
        <sz val="9.0"/>
      </rPr>
      <t>SUSU DIAMOND @1 LITER</t>
    </r>
  </si>
  <si>
    <r>
      <rPr>
        <rFont val="Arial"/>
        <color theme="1"/>
        <sz val="9.0"/>
      </rPr>
      <t>Persediaan</t>
    </r>
  </si>
  <si>
    <t>Blue Band @4,5Kg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</si>
  <si>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</si>
  <si>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</si>
  <si>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BB.MNM.003</t>
    </r>
  </si>
  <si>
    <r>
      <rPr>
        <rFont val="Arial"/>
        <color theme="1"/>
        <sz val="9.0"/>
      </rPr>
      <t>Semangka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</si>
  <si>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</si>
  <si>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</si>
  <si>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</si>
  <si>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BB.MNM.009</t>
    </r>
  </si>
  <si>
    <r>
      <rPr>
        <rFont val="Arial"/>
        <color theme="1"/>
        <sz val="9.0"/>
      </rPr>
      <t>SIRUP BUTTERSCO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</si>
  <si>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</si>
  <si>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</si>
  <si>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</si>
  <si>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BB.MNM.010</t>
    </r>
  </si>
  <si>
    <r>
      <rPr>
        <rFont val="Arial"/>
        <color theme="1"/>
        <sz val="9.0"/>
      </rPr>
      <t>SIRUP CARAMEL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</si>
  <si>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</si>
  <si>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KG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</si>
  <si>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</si>
  <si>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MNM.023</t>
    </r>
  </si>
  <si>
    <r>
      <rPr>
        <rFont val="Arial"/>
        <color theme="1"/>
        <sz val="9.0"/>
      </rPr>
      <t>PEWARNA HIJAU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</si>
  <si>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</si>
  <si>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</si>
  <si>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t>NO</t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</si>
  <si>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</si>
  <si>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100006</t>
    </r>
  </si>
  <si>
    <r>
      <rPr>
        <rFont val="Arial"/>
        <color theme="1"/>
        <sz val="9.0"/>
      </rPr>
      <t>PEWARNA HIJAU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</si>
  <si>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</si>
  <si>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</si>
  <si>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</si>
  <si>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MNM.026</t>
    </r>
  </si>
  <si>
    <t>KELOMPOK</t>
  </si>
  <si>
    <r>
      <rPr>
        <rFont val="Arial"/>
        <color theme="1"/>
        <sz val="9.0"/>
      </rPr>
      <t>PEWARNA KUNING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</si>
  <si>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</si>
  <si>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</si>
  <si>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</si>
  <si>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MNM.022</t>
    </r>
  </si>
  <si>
    <r>
      <rPr>
        <rFont val="Arial"/>
        <color theme="1"/>
        <sz val="9.0"/>
      </rPr>
      <t>PEWARNA MERAH</t>
    </r>
  </si>
  <si>
    <t>HARGA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</si>
  <si>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</si>
  <si>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</si>
  <si>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BB.MINUMAN</t>
    </r>
  </si>
  <si>
    <r>
      <rPr>
        <rFont val="Arial"/>
        <color theme="1"/>
        <sz val="9.0"/>
      </rPr>
      <t>MNM.015</t>
    </r>
  </si>
  <si>
    <r>
      <rPr>
        <rFont val="Arial"/>
        <color theme="1"/>
        <sz val="9.0"/>
      </rPr>
      <t>Stobery</t>
    </r>
  </si>
  <si>
    <r>
      <rPr>
        <rFont val="Arial"/>
        <color theme="1"/>
        <sz val="9.0"/>
      </rPr>
      <t>Persediaan</t>
    </r>
  </si>
  <si>
    <t>Makanan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</si>
  <si>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</si>
  <si>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BB.MINUMAN</t>
    </r>
  </si>
  <si>
    <t>Ayam Fillet Dada(bahan baku)</t>
  </si>
  <si>
    <r>
      <rPr>
        <rFont val="Arial"/>
        <color theme="1"/>
        <sz val="9.0"/>
      </rPr>
      <t>BB.MNM.006</t>
    </r>
  </si>
  <si>
    <r>
      <rPr>
        <rFont val="Arial"/>
        <color theme="1"/>
        <sz val="9.0"/>
      </rPr>
      <t>Strowberry Frozen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</si>
  <si>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</si>
  <si>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</si>
  <si>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b/>
        <color theme="1"/>
        <sz val="9.0"/>
      </rPr>
      <t>BB.MKN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</si>
  <si>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</si>
  <si>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MKN.30102</t>
    </r>
  </si>
  <si>
    <r>
      <rPr>
        <rFont val="Arial"/>
        <color theme="1"/>
        <sz val="9.0"/>
      </rPr>
      <t>Ayam Gulung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</si>
  <si>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</si>
  <si>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</si>
  <si>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</si>
  <si>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MKN.30103</t>
    </r>
  </si>
  <si>
    <r>
      <rPr>
        <rFont val="Arial"/>
        <color theme="1"/>
        <sz val="9.0"/>
      </rPr>
      <t>Ayam Rice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</si>
  <si>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</si>
  <si>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</si>
  <si>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</si>
  <si>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MKN.30100</t>
    </r>
  </si>
  <si>
    <r>
      <rPr>
        <rFont val="Arial"/>
        <color theme="1"/>
        <sz val="9.0"/>
      </rPr>
      <t>Ajinomoto</t>
    </r>
  </si>
  <si>
    <r>
      <rPr>
        <rFont val="Arial"/>
        <color theme="1"/>
        <sz val="9.0"/>
      </rPr>
      <t>Persediaan</t>
    </r>
  </si>
  <si>
    <t>Ayam Rice Bowl @500gr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</si>
  <si>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</si>
  <si>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</si>
  <si>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t>Ayam Fillet Kecil @50gr</t>
  </si>
  <si>
    <r>
      <rPr>
        <rFont val="Arial"/>
        <color theme="1"/>
        <sz val="9.0"/>
      </rPr>
      <t>MKN.30101</t>
    </r>
  </si>
  <si>
    <r>
      <rPr>
        <rFont val="Arial"/>
        <color theme="1"/>
        <sz val="9.0"/>
      </rPr>
      <t>Ayam Filet</t>
    </r>
  </si>
  <si>
    <r>
      <rPr>
        <rFont val="Arial"/>
        <color theme="1"/>
        <sz val="9.0"/>
      </rPr>
      <t>Persediaan</t>
    </r>
  </si>
  <si>
    <t>Toping Ayam Kecap @500gr</t>
  </si>
  <si>
    <t>500gr</t>
  </si>
  <si>
    <r>
      <rPr>
        <rFont val="Arial"/>
        <color theme="1"/>
        <sz val="9.0"/>
      </rPr>
      <t>Pcs</t>
    </r>
  </si>
  <si>
    <t>Toping Ayam Jamur @500gr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</si>
  <si>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</si>
  <si>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MKN.30105</t>
    </r>
  </si>
  <si>
    <r>
      <rPr>
        <rFont val="Arial"/>
        <color theme="1"/>
        <sz val="9.0"/>
      </rPr>
      <t>Bakso Ikan Bandeng</t>
    </r>
  </si>
  <si>
    <t>Beef Rice Bowl @500gr</t>
  </si>
  <si>
    <r>
      <rPr>
        <rFont val="Arial"/>
        <color theme="1"/>
        <sz val="9.0"/>
      </rPr>
      <t>Persediaan</t>
    </r>
  </si>
  <si>
    <t>Toping Ayam Pedas @500gr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</si>
  <si>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</si>
  <si>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</si>
  <si>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MKN.30107</t>
    </r>
  </si>
  <si>
    <r>
      <rPr>
        <rFont val="Arial"/>
        <color theme="1"/>
        <sz val="9.0"/>
      </rPr>
      <t>Bawang Merah Kupas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</si>
  <si>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</si>
  <si>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</si>
  <si>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</si>
  <si>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MKN.30126</t>
    </r>
  </si>
  <si>
    <r>
      <rPr>
        <rFont val="Arial"/>
        <color theme="1"/>
        <sz val="9.0"/>
      </rPr>
      <t>Mie Basah</t>
    </r>
  </si>
  <si>
    <t>CPR.0004 NEW</t>
  </si>
  <si>
    <r>
      <rPr>
        <rFont val="Arial"/>
        <color theme="1"/>
        <sz val="9.0"/>
      </rPr>
      <t>Persediaan</t>
    </r>
  </si>
  <si>
    <t>ICE CAMPUR 8 PORSI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</si>
  <si>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</si>
  <si>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</si>
  <si>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MKN.30106</t>
    </r>
  </si>
  <si>
    <r>
      <rPr>
        <rFont val="Arial"/>
        <color theme="1"/>
        <sz val="9.0"/>
      </rPr>
      <t>Toping Ayam Jamur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</si>
  <si>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</si>
  <si>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</si>
  <si>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</si>
  <si>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MKN.30127</t>
    </r>
  </si>
  <si>
    <r>
      <rPr>
        <rFont val="Arial"/>
        <color theme="1"/>
        <sz val="9.0"/>
      </rPr>
      <t>Mie Goreng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</si>
  <si>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</si>
  <si>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</si>
  <si>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</si>
  <si>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MKN.30131</t>
    </r>
  </si>
  <si>
    <r>
      <rPr>
        <rFont val="Arial"/>
        <color theme="1"/>
        <sz val="9.0"/>
      </rPr>
      <t>Otak-Otak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</si>
  <si>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</si>
  <si>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</si>
  <si>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</si>
  <si>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MKN.30132</t>
    </r>
  </si>
  <si>
    <r>
      <rPr>
        <rFont val="Arial"/>
        <color theme="1"/>
        <sz val="9.0"/>
      </rPr>
      <t>Pokcoy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</si>
  <si>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</si>
  <si>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</si>
  <si>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</si>
  <si>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MKN.30134</t>
    </r>
  </si>
  <si>
    <r>
      <rPr>
        <rFont val="Arial"/>
        <color theme="1"/>
        <sz val="9.0"/>
      </rPr>
      <t>S. Asam Manis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</si>
  <si>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</si>
  <si>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</si>
  <si>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</si>
  <si>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MKN.30135</t>
    </r>
  </si>
  <si>
    <r>
      <rPr>
        <rFont val="Arial"/>
        <color theme="1"/>
        <sz val="9.0"/>
      </rPr>
      <t>S. Ayam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</si>
  <si>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</si>
  <si>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</si>
  <si>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</si>
  <si>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MKN.30136</t>
    </r>
  </si>
  <si>
    <r>
      <rPr>
        <rFont val="Arial"/>
        <color theme="1"/>
        <sz val="9.0"/>
      </rPr>
      <t>S. Daging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</si>
  <si>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</si>
  <si>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</si>
  <si>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</si>
  <si>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MKN.30137</t>
    </r>
  </si>
  <si>
    <r>
      <rPr>
        <rFont val="Arial"/>
        <color theme="1"/>
        <sz val="9.0"/>
      </rPr>
      <t>S. Jawa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</si>
  <si>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</si>
  <si>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</si>
  <si>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</si>
  <si>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MKN.30138</t>
    </r>
  </si>
  <si>
    <r>
      <rPr>
        <rFont val="Arial"/>
        <color theme="1"/>
        <sz val="9.0"/>
      </rPr>
      <t>S. Ladah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</si>
  <si>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</si>
  <si>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</si>
  <si>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</si>
  <si>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MKN.30139</t>
    </r>
  </si>
  <si>
    <r>
      <rPr>
        <rFont val="Arial"/>
        <color theme="1"/>
        <sz val="9.0"/>
      </rPr>
      <t>S. Madu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</si>
  <si>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</si>
  <si>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</si>
  <si>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</si>
  <si>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MKN.30142</t>
    </r>
  </si>
  <si>
    <r>
      <rPr>
        <rFont val="Arial"/>
        <color theme="1"/>
        <sz val="9.0"/>
      </rPr>
      <t>S. Teriyaki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</si>
  <si>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</si>
  <si>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</si>
  <si>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</si>
  <si>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MKN.30143</t>
    </r>
  </si>
  <si>
    <r>
      <rPr>
        <rFont val="Arial"/>
        <color theme="1"/>
        <sz val="9.0"/>
      </rPr>
      <t>S. Vietnam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</si>
  <si>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</si>
  <si>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</si>
  <si>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</si>
  <si>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MKN.30144</t>
    </r>
  </si>
  <si>
    <r>
      <rPr>
        <rFont val="Arial"/>
        <color theme="1"/>
        <sz val="9.0"/>
      </rPr>
      <t>Sambal Monster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</si>
  <si>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</si>
  <si>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</si>
  <si>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</si>
  <si>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MKN.30145</t>
    </r>
  </si>
  <si>
    <r>
      <rPr>
        <rFont val="Arial"/>
        <color theme="1"/>
        <sz val="9.0"/>
      </rPr>
      <t>Scallop Premium @500gram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</si>
  <si>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</si>
  <si>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</si>
  <si>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</si>
  <si>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MKN.30146</t>
    </r>
  </si>
  <si>
    <r>
      <rPr>
        <rFont val="Arial"/>
        <color theme="1"/>
        <sz val="9.0"/>
      </rPr>
      <t>Somay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</si>
  <si>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</si>
  <si>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</si>
  <si>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</si>
  <si>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MKN.30147</t>
    </r>
  </si>
  <si>
    <r>
      <rPr>
        <rFont val="Arial"/>
        <color theme="1"/>
        <sz val="9.0"/>
      </rPr>
      <t>Somay Keju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</si>
  <si>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</si>
  <si>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</si>
  <si>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</si>
  <si>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MKN.30149</t>
    </r>
  </si>
  <si>
    <r>
      <rPr>
        <rFont val="Arial"/>
        <color theme="1"/>
        <sz val="9.0"/>
      </rPr>
      <t>Telur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</si>
  <si>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</si>
  <si>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</si>
  <si>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</si>
  <si>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MKN.30150</t>
    </r>
  </si>
  <si>
    <r>
      <rPr>
        <rFont val="Arial"/>
        <color theme="1"/>
        <sz val="9.0"/>
      </rPr>
      <t>Timun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</si>
  <si>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</si>
  <si>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</si>
  <si>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</si>
  <si>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MKN.30141</t>
    </r>
  </si>
  <si>
    <r>
      <rPr>
        <rFont val="Arial"/>
        <color theme="1"/>
        <sz val="9.0"/>
      </rPr>
      <t>S. Sambel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</si>
  <si>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</si>
  <si>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</si>
  <si>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</si>
  <si>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MKN.30156</t>
    </r>
  </si>
  <si>
    <r>
      <rPr>
        <rFont val="Arial"/>
        <color theme="1"/>
        <sz val="9.0"/>
      </rPr>
      <t>Bakso Ikan Bintang Besar @500 Gr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</si>
  <si>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</si>
  <si>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</si>
  <si>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</si>
  <si>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MKN.30151</t>
    </r>
  </si>
  <si>
    <r>
      <rPr>
        <rFont val="Arial"/>
        <color theme="1"/>
        <sz val="9.0"/>
      </rPr>
      <t>Tomat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</si>
  <si>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</si>
  <si>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</si>
  <si>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</si>
  <si>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MKN.30153</t>
    </r>
  </si>
  <si>
    <r>
      <rPr>
        <rFont val="Arial"/>
        <color theme="1"/>
        <sz val="9.0"/>
      </rPr>
      <t>Toping Ayam Kecap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</si>
  <si>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</si>
  <si>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</si>
  <si>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</si>
  <si>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t>Saus Japanese</t>
  </si>
  <si>
    <r>
      <rPr>
        <rFont val="Arial"/>
        <color theme="1"/>
        <sz val="9.0"/>
      </rPr>
      <t>MKN.30154</t>
    </r>
  </si>
  <si>
    <r>
      <rPr>
        <rFont val="Arial"/>
        <color theme="1"/>
        <sz val="9.0"/>
      </rPr>
      <t>Toping Ayam Pedas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</si>
  <si>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</si>
  <si>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</si>
  <si>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</si>
  <si>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MKN.30155</t>
    </r>
  </si>
  <si>
    <r>
      <rPr>
        <rFont val="Arial"/>
        <color theme="1"/>
        <sz val="9.0"/>
      </rPr>
      <t>Udang Fresh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</si>
  <si>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</si>
  <si>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</si>
  <si>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t>Sauce Tomat ABC @24kg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</si>
  <si>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</si>
  <si>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MKN.30140</t>
    </r>
  </si>
  <si>
    <r>
      <rPr>
        <rFont val="Arial"/>
        <color theme="1"/>
        <sz val="9.0"/>
      </rPr>
      <t>S. Rice Bowl</t>
    </r>
  </si>
  <si>
    <r>
      <rPr>
        <rFont val="Arial"/>
        <color theme="1"/>
        <sz val="9.0"/>
      </rPr>
      <t>Persediaan</t>
    </r>
  </si>
  <si>
    <t xml:space="preserve">Saus Ayam Danbing 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</si>
  <si>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</si>
  <si>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</si>
  <si>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MKN.30148</t>
    </r>
  </si>
  <si>
    <r>
      <rPr>
        <rFont val="Arial"/>
        <color theme="1"/>
        <sz val="9.0"/>
      </rPr>
      <t>T. Kering</t>
    </r>
  </si>
  <si>
    <r>
      <rPr>
        <rFont val="Arial"/>
        <color theme="1"/>
        <sz val="9.0"/>
      </rPr>
      <t>Persediaan</t>
    </r>
  </si>
  <si>
    <t>Saus Tiga Rasa</t>
  </si>
  <si>
    <r>
      <rPr>
        <rFont val="Arial"/>
        <color theme="1"/>
        <sz val="9.0"/>
      </rPr>
      <t>Gram</t>
    </r>
  </si>
  <si>
    <t>Saus Vietnam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</si>
  <si>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</si>
  <si>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MKN.30104</t>
    </r>
  </si>
  <si>
    <t>Saus Teriyaki</t>
  </si>
  <si>
    <r>
      <rPr>
        <rFont val="Arial"/>
        <color theme="1"/>
        <sz val="9.0"/>
      </rPr>
      <t>Bakso Ayam</t>
    </r>
  </si>
  <si>
    <r>
      <rPr>
        <rFont val="Arial"/>
        <color theme="1"/>
        <sz val="9.0"/>
      </rPr>
      <t>Persediaan</t>
    </r>
  </si>
  <si>
    <t>Saus Madu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</si>
  <si>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</si>
  <si>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</si>
  <si>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MKN.30108</t>
    </r>
  </si>
  <si>
    <r>
      <rPr>
        <rFont val="Arial"/>
        <color theme="1"/>
        <sz val="9.0"/>
      </rPr>
      <t>Bawang Putih</t>
    </r>
  </si>
  <si>
    <r>
      <rPr>
        <rFont val="Arial"/>
        <color theme="1"/>
        <sz val="9.0"/>
      </rPr>
      <t>Persediaan</t>
    </r>
  </si>
  <si>
    <t>Sambel Jawa</t>
  </si>
  <si>
    <r>
      <rPr>
        <rFont val="Arial"/>
        <color theme="1"/>
        <sz val="9.0"/>
      </rPr>
      <t>Gram</t>
    </r>
  </si>
  <si>
    <t>Sambel Rice Bowl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</si>
  <si>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</si>
  <si>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MKN.30109</t>
    </r>
  </si>
  <si>
    <r>
      <rPr>
        <rFont val="Arial"/>
        <color theme="1"/>
        <sz val="9.0"/>
      </rPr>
      <t>Beras 25kg</t>
    </r>
  </si>
  <si>
    <r>
      <rPr>
        <rFont val="Arial"/>
        <color theme="1"/>
        <sz val="9.0"/>
      </rPr>
      <t>Persediaan</t>
    </r>
  </si>
  <si>
    <t>Kecap Asin Mix</t>
  </si>
  <si>
    <r>
      <rPr>
        <rFont val="Arial"/>
        <color theme="1"/>
        <sz val="9.0"/>
      </rPr>
      <t>Gram</t>
    </r>
  </si>
  <si>
    <t>Saus Hot Ayam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</si>
  <si>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</si>
  <si>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MKN.30120</t>
    </r>
  </si>
  <si>
    <r>
      <rPr>
        <rFont val="Arial"/>
        <color theme="1"/>
        <sz val="9.0"/>
      </rPr>
      <t>Kecap Asin</t>
    </r>
  </si>
  <si>
    <r>
      <rPr>
        <rFont val="Arial"/>
        <color theme="1"/>
        <sz val="9.0"/>
      </rPr>
      <t>Persediaan</t>
    </r>
  </si>
  <si>
    <t>Boba @200gr</t>
  </si>
  <si>
    <r>
      <rPr>
        <rFont val="Arial"/>
        <color theme="1"/>
        <sz val="9.0"/>
      </rPr>
      <t>Gram</t>
    </r>
  </si>
  <si>
    <t>Mie Basah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</si>
  <si>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</si>
  <si>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MKN.30110</t>
    </r>
  </si>
  <si>
    <r>
      <rPr>
        <rFont val="Arial"/>
        <color theme="1"/>
        <sz val="9.0"/>
      </rPr>
      <t>Bombay</t>
    </r>
  </si>
  <si>
    <r>
      <rPr>
        <rFont val="Arial"/>
        <color theme="1"/>
        <sz val="9.0"/>
      </rPr>
      <t>Persediaan</t>
    </r>
  </si>
  <si>
    <t>Mie Goreng</t>
  </si>
  <si>
    <r>
      <rPr>
        <rFont val="Arial"/>
        <color theme="1"/>
        <sz val="9.0"/>
      </rPr>
      <t>Gram</t>
    </r>
  </si>
  <si>
    <t>Kuah Mie</t>
  </si>
  <si>
    <t>Ltr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</si>
  <si>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</si>
  <si>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MKN.30111</t>
    </r>
  </si>
  <si>
    <t>Minuman</t>
  </si>
  <si>
    <t xml:space="preserve">Gula Cair </t>
  </si>
  <si>
    <r>
      <rPr>
        <rFont val="Arial"/>
        <color theme="1"/>
        <sz val="9.0"/>
      </rPr>
      <t>Daging Lowfat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</si>
  <si>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</si>
  <si>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</si>
  <si>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</si>
  <si>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MKN.30112</t>
    </r>
  </si>
  <si>
    <r>
      <rPr>
        <rFont val="Arial"/>
        <color theme="1"/>
        <sz val="9.0"/>
      </rPr>
      <t>Daun Bawang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</si>
  <si>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</si>
  <si>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</si>
  <si>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</si>
  <si>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MKN.30115</t>
    </r>
  </si>
  <si>
    <r>
      <rPr>
        <rFont val="Arial"/>
        <color theme="1"/>
        <sz val="9.0"/>
      </rPr>
      <t>Gorengan Mie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</si>
  <si>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</si>
  <si>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</si>
  <si>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t>Kacang Merah (Mentah)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</si>
  <si>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</si>
  <si>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MKN.30116</t>
    </r>
  </si>
  <si>
    <r>
      <rPr>
        <rFont val="Arial"/>
        <color theme="1"/>
        <sz val="9.0"/>
      </rPr>
      <t>Ice Cream Goreng Coklat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</si>
  <si>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</si>
  <si>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</si>
  <si>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</si>
  <si>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MKN.30117</t>
    </r>
  </si>
  <si>
    <r>
      <rPr>
        <rFont val="Arial"/>
        <color theme="1"/>
        <sz val="9.0"/>
      </rPr>
      <t>Ice Cream Goreng Strawberry</t>
    </r>
  </si>
  <si>
    <r>
      <rPr>
        <rFont val="Arial"/>
        <color theme="1"/>
        <sz val="9.0"/>
      </rPr>
      <t>Persediaan</t>
    </r>
  </si>
  <si>
    <t>Kacang Hijau (Mentah)</t>
  </si>
  <si>
    <r>
      <rPr>
        <rFont val="Arial"/>
        <color theme="1"/>
        <sz val="9.0"/>
      </rPr>
      <t>Pcs</t>
    </r>
  </si>
  <si>
    <t>Kacang Merah (Matang)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</si>
  <si>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</si>
  <si>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MKN.30118</t>
    </r>
  </si>
  <si>
    <r>
      <rPr>
        <rFont val="Arial"/>
        <color theme="1"/>
        <sz val="9.0"/>
      </rPr>
      <t>Ice Cream Goreng Vanilla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</si>
  <si>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</si>
  <si>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</si>
  <si>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</si>
  <si>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t>Kacang Hijau (Matang)</t>
  </si>
  <si>
    <r>
      <rPr>
        <rFont val="Arial"/>
        <color theme="1"/>
        <sz val="9.0"/>
      </rPr>
      <t>MKN.30119</t>
    </r>
  </si>
  <si>
    <r>
      <rPr>
        <rFont val="Arial"/>
        <color theme="1"/>
        <sz val="9.0"/>
      </rPr>
      <t>Ikan Olahan Bentuk Tahu @500 Gram</t>
    </r>
  </si>
  <si>
    <r>
      <rPr>
        <rFont val="Arial"/>
        <color theme="1"/>
        <sz val="9.0"/>
      </rPr>
      <t>Persediaan</t>
    </r>
  </si>
  <si>
    <t>Skm Carnation  @488gr (48)</t>
  </si>
  <si>
    <t>kaleng</t>
  </si>
  <si>
    <r>
      <rPr>
        <rFont val="Arial"/>
        <color theme="1"/>
        <sz val="9.0"/>
      </rPr>
      <t>Pcs</t>
    </r>
  </si>
  <si>
    <t>Teh Bendera @250gr (24)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</si>
  <si>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</si>
  <si>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MKN.30114</t>
    </r>
  </si>
  <si>
    <r>
      <rPr>
        <rFont val="Arial"/>
        <color theme="1"/>
        <sz val="9.0"/>
      </rPr>
      <t>Garam</t>
    </r>
  </si>
  <si>
    <r>
      <rPr>
        <rFont val="Arial"/>
        <color theme="1"/>
        <sz val="9.0"/>
      </rPr>
      <t>Persediaan</t>
    </r>
  </si>
  <si>
    <t>Teh Tong Tji @250gr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</si>
  <si>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</si>
  <si>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</si>
  <si>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t>Saus Hot Sapi</t>
  </si>
  <si>
    <r>
      <rPr>
        <rFont val="Arial"/>
        <color theme="1"/>
        <sz val="9.0"/>
      </rPr>
      <t>MKN.30124</t>
    </r>
  </si>
  <si>
    <r>
      <rPr>
        <rFont val="Arial"/>
        <color theme="1"/>
        <sz val="9.0"/>
      </rPr>
      <t>Kulit Ayam</t>
    </r>
  </si>
  <si>
    <r>
      <rPr>
        <rFont val="Arial"/>
        <color theme="1"/>
        <sz val="9.0"/>
      </rPr>
      <t>Persediaan</t>
    </r>
  </si>
  <si>
    <t>Nanas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</si>
  <si>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</si>
  <si>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</si>
  <si>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MKN.30113</t>
    </r>
  </si>
  <si>
    <r>
      <rPr>
        <rFont val="Arial"/>
        <color theme="1"/>
        <sz val="9.0"/>
      </rPr>
      <t>Daun Bawang Prei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</si>
  <si>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</si>
  <si>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</si>
  <si>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t>Mili Choco Hazelnut @1kg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</si>
  <si>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</si>
  <si>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MKN.30121</t>
    </r>
  </si>
  <si>
    <r>
      <rPr>
        <rFont val="Arial"/>
        <color theme="1"/>
        <sz val="9.0"/>
      </rPr>
      <t>Kecap Manis</t>
    </r>
  </si>
  <si>
    <r>
      <rPr>
        <rFont val="Arial"/>
        <color theme="1"/>
        <sz val="9.0"/>
      </rPr>
      <t>Persediaan</t>
    </r>
  </si>
  <si>
    <t>Teh Bandulan @40gr</t>
  </si>
  <si>
    <r>
      <rPr>
        <rFont val="Arial"/>
        <color theme="1"/>
        <sz val="9.0"/>
      </rPr>
      <t>Gram</t>
    </r>
  </si>
  <si>
    <t>Brown Sugar @1000ml (6)</t>
  </si>
  <si>
    <r>
      <rPr>
        <rFont val="Arial"/>
        <color theme="1"/>
        <sz val="9.0"/>
      </rPr>
      <t>BB.MKN</t>
    </r>
  </si>
  <si>
    <t>Gula Mix (Es campur)</t>
  </si>
  <si>
    <t>Coklat Mix (bubuk)</t>
  </si>
  <si>
    <r>
      <rPr>
        <rFont val="Arial"/>
        <color theme="1"/>
        <sz val="9.0"/>
      </rPr>
      <t>MKN.30122</t>
    </r>
  </si>
  <si>
    <t>Tehh Mix @60gr</t>
  </si>
  <si>
    <r>
      <rPr>
        <rFont val="Arial"/>
        <color theme="1"/>
        <sz val="9.0"/>
      </rPr>
      <t>Kentang</t>
    </r>
  </si>
  <si>
    <r>
      <rPr>
        <rFont val="Arial"/>
        <color theme="1"/>
        <sz val="9.0"/>
      </rPr>
      <t>Persediaan</t>
    </r>
  </si>
  <si>
    <t>Pembantu</t>
  </si>
  <si>
    <t>baking powder (Crascan) @2721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</si>
  <si>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</si>
  <si>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</si>
  <si>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MKN.30123</t>
    </r>
  </si>
  <si>
    <t>baking powder hercules @450gr</t>
  </si>
  <si>
    <r>
      <rPr>
        <rFont val="Arial"/>
        <color theme="1"/>
        <sz val="9.0"/>
      </rPr>
      <t>Kuah Mie</t>
    </r>
  </si>
  <si>
    <t xml:space="preserve">Bawang Putih Cincang </t>
  </si>
  <si>
    <t>Bawang Merah</t>
  </si>
  <si>
    <t>Bawang Putih</t>
  </si>
  <si>
    <t>Cabe Rawit Kecil</t>
  </si>
  <si>
    <t>Cabe Merah Besar</t>
  </si>
  <si>
    <t>Coklat Batang @500gr</t>
  </si>
  <si>
    <r>
      <rPr>
        <rFont val="Arial"/>
        <color theme="1"/>
        <sz val="9.0"/>
      </rPr>
      <t>Persediaan</t>
    </r>
  </si>
  <si>
    <t xml:space="preserve">Coklat Bubuk </t>
  </si>
  <si>
    <r>
      <rPr>
        <rFont val="Arial"/>
        <color theme="1"/>
        <sz val="9.0"/>
      </rPr>
      <t>Gram</t>
    </r>
  </si>
  <si>
    <t>Gula Halus Edna @500gr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</si>
  <si>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</si>
  <si>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MKN.30125</t>
    </r>
  </si>
  <si>
    <t xml:space="preserve">Gula Pasir </t>
  </si>
  <si>
    <r>
      <rPr>
        <rFont val="Arial"/>
        <color theme="1"/>
        <sz val="9.0"/>
      </rPr>
      <t>Lumpia Kulit Tahu</t>
    </r>
  </si>
  <si>
    <r>
      <rPr>
        <rFont val="Arial"/>
        <color theme="1"/>
        <sz val="9.0"/>
      </rPr>
      <t>Persediaan</t>
    </r>
  </si>
  <si>
    <t>Kecap Hitam Jamur @600ml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</si>
  <si>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</si>
  <si>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</si>
  <si>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MKN.30157</t>
    </r>
  </si>
  <si>
    <t>Gula Batu @1kg (12)</t>
  </si>
  <si>
    <r>
      <rPr>
        <rFont val="Arial"/>
        <color theme="1"/>
        <sz val="9.0"/>
      </rPr>
      <t>Mix vegetable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</si>
  <si>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</si>
  <si>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</si>
  <si>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t>Kecap Asin ABC @6ltr</t>
  </si>
  <si>
    <t>jrigen</t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</si>
  <si>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</si>
  <si>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MKN.30158</t>
    </r>
  </si>
  <si>
    <r>
      <rPr>
        <rFont val="Arial"/>
        <color theme="1"/>
        <sz val="9.0"/>
      </rPr>
      <t>Tempura Burger</t>
    </r>
  </si>
  <si>
    <r>
      <rPr>
        <rFont val="Arial"/>
        <color theme="1"/>
        <sz val="9.0"/>
      </rPr>
      <t>Persediaan</t>
    </r>
  </si>
  <si>
    <t>Kecap Manis @6ltr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</si>
  <si>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</si>
  <si>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</si>
  <si>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MKN.30130</t>
    </r>
  </si>
  <si>
    <r>
      <rPr>
        <rFont val="Arial"/>
        <color theme="1"/>
        <sz val="9.0"/>
      </rPr>
      <t>Minyak Wijen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</si>
  <si>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</si>
  <si>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</si>
  <si>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</si>
  <si>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MKN.30128</t>
    </r>
  </si>
  <si>
    <r>
      <rPr>
        <rFont val="Arial"/>
        <color theme="1"/>
        <sz val="9.0"/>
      </rPr>
      <t>Minyak Bawang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</si>
  <si>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</si>
  <si>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</si>
  <si>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BB.MKN</t>
    </r>
  </si>
  <si>
    <r>
      <rPr>
        <rFont val="Arial"/>
        <color theme="1"/>
        <sz val="9.0"/>
      </rPr>
      <t>MKN.30129</t>
    </r>
  </si>
  <si>
    <r>
      <rPr>
        <rFont val="Arial"/>
        <color theme="1"/>
        <sz val="9.0"/>
      </rPr>
      <t>Minyak Goreng</t>
    </r>
  </si>
  <si>
    <r>
      <rPr>
        <rFont val="Arial"/>
        <color theme="1"/>
        <sz val="9.0"/>
      </rPr>
      <t>Persediaan</t>
    </r>
  </si>
  <si>
    <t xml:space="preserve">Lada Hitam </t>
  </si>
  <si>
    <r>
      <rPr>
        <rFont val="Arial"/>
        <color theme="1"/>
        <sz val="9.0"/>
      </rPr>
      <t>Gram</t>
    </r>
  </si>
  <si>
    <r>
      <rPr>
        <rFont val="Arial"/>
        <b/>
        <color theme="1"/>
        <sz val="9.0"/>
      </rPr>
      <t>BB.MNM</t>
    </r>
  </si>
  <si>
    <t xml:space="preserve">Lada Putih </t>
  </si>
  <si>
    <t>Kacang Matang</t>
  </si>
  <si>
    <r>
      <rPr>
        <rFont val="Arial"/>
        <color theme="1"/>
        <sz val="9.0"/>
      </rPr>
      <t>BB.MNM</t>
    </r>
  </si>
  <si>
    <t>Pewarna Koepoe @12,5ml</t>
  </si>
  <si>
    <r>
      <rPr>
        <rFont val="Arial"/>
        <color theme="1"/>
        <sz val="9.0"/>
      </rPr>
      <t>MNMN.30103</t>
    </r>
  </si>
  <si>
    <r>
      <rPr>
        <rFont val="Arial"/>
        <color theme="1"/>
        <sz val="9.0"/>
      </rPr>
      <t>Bubuk Matcha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</si>
  <si>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</si>
  <si>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</si>
  <si>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</si>
  <si>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MNMN.30116</t>
    </r>
  </si>
  <si>
    <r>
      <rPr>
        <rFont val="Arial"/>
        <color theme="1"/>
        <sz val="9.0"/>
      </rPr>
      <t>Pewarna Hijau</t>
    </r>
  </si>
  <si>
    <t>My Taste BBQ Spicy Sauce @500gr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</si>
  <si>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</si>
  <si>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</si>
  <si>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t>My Taste Hickory Smoke @500gr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</si>
  <si>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</si>
  <si>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MNMN.30106</t>
    </r>
  </si>
  <si>
    <r>
      <rPr>
        <rFont val="Arial"/>
        <color theme="1"/>
        <sz val="9.0"/>
      </rPr>
      <t>Crimer</t>
    </r>
  </si>
  <si>
    <r>
      <rPr>
        <rFont val="Arial"/>
        <color theme="1"/>
        <sz val="9.0"/>
      </rPr>
      <t>Persediaan</t>
    </r>
  </si>
  <si>
    <t>Sauce Hot Lava @6,2kg</t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</si>
  <si>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</si>
  <si>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BB.MNM</t>
    </r>
  </si>
  <si>
    <t>Sauce Hot Lava Volcano @6,2kg</t>
  </si>
  <si>
    <r>
      <rPr>
        <rFont val="Arial"/>
        <color theme="1"/>
        <sz val="9.0"/>
      </rPr>
      <t>MNMN.30101</t>
    </r>
  </si>
  <si>
    <r>
      <rPr>
        <rFont val="Arial"/>
        <color theme="1"/>
        <sz val="9.0"/>
      </rPr>
      <t>Boba</t>
    </r>
  </si>
  <si>
    <r>
      <rPr>
        <rFont val="Arial"/>
        <color theme="1"/>
        <sz val="9.0"/>
      </rPr>
      <t>Persediaan</t>
    </r>
  </si>
  <si>
    <t>Saus Tiram @2,2kg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</si>
  <si>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</si>
  <si>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</si>
  <si>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MNMN.30107</t>
    </r>
  </si>
  <si>
    <r>
      <rPr>
        <rFont val="Arial"/>
        <color theme="1"/>
        <sz val="9.0"/>
      </rPr>
      <t>Es Batu Balok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</si>
  <si>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</si>
  <si>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</si>
  <si>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t>Kaleng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</si>
  <si>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</si>
  <si>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MNMN.30104</t>
    </r>
  </si>
  <si>
    <r>
      <rPr>
        <rFont val="Arial"/>
        <color theme="1"/>
        <sz val="9.0"/>
      </rPr>
      <t>Bubuk Teh</t>
    </r>
  </si>
  <si>
    <r>
      <rPr>
        <rFont val="Arial"/>
        <color theme="1"/>
        <sz val="9.0"/>
      </rPr>
      <t>Persediaan</t>
    </r>
  </si>
  <si>
    <t xml:space="preserve">Tepung Cakra Kembar 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</si>
  <si>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</si>
  <si>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</si>
  <si>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MNMN.30108</t>
    </r>
  </si>
  <si>
    <t>Tepung Segitiga Biru @1kg</t>
  </si>
  <si>
    <r>
      <rPr>
        <rFont val="Arial"/>
        <color theme="1"/>
        <sz val="9.0"/>
      </rPr>
      <t>Es Cristal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</si>
  <si>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</si>
  <si>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</si>
  <si>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</si>
  <si>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MNMN.30110</t>
    </r>
  </si>
  <si>
    <r>
      <rPr>
        <rFont val="Arial"/>
        <color theme="1"/>
        <sz val="9.0"/>
      </rPr>
      <t>Gula Pasir</t>
    </r>
  </si>
  <si>
    <r>
      <rPr>
        <rFont val="Arial"/>
        <color theme="1"/>
        <sz val="9.0"/>
      </rPr>
      <t>Persediaan</t>
    </r>
  </si>
  <si>
    <t>Tepung Tapioka (kanji)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</si>
  <si>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</si>
  <si>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</si>
  <si>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MNMN.30111</t>
    </r>
  </si>
  <si>
    <r>
      <rPr>
        <rFont val="Arial"/>
        <color theme="1"/>
        <sz val="9.0"/>
      </rPr>
      <t>Jelly Kosena</t>
    </r>
  </si>
  <si>
    <t>Terigu Basah @2kg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</si>
  <si>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</si>
  <si>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</si>
  <si>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t>Terigu Kering (Kasar) @2kg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</si>
  <si>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</si>
  <si>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MNMN.30114</t>
    </r>
  </si>
  <si>
    <r>
      <rPr>
        <rFont val="Arial"/>
        <color theme="1"/>
        <sz val="9.0"/>
      </rPr>
      <t>Lea Marjan</t>
    </r>
  </si>
  <si>
    <t>Terigu Ayam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</si>
  <si>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</si>
  <si>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</si>
  <si>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t>Tepung Beras Rose Brand @500gr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</si>
  <si>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</si>
  <si>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MNMN.30117</t>
    </r>
  </si>
  <si>
    <r>
      <rPr>
        <rFont val="Arial"/>
        <color theme="1"/>
        <sz val="9.0"/>
      </rPr>
      <t>Pewarna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</si>
  <si>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</si>
  <si>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</si>
  <si>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t>pack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</si>
  <si>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</si>
  <si>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MNMN.30118</t>
    </r>
  </si>
  <si>
    <t>Tepung Hongkong</t>
  </si>
  <si>
    <r>
      <rPr>
        <rFont val="Arial"/>
        <color theme="1"/>
        <sz val="9.0"/>
      </rPr>
      <t>Pewarna Kuning</t>
    </r>
  </si>
  <si>
    <r>
      <rPr>
        <rFont val="Arial"/>
        <color theme="1"/>
        <sz val="9.0"/>
      </rPr>
      <t>Persediaan</t>
    </r>
  </si>
  <si>
    <t>Tepung Roti (panir)</t>
  </si>
  <si>
    <r>
      <rPr>
        <rFont val="Arial"/>
        <color theme="1"/>
        <sz val="9.0"/>
      </rPr>
      <t>BTL</t>
    </r>
  </si>
  <si>
    <t>Maggi mie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</si>
  <si>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</si>
  <si>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MNMN.30119</t>
    </r>
  </si>
  <si>
    <r>
      <rPr>
        <rFont val="Arial"/>
        <color theme="1"/>
        <sz val="9.0"/>
      </rPr>
      <t>Pewarna Merah</t>
    </r>
  </si>
  <si>
    <r>
      <rPr>
        <rFont val="Arial"/>
        <color theme="1"/>
        <sz val="9.0"/>
      </rPr>
      <t>Persediaan</t>
    </r>
  </si>
  <si>
    <t xml:space="preserve">Benzoat </t>
  </si>
  <si>
    <r>
      <rPr>
        <rFont val="Arial"/>
        <color theme="1"/>
        <sz val="9.0"/>
      </rPr>
      <t>BTL</t>
    </r>
  </si>
  <si>
    <t>Pemutih</t>
  </si>
  <si>
    <t>Bumbu Yakiniku @300gr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</si>
  <si>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</si>
  <si>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MNMN.30130</t>
    </r>
  </si>
  <si>
    <t>Spoonset (Sendok + Garpu)</t>
  </si>
  <si>
    <r>
      <rPr>
        <rFont val="Arial"/>
        <color theme="1"/>
        <sz val="9.0"/>
      </rPr>
      <t>Susu Diamond @1 Liter</t>
    </r>
  </si>
  <si>
    <r>
      <rPr>
        <rFont val="Arial"/>
        <color theme="1"/>
        <sz val="9.0"/>
      </rPr>
      <t>Persediaan</t>
    </r>
  </si>
  <si>
    <t>Sendok Plastik</t>
  </si>
  <si>
    <r>
      <rPr>
        <rFont val="Arial"/>
        <color theme="1"/>
        <sz val="9.0"/>
      </rPr>
      <t>Pcs</t>
    </r>
  </si>
  <si>
    <t>Cuka (Rice Vinegar) @600ml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</si>
  <si>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</si>
  <si>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MNMN.30121</t>
    </r>
  </si>
  <si>
    <r>
      <rPr>
        <rFont val="Arial"/>
        <color theme="1"/>
        <sz val="9.0"/>
      </rPr>
      <t>Sirup Buttersco</t>
    </r>
  </si>
  <si>
    <r>
      <rPr>
        <rFont val="Arial"/>
        <color theme="1"/>
        <sz val="9.0"/>
      </rPr>
      <t>Persediaan</t>
    </r>
  </si>
  <si>
    <t xml:space="preserve">Daun/Batang Seledri </t>
  </si>
  <si>
    <r>
      <rPr>
        <rFont val="Arial"/>
        <color theme="1"/>
        <sz val="9.0"/>
      </rPr>
      <t>BTL</t>
    </r>
  </si>
  <si>
    <t xml:space="preserve">Garam 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</si>
  <si>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</si>
  <si>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MNMN.30122</t>
    </r>
  </si>
  <si>
    <t>Keju Oles @2kg</t>
  </si>
  <si>
    <r>
      <rPr>
        <rFont val="Arial"/>
        <color theme="1"/>
        <sz val="9.0"/>
      </rPr>
      <t>Sirup Caramel</t>
    </r>
  </si>
  <si>
    <r>
      <rPr>
        <rFont val="Arial"/>
        <color theme="1"/>
        <sz val="9.0"/>
      </rPr>
      <t>Persediaan</t>
    </r>
  </si>
  <si>
    <t>Lea &amp; Perrins @284gr (12)</t>
  </si>
  <si>
    <r>
      <rPr>
        <rFont val="Arial"/>
        <color theme="1"/>
        <sz val="9.0"/>
      </rPr>
      <t>BTL</t>
    </r>
  </si>
  <si>
    <t xml:space="preserve">Lemon 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</si>
  <si>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</si>
  <si>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MNMN.30123</t>
    </r>
  </si>
  <si>
    <r>
      <rPr>
        <rFont val="Arial"/>
        <color theme="1"/>
        <sz val="9.0"/>
      </rPr>
      <t>Sirup Lemon</t>
    </r>
  </si>
  <si>
    <r>
      <rPr>
        <rFont val="Arial"/>
        <color theme="1"/>
        <sz val="9.0"/>
      </rPr>
      <t>Persediaan</t>
    </r>
  </si>
  <si>
    <t>Minyak Goreng Sunco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</si>
  <si>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</si>
  <si>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</si>
  <si>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MNMN.30124</t>
    </r>
  </si>
  <si>
    <r>
      <rPr>
        <rFont val="Arial"/>
        <color theme="1"/>
        <sz val="9.0"/>
      </rPr>
      <t>Sirup Markisa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</si>
  <si>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</si>
  <si>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</si>
  <si>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t>Minyak Wijen @640ml (24)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</si>
  <si>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</si>
  <si>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MNMN.30126</t>
    </r>
  </si>
  <si>
    <r>
      <rPr>
        <rFont val="Arial"/>
        <color theme="1"/>
        <sz val="9.0"/>
      </rPr>
      <t>Sirup Vanilla</t>
    </r>
  </si>
  <si>
    <r>
      <rPr>
        <rFont val="Arial"/>
        <color theme="1"/>
        <sz val="9.0"/>
      </rPr>
      <t>Persediaan</t>
    </r>
  </si>
  <si>
    <t>Kaldu Rasa Jamur @1kg</t>
  </si>
  <si>
    <r>
      <rPr>
        <rFont val="Arial"/>
        <color theme="1"/>
        <sz val="9.0"/>
      </rPr>
      <t>BTL</t>
    </r>
  </si>
  <si>
    <t>Mustard @396gr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</si>
  <si>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</si>
  <si>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MNMN.30129</t>
    </r>
  </si>
  <si>
    <r>
      <rPr>
        <rFont val="Arial"/>
        <color theme="1"/>
        <sz val="9.0"/>
      </rPr>
      <t>Strowberry Frozen</t>
    </r>
  </si>
  <si>
    <t>Ok Sauce @335ml</t>
  </si>
  <si>
    <r>
      <rPr>
        <rFont val="Arial"/>
        <color theme="1"/>
        <sz val="9.0"/>
      </rPr>
      <t>Persediaan</t>
    </r>
  </si>
  <si>
    <t>Pengental Saus (roux)</t>
  </si>
  <si>
    <t>Potato Starch (tepung kentang)</t>
  </si>
  <si>
    <r>
      <rPr>
        <rFont val="Arial"/>
        <color theme="1"/>
        <sz val="9.0"/>
      </rPr>
      <t>Gram</t>
    </r>
  </si>
  <si>
    <t xml:space="preserve">Putih Telur 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</si>
  <si>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</si>
  <si>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MNMN.30100</t>
    </r>
  </si>
  <si>
    <t xml:space="preserve">Ragi Fermipan Brown </t>
  </si>
  <si>
    <r>
      <rPr>
        <rFont val="Arial"/>
        <color theme="1"/>
        <sz val="9.0"/>
      </rPr>
      <t>Persediaan</t>
    </r>
  </si>
  <si>
    <t>Kacang Mentah (Panggang)</t>
  </si>
  <si>
    <r>
      <rPr>
        <rFont val="Arial"/>
        <color theme="1"/>
        <sz val="9.0"/>
      </rPr>
      <t>BTL</t>
    </r>
  </si>
  <si>
    <t>CPR.0005 NEW</t>
  </si>
  <si>
    <t>ICE CAMPUR10 PORSI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</si>
  <si>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</si>
  <si>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MNMN.30125</t>
    </r>
  </si>
  <si>
    <r>
      <rPr>
        <rFont val="Arial"/>
        <color theme="1"/>
        <sz val="9.0"/>
      </rPr>
      <t>Sirup Strawberry</t>
    </r>
  </si>
  <si>
    <r>
      <rPr>
        <rFont val="Arial"/>
        <color theme="1"/>
        <sz val="9.0"/>
      </rPr>
      <t>Persediaan</t>
    </r>
  </si>
  <si>
    <t>Bungkus Gorengan (1000)</t>
  </si>
  <si>
    <r>
      <rPr>
        <rFont val="Arial"/>
        <color theme="1"/>
        <sz val="9.0"/>
      </rPr>
      <t>BTL</t>
    </r>
  </si>
  <si>
    <t>Cover Sendok (100)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</si>
  <si>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</si>
  <si>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MNMN.30127</t>
    </r>
  </si>
  <si>
    <r>
      <rPr>
        <rFont val="Arial"/>
        <color theme="1"/>
        <sz val="9.0"/>
      </rPr>
      <t>Skm Carnation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</si>
  <si>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</si>
  <si>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</si>
  <si>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</si>
  <si>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MNMN.30102</t>
    </r>
  </si>
  <si>
    <r>
      <rPr>
        <rFont val="Arial"/>
        <color theme="1"/>
        <sz val="9.0"/>
      </rPr>
      <t>Buah Naga</t>
    </r>
  </si>
  <si>
    <r>
      <rPr>
        <rFont val="Arial"/>
        <color theme="1"/>
        <sz val="9.0"/>
      </rPr>
      <t>Persediaan</t>
    </r>
  </si>
  <si>
    <t>Sedotan (250)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</si>
  <si>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</si>
  <si>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</si>
  <si>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MNMN.30109</t>
    </r>
  </si>
  <si>
    <r>
      <rPr>
        <rFont val="Arial"/>
        <color theme="1"/>
        <sz val="9.0"/>
      </rPr>
      <t>Gula Es Campur</t>
    </r>
  </si>
  <si>
    <r>
      <rPr>
        <rFont val="Arial"/>
        <color theme="1"/>
        <sz val="9.0"/>
      </rPr>
      <t>Persediaan</t>
    </r>
  </si>
  <si>
    <t>Tomat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</si>
  <si>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</si>
  <si>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</si>
  <si>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MNMN.30112</t>
    </r>
  </si>
  <si>
    <r>
      <rPr>
        <rFont val="Arial"/>
        <color theme="1"/>
        <sz val="9.0"/>
      </rPr>
      <t>K. Hijau</t>
    </r>
  </si>
  <si>
    <r>
      <rPr>
        <rFont val="Arial"/>
        <color theme="1"/>
        <sz val="9.0"/>
      </rPr>
      <t>Persediaan</t>
    </r>
  </si>
  <si>
    <t>Jahe</t>
  </si>
  <si>
    <r>
      <rPr>
        <rFont val="Arial"/>
        <color theme="1"/>
        <sz val="9.0"/>
      </rPr>
      <t>Gram</t>
    </r>
  </si>
  <si>
    <t>Mili Royal Chocolate @1kg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</si>
  <si>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</si>
  <si>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MNMN.30113</t>
    </r>
  </si>
  <si>
    <t>Baking Soda</t>
  </si>
  <si>
    <r>
      <rPr>
        <rFont val="Arial"/>
        <color theme="1"/>
        <sz val="9.0"/>
      </rPr>
      <t>K. Merah</t>
    </r>
  </si>
  <si>
    <r>
      <rPr>
        <rFont val="Arial"/>
        <color theme="1"/>
        <sz val="9.0"/>
      </rPr>
      <t>Persediaan</t>
    </r>
  </si>
  <si>
    <t>Custard Fino Powder @300gr (24)</t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</si>
  <si>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</si>
  <si>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BB.MNM</t>
    </r>
  </si>
  <si>
    <t>Skippy Selai Kacang @500 Gr</t>
  </si>
  <si>
    <r>
      <rPr>
        <rFont val="Arial"/>
        <color theme="1"/>
        <sz val="9.0"/>
      </rPr>
      <t>MNMN.30115</t>
    </r>
  </si>
  <si>
    <r>
      <rPr>
        <rFont val="Arial"/>
        <color theme="1"/>
        <sz val="9.0"/>
      </rPr>
      <t>Melon</t>
    </r>
  </si>
  <si>
    <r>
      <rPr>
        <rFont val="Arial"/>
        <color theme="1"/>
        <sz val="9.0"/>
      </rPr>
      <t>Persediaan</t>
    </r>
  </si>
  <si>
    <t>Jeruk Nipis</t>
  </si>
  <si>
    <r>
      <rPr>
        <rFont val="Arial"/>
        <color theme="1"/>
        <sz val="9.0"/>
      </rPr>
      <t>Gram</t>
    </r>
  </si>
  <si>
    <t>Minyak Ikan King Lobster @700ml (12)</t>
  </si>
  <si>
    <r>
      <rPr>
        <rFont val="Arial"/>
        <color theme="1"/>
        <sz val="9.0"/>
      </rPr>
      <t>BB.MNM</t>
    </r>
  </si>
  <si>
    <r>
      <rPr>
        <rFont val="Arial"/>
        <color theme="1"/>
        <sz val="9.0"/>
      </rPr>
      <t>MNMN.30120</t>
    </r>
  </si>
  <si>
    <r>
      <rPr>
        <rFont val="Arial"/>
        <color theme="1"/>
        <sz val="9.0"/>
      </rPr>
      <t>Semangka</t>
    </r>
  </si>
  <si>
    <r>
      <rPr>
        <rFont val="Arial"/>
        <color theme="1"/>
        <sz val="9.0"/>
      </rPr>
      <t>Persediaan</t>
    </r>
  </si>
  <si>
    <t>Cuka Merah Red Vinegar @500ml (12)</t>
  </si>
  <si>
    <r>
      <rPr>
        <rFont val="Arial"/>
        <color theme="1"/>
        <sz val="9.0"/>
      </rPr>
      <t>Gram</t>
    </r>
  </si>
  <si>
    <t>Chiken Powder</t>
  </si>
  <si>
    <r>
      <rPr>
        <rFont val="Arial"/>
        <b/>
        <color theme="1"/>
        <sz val="9.0"/>
      </rPr>
      <t>BB.PEMBANTU</t>
    </r>
  </si>
  <si>
    <t>Bawang Merah Goreng</t>
  </si>
  <si>
    <t>Malktosa (Gula Beko) @500gr (36)</t>
  </si>
  <si>
    <t>Sweet Chili Sauce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</si>
  <si>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</si>
  <si>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PMT.033</t>
    </r>
  </si>
  <si>
    <r>
      <rPr>
        <rFont val="Arial"/>
        <color theme="1"/>
        <sz val="9.0"/>
      </rPr>
      <t>CABAI RAWIT HIJAU</t>
    </r>
  </si>
  <si>
    <t>Kikkoman @18ltr</t>
  </si>
  <si>
    <r>
      <rPr>
        <rFont val="Arial"/>
        <color theme="1"/>
        <sz val="9.0"/>
      </rPr>
      <t>Persediaan</t>
    </r>
  </si>
  <si>
    <t>Ctn</t>
  </si>
  <si>
    <t>Jamur Kaleng @425gr (24)</t>
  </si>
  <si>
    <r>
      <rPr>
        <rFont val="Arial"/>
        <color theme="1"/>
        <sz val="9.0"/>
      </rPr>
      <t>Gram</t>
    </r>
  </si>
  <si>
    <t>Chili Boh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</si>
  <si>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</si>
  <si>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100028</t>
    </r>
  </si>
  <si>
    <r>
      <rPr>
        <rFont val="Arial"/>
        <color theme="1"/>
        <sz val="9.0"/>
      </rPr>
      <t>KULIT PANGSIT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</si>
  <si>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</si>
  <si>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</si>
  <si>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t>Madu @650ml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</si>
  <si>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</si>
  <si>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PMT.040</t>
    </r>
  </si>
  <si>
    <r>
      <rPr>
        <rFont val="Arial"/>
        <color theme="1"/>
        <sz val="9.0"/>
      </rPr>
      <t>Buah Lemon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</si>
  <si>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</si>
  <si>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</si>
  <si>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</si>
  <si>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PMT.042</t>
    </r>
  </si>
  <si>
    <r>
      <rPr>
        <rFont val="Arial"/>
        <color theme="1"/>
        <sz val="9.0"/>
      </rPr>
      <t>Saus Bangkok</t>
    </r>
  </si>
  <si>
    <r>
      <rPr>
        <rFont val="Arial"/>
        <color theme="1"/>
        <sz val="9.0"/>
      </rPr>
      <t>Persediaan</t>
    </r>
  </si>
  <si>
    <t>Arak Masak Sahoshing @2,5ltr</t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</si>
  <si>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</si>
  <si>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</si>
  <si>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100018</t>
    </r>
  </si>
  <si>
    <r>
      <rPr>
        <rFont val="Arial"/>
        <color theme="1"/>
        <sz val="9.0"/>
      </rPr>
      <t>RICH CREAMER</t>
    </r>
  </si>
  <si>
    <r>
      <rPr>
        <rFont val="Arial"/>
        <color theme="1"/>
        <sz val="9.0"/>
      </rPr>
      <t>Persediaan</t>
    </r>
  </si>
  <si>
    <t>Sarung Tangan Karet Pendek</t>
  </si>
  <si>
    <r>
      <rPr>
        <rFont val="Arial"/>
        <color theme="1"/>
        <sz val="9.0"/>
      </rPr>
      <t>PCK</t>
    </r>
  </si>
  <si>
    <t>Telur Bebek Tanpa Cangkang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</si>
  <si>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</si>
  <si>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PMT.006</t>
    </r>
  </si>
  <si>
    <r>
      <rPr>
        <rFont val="Arial"/>
        <color theme="1"/>
        <sz val="9.0"/>
      </rPr>
      <t>Minyak Loby</t>
    </r>
  </si>
  <si>
    <r>
      <rPr>
        <rFont val="Arial"/>
        <color theme="1"/>
        <sz val="9.0"/>
      </rPr>
      <t>Persediaan</t>
    </r>
  </si>
  <si>
    <t>Telur Bebek</t>
  </si>
  <si>
    <r>
      <rPr>
        <rFont val="Arial"/>
        <color theme="1"/>
        <sz val="9.0"/>
      </rPr>
      <t>BTL</t>
    </r>
  </si>
  <si>
    <t>Plastik Mie 12 x 25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</si>
  <si>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</si>
  <si>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PMT.001</t>
    </r>
  </si>
  <si>
    <r>
      <rPr>
        <rFont val="Arial"/>
        <color theme="1"/>
        <sz val="9.0"/>
      </rPr>
      <t>SABUN CUCI PIRING</t>
    </r>
  </si>
  <si>
    <r>
      <rPr>
        <rFont val="Arial"/>
        <color theme="1"/>
        <sz val="9.0"/>
      </rPr>
      <t>Persediaan</t>
    </r>
  </si>
  <si>
    <t>Cup PP 12 oz (1000)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</si>
  <si>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</si>
  <si>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</si>
  <si>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t>Tutup Bowl 650ml 4ch (500)</t>
  </si>
  <si>
    <r>
      <rPr>
        <rFont val="Arial"/>
        <color theme="1"/>
        <sz val="9.0"/>
      </rPr>
      <t>PMT.002</t>
    </r>
  </si>
  <si>
    <r>
      <rPr>
        <rFont val="Arial"/>
        <color theme="1"/>
        <sz val="9.0"/>
      </rPr>
      <t>SABUN LANTAI/PEL</t>
    </r>
  </si>
  <si>
    <r>
      <rPr>
        <rFont val="Arial"/>
        <color theme="1"/>
        <sz val="9.0"/>
      </rPr>
      <t>Persediaan</t>
    </r>
  </si>
  <si>
    <t>Biang Cuci Piring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</si>
  <si>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</si>
  <si>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</si>
  <si>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100015</t>
    </r>
  </si>
  <si>
    <r>
      <rPr>
        <rFont val="Arial"/>
        <color theme="1"/>
        <sz val="9.0"/>
      </rPr>
      <t>CHICKEN POWDER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</si>
  <si>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</si>
  <si>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</si>
  <si>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</si>
  <si>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PMT.021</t>
    </r>
  </si>
  <si>
    <r>
      <rPr>
        <rFont val="Arial"/>
        <color theme="1"/>
        <sz val="9.0"/>
      </rPr>
      <t>CHICKEN POWDER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</si>
  <si>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</si>
  <si>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</si>
  <si>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</si>
  <si>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PMT.023</t>
    </r>
  </si>
  <si>
    <r>
      <rPr>
        <rFont val="Arial"/>
        <color theme="1"/>
        <sz val="9.0"/>
      </rPr>
      <t>RICH CREAMER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</si>
  <si>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</si>
  <si>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</si>
  <si>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</si>
  <si>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PMT.045</t>
    </r>
  </si>
  <si>
    <r>
      <rPr>
        <rFont val="Arial"/>
        <color theme="1"/>
        <sz val="9.0"/>
      </rPr>
      <t>MENTE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</si>
  <si>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</si>
  <si>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</si>
  <si>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</si>
  <si>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PMT.027</t>
    </r>
  </si>
  <si>
    <r>
      <rPr>
        <rFont val="Arial"/>
        <color theme="1"/>
        <sz val="9.0"/>
      </rPr>
      <t>SAMBEL JRG ABC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</si>
  <si>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</si>
  <si>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</si>
  <si>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</si>
  <si>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PMT.049</t>
    </r>
  </si>
  <si>
    <t>Biang Cuci Tangan</t>
  </si>
  <si>
    <r>
      <rPr>
        <rFont val="Arial"/>
        <color theme="1"/>
        <sz val="9.0"/>
      </rPr>
      <t>DANCOW 26GR</t>
    </r>
  </si>
  <si>
    <r>
      <rPr>
        <rFont val="Arial"/>
        <color theme="1"/>
        <sz val="9.0"/>
      </rPr>
      <t>Persediaan</t>
    </r>
  </si>
  <si>
    <t>Biang Sabun Pell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</si>
  <si>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</si>
  <si>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</si>
  <si>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t>Biang Carbol</t>
  </si>
  <si>
    <r>
      <rPr>
        <rFont val="Arial"/>
        <color theme="1"/>
        <sz val="9.0"/>
      </rPr>
      <t>PMT.044</t>
    </r>
  </si>
  <si>
    <r>
      <rPr>
        <rFont val="Arial"/>
        <color theme="1"/>
        <sz val="9.0"/>
      </rPr>
      <t>KAACANG Bali</t>
    </r>
  </si>
  <si>
    <r>
      <rPr>
        <rFont val="Arial"/>
        <color theme="1"/>
        <sz val="9.0"/>
      </rPr>
      <t>Persediaan</t>
    </r>
  </si>
  <si>
    <t>Kentang</t>
  </si>
  <si>
    <r>
      <rPr>
        <rFont val="Arial"/>
        <color theme="1"/>
        <sz val="9.0"/>
      </rPr>
      <t>Gram</t>
    </r>
  </si>
  <si>
    <t>Daging Sapi Mix 1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</si>
  <si>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</si>
  <si>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100022</t>
    </r>
  </si>
  <si>
    <r>
      <rPr>
        <rFont val="Arial"/>
        <color theme="1"/>
        <sz val="9.0"/>
      </rPr>
      <t>NUTRIJEL CINCAU</t>
    </r>
  </si>
  <si>
    <t>Daging Sapi Mix 2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</si>
  <si>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</si>
  <si>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</si>
  <si>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t>Daging Sapi Yakiniku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</si>
  <si>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</si>
  <si>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PMT.035</t>
    </r>
  </si>
  <si>
    <t>Plastik 10x10 Bawang Pack</t>
  </si>
  <si>
    <r>
      <rPr>
        <rFont val="Arial"/>
        <color theme="1"/>
        <sz val="9.0"/>
      </rPr>
      <t>SAMBEL ABC SACHET</t>
    </r>
  </si>
  <si>
    <r>
      <rPr>
        <rFont val="Arial"/>
        <color theme="1"/>
        <sz val="9.0"/>
      </rPr>
      <t>Persediaan</t>
    </r>
  </si>
  <si>
    <t>Plastik 15x33 Idola Pack</t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</si>
  <si>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</si>
  <si>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BB.PEMBANTU</t>
    </r>
  </si>
  <si>
    <t>Plastik 20x40 Idola Pack</t>
  </si>
  <si>
    <r>
      <rPr>
        <rFont val="Arial"/>
        <color theme="1"/>
        <sz val="9.0"/>
      </rPr>
      <t>100016</t>
    </r>
  </si>
  <si>
    <r>
      <rPr>
        <rFont val="Arial"/>
        <color theme="1"/>
        <sz val="9.0"/>
      </rPr>
      <t>BIANG KARBOL</t>
    </r>
  </si>
  <si>
    <r>
      <rPr>
        <rFont val="Arial"/>
        <color theme="1"/>
        <sz val="9.0"/>
      </rPr>
      <t>Persediaan</t>
    </r>
  </si>
  <si>
    <t>Plastik 25x48 Idola Pack</t>
  </si>
  <si>
    <r>
      <rPr>
        <rFont val="Arial"/>
        <color theme="1"/>
        <sz val="9.0"/>
      </rPr>
      <t>PCK</t>
    </r>
  </si>
  <si>
    <t>Plastik 35x63 Idola Pack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</si>
  <si>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</si>
  <si>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100005</t>
    </r>
  </si>
  <si>
    <r>
      <rPr>
        <rFont val="Arial"/>
        <color theme="1"/>
        <sz val="9.0"/>
      </rPr>
      <t>CABE RAWIT</t>
    </r>
  </si>
  <si>
    <r>
      <rPr>
        <rFont val="Arial"/>
        <color theme="1"/>
        <sz val="9.0"/>
      </rPr>
      <t>Persediaan</t>
    </r>
  </si>
  <si>
    <t>Plastik HD Gajah 100x120 Pack (50 Lbr) (5)</t>
  </si>
  <si>
    <r>
      <rPr>
        <rFont val="Arial"/>
        <color theme="1"/>
        <sz val="9.0"/>
      </rPr>
      <t>Gram</t>
    </r>
  </si>
  <si>
    <t>Aquviva (12)</t>
  </si>
  <si>
    <t>Dus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</si>
  <si>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</si>
  <si>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PMT.047</t>
    </r>
  </si>
  <si>
    <r>
      <rPr>
        <rFont val="Arial"/>
        <color theme="1"/>
        <sz val="9.0"/>
      </rPr>
      <t>KERUPUK BANGKA</t>
    </r>
  </si>
  <si>
    <t>Beras 25kg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</si>
  <si>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</si>
  <si>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</si>
  <si>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</si>
  <si>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PMT.005</t>
    </r>
  </si>
  <si>
    <r>
      <rPr>
        <rFont val="Arial"/>
        <color theme="1"/>
        <sz val="9.0"/>
      </rPr>
      <t>Sabun Kaca</t>
    </r>
  </si>
  <si>
    <t>Sak</t>
  </si>
  <si>
    <r>
      <rPr>
        <rFont val="Arial"/>
        <color theme="1"/>
        <sz val="9.0"/>
      </rPr>
      <t>Persediaan</t>
    </r>
  </si>
  <si>
    <t>Tissu Livi Meja (60)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</si>
  <si>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</si>
  <si>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</si>
  <si>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PMT.046</t>
    </r>
  </si>
  <si>
    <t>Thermal (100)</t>
  </si>
  <si>
    <r>
      <rPr>
        <rFont val="Arial"/>
        <color theme="1"/>
        <sz val="9.0"/>
      </rPr>
      <t>BLINJO PEDAS</t>
    </r>
  </si>
  <si>
    <r>
      <rPr>
        <rFont val="Arial"/>
        <color theme="1"/>
        <sz val="9.0"/>
      </rPr>
      <t>Persediaan</t>
    </r>
  </si>
  <si>
    <t>Tissu Toilet (24)</t>
  </si>
  <si>
    <r>
      <rPr>
        <rFont val="Arial"/>
        <color theme="1"/>
        <sz val="9.0"/>
      </rPr>
      <t>Gram</t>
    </r>
  </si>
  <si>
    <t>Jelly Kozena (20)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</si>
  <si>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</si>
  <si>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PMT.038</t>
    </r>
  </si>
  <si>
    <r>
      <rPr>
        <rFont val="Arial"/>
        <color theme="1"/>
        <sz val="9.0"/>
      </rPr>
      <t>BUBUK COKLAT</t>
    </r>
  </si>
  <si>
    <r>
      <rPr>
        <rFont val="Arial"/>
        <color theme="1"/>
        <sz val="9.0"/>
      </rPr>
      <t>Persediaan</t>
    </r>
  </si>
  <si>
    <t>Nutrijel Rasa (12)</t>
  </si>
  <si>
    <r>
      <rPr>
        <rFont val="Arial"/>
        <color theme="1"/>
        <sz val="9.0"/>
      </rPr>
      <t>PCK</t>
    </r>
  </si>
  <si>
    <t>Pewarna Merah 1456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</si>
  <si>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</si>
  <si>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PMT.048</t>
    </r>
  </si>
  <si>
    <r>
      <rPr>
        <rFont val="Arial"/>
        <color theme="1"/>
        <sz val="9.0"/>
      </rPr>
      <t>HANDGLOVE Plastik</t>
    </r>
  </si>
  <si>
    <r>
      <rPr>
        <rFont val="Arial"/>
        <color theme="1"/>
        <sz val="9.0"/>
      </rPr>
      <t>Persediaan</t>
    </r>
  </si>
  <si>
    <t>Thin Whall Victory RB (500)</t>
  </si>
  <si>
    <r>
      <rPr>
        <rFont val="Arial"/>
        <color theme="1"/>
        <sz val="9.0"/>
      </rPr>
      <t>PCS</t>
    </r>
  </si>
  <si>
    <t>Inner Bowl (500)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</si>
  <si>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</si>
  <si>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PMT.029</t>
    </r>
  </si>
  <si>
    <t>Rice Cream (Creamer)</t>
  </si>
  <si>
    <r>
      <rPr>
        <rFont val="Arial"/>
        <color theme="1"/>
        <sz val="9.0"/>
      </rPr>
      <t>KULIT PANGSIT</t>
    </r>
  </si>
  <si>
    <r>
      <rPr>
        <rFont val="Arial"/>
        <color theme="1"/>
        <sz val="9.0"/>
      </rPr>
      <t>Persediaan</t>
    </r>
  </si>
  <si>
    <t>Cover Sumpit RB (100)</t>
  </si>
  <si>
    <r>
      <rPr>
        <rFont val="Arial"/>
        <color theme="1"/>
        <sz val="9.0"/>
      </rPr>
      <t>PCK</t>
    </r>
  </si>
  <si>
    <t>Plastik Tomat (4)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</si>
  <si>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</si>
  <si>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100024</t>
    </r>
  </si>
  <si>
    <r>
      <rPr>
        <rFont val="Arial"/>
        <color theme="1"/>
        <sz val="9.0"/>
      </rPr>
      <t>SAMBEL JRG ABC</t>
    </r>
  </si>
  <si>
    <r>
      <rPr>
        <rFont val="Arial"/>
        <color theme="1"/>
        <sz val="9.0"/>
      </rPr>
      <t>Persediaan</t>
    </r>
  </si>
  <si>
    <t>Royco Ayam 1kg (6)</t>
  </si>
  <si>
    <r>
      <rPr>
        <rFont val="Arial"/>
        <color theme="1"/>
        <sz val="9.0"/>
      </rPr>
      <t>PCS</t>
    </r>
  </si>
  <si>
    <t>Trashbag Kecil 50 x 60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</si>
  <si>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</si>
  <si>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PMT.043</t>
    </r>
  </si>
  <si>
    <r>
      <rPr>
        <rFont val="Arial"/>
        <color theme="1"/>
        <sz val="9.0"/>
      </rPr>
      <t>Blinjo Asin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</si>
  <si>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</si>
  <si>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</si>
  <si>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</si>
  <si>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PMT.016</t>
    </r>
  </si>
  <si>
    <t>Sauce Sambal ABC @5,5gr</t>
  </si>
  <si>
    <r>
      <rPr>
        <rFont val="Arial"/>
        <color theme="1"/>
        <sz val="9.0"/>
      </rPr>
      <t>CABAI RAWIT MERAH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</si>
  <si>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</si>
  <si>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</si>
  <si>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</si>
  <si>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t>Minyak Wijen @620ml (12)</t>
  </si>
  <si>
    <r>
      <rPr>
        <rFont val="Arial"/>
        <color theme="1"/>
        <sz val="9.0"/>
      </rPr>
      <t>PMT.007</t>
    </r>
  </si>
  <si>
    <r>
      <rPr>
        <rFont val="Arial"/>
        <color theme="1"/>
        <sz val="9.0"/>
      </rPr>
      <t>Hand Glove</t>
    </r>
  </si>
  <si>
    <r>
      <rPr>
        <rFont val="Arial"/>
        <color theme="1"/>
        <sz val="9.0"/>
      </rPr>
      <t>Persediaan</t>
    </r>
  </si>
  <si>
    <t>Paya Pengempuk Daging</t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</si>
  <si>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</si>
  <si>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</si>
  <si>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PMT.026</t>
    </r>
  </si>
  <si>
    <r>
      <rPr>
        <rFont val="Arial"/>
        <color theme="1"/>
        <sz val="9.0"/>
      </rPr>
      <t>NUTRIJEL CINCAU</t>
    </r>
  </si>
  <si>
    <t>Sabun Wings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</si>
  <si>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</si>
  <si>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</si>
  <si>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t>Minyak Loby @5Liter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</si>
  <si>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</si>
  <si>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PMT.036</t>
    </r>
  </si>
  <si>
    <r>
      <rPr>
        <rFont val="Arial"/>
        <color theme="1"/>
        <sz val="9.0"/>
      </rPr>
      <t>CUKA DIKSI</t>
    </r>
  </si>
  <si>
    <t>ABC Sambel Sachet</t>
  </si>
  <si>
    <r>
      <rPr>
        <rFont val="Arial"/>
        <color theme="1"/>
        <sz val="9.0"/>
      </rPr>
      <t>Persediaan</t>
    </r>
  </si>
  <si>
    <t>Paper Bowl 650ml 4ch (500)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</si>
  <si>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</si>
  <si>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</si>
  <si>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t>Telur Ayam @10kg</t>
  </si>
  <si>
    <r>
      <rPr>
        <rFont val="Arial"/>
        <color theme="1"/>
        <sz val="9.0"/>
      </rPr>
      <t>PMT.022</t>
    </r>
  </si>
  <si>
    <r>
      <rPr>
        <rFont val="Arial"/>
        <color theme="1"/>
        <sz val="9.0"/>
      </rPr>
      <t>BIANG KARBOL</t>
    </r>
  </si>
  <si>
    <r>
      <rPr>
        <rFont val="Arial"/>
        <color theme="1"/>
        <sz val="9.0"/>
      </rPr>
      <t>Persediaan</t>
    </r>
  </si>
  <si>
    <t>Peti</t>
  </si>
  <si>
    <t>Beef Slice Low Fat @500gr</t>
  </si>
  <si>
    <t>Kresek 10x30 Idola Pack</t>
  </si>
  <si>
    <t>Somay Ayam</t>
  </si>
  <si>
    <t>Somay Keju</t>
  </si>
  <si>
    <t xml:space="preserve">Lumpia Kulit Tahu </t>
  </si>
  <si>
    <t>Kulit Pangsit</t>
  </si>
  <si>
    <t>Stoberi Frozen</t>
  </si>
  <si>
    <t>Kulit Ayam</t>
  </si>
  <si>
    <t xml:space="preserve">Sarung Tangan Plastik </t>
  </si>
  <si>
    <t>Roti Ice Cream Coklat</t>
  </si>
  <si>
    <t xml:space="preserve">Pcs </t>
  </si>
  <si>
    <t>Roti Ice Cream Strobery</t>
  </si>
  <si>
    <t xml:space="preserve">Roti Ice Cream Vanila </t>
  </si>
  <si>
    <t>Bawang Putih Cincang</t>
  </si>
  <si>
    <t>Sambel Monster</t>
  </si>
  <si>
    <t xml:space="preserve">Beras 5KG </t>
  </si>
  <si>
    <t>Plastik HD Gajah 100x120 Pack (10 Lbr)</t>
  </si>
  <si>
    <t>Bubuk Ice Cream Chocolate 1KG</t>
  </si>
  <si>
    <t>Bubuk Ice Cream Vanila 1KG</t>
  </si>
  <si>
    <t>Bubuk Ice Cream Strawberry 1KG</t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</si>
  <si>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</si>
  <si>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</si>
  <si>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PMT.041</t>
    </r>
  </si>
  <si>
    <r>
      <rPr>
        <rFont val="Arial"/>
        <color theme="1"/>
        <sz val="9.0"/>
      </rPr>
      <t>Bawang Goreng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</si>
  <si>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</si>
  <si>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</si>
  <si>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</si>
  <si>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PMT.009</t>
    </r>
  </si>
  <si>
    <r>
      <rPr>
        <rFont val="Arial"/>
        <color theme="1"/>
        <sz val="9.0"/>
      </rPr>
      <t>Hand Towel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</si>
  <si>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</si>
  <si>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</si>
  <si>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</si>
  <si>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PMT.025</t>
    </r>
  </si>
  <si>
    <r>
      <rPr>
        <rFont val="Arial"/>
        <color theme="1"/>
        <sz val="9.0"/>
      </rPr>
      <t>NUTRIJEL LECI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</si>
  <si>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</si>
  <si>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</si>
  <si>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</si>
  <si>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100014</t>
    </r>
  </si>
  <si>
    <r>
      <rPr>
        <rFont val="Arial"/>
        <color theme="1"/>
        <sz val="9.0"/>
      </rPr>
      <t>SAMBEL RICEBOWL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</si>
  <si>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</si>
  <si>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</si>
  <si>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</si>
  <si>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PMT.030</t>
    </r>
  </si>
  <si>
    <r>
      <rPr>
        <rFont val="Arial"/>
        <color theme="1"/>
        <sz val="9.0"/>
      </rPr>
      <t>SODA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</si>
  <si>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</si>
  <si>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</si>
  <si>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</si>
  <si>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PMT.003</t>
    </r>
  </si>
  <si>
    <r>
      <rPr>
        <rFont val="Arial"/>
        <color theme="1"/>
        <sz val="9.0"/>
      </rPr>
      <t>Sabun Karbon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</si>
  <si>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</si>
  <si>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</si>
  <si>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</si>
  <si>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100020</t>
    </r>
  </si>
  <si>
    <r>
      <rPr>
        <rFont val="Arial"/>
        <color theme="1"/>
        <sz val="9.0"/>
      </rPr>
      <t>NUTRIJEL LECI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</si>
  <si>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</si>
  <si>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</si>
  <si>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</si>
  <si>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PMT.034</t>
    </r>
  </si>
  <si>
    <r>
      <rPr>
        <rFont val="Arial"/>
        <color theme="1"/>
        <sz val="9.0"/>
      </rPr>
      <t>PAYA PENGEMPUK DAGING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</si>
  <si>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</si>
  <si>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</si>
  <si>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</si>
  <si>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100025</t>
    </r>
  </si>
  <si>
    <r>
      <rPr>
        <rFont val="Arial"/>
        <color theme="1"/>
        <sz val="9.0"/>
      </rPr>
      <t>Kemangi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</si>
  <si>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</si>
  <si>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</si>
  <si>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</si>
  <si>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PMT.004</t>
    </r>
  </si>
  <si>
    <r>
      <rPr>
        <rFont val="Arial"/>
        <color theme="1"/>
        <sz val="9.0"/>
      </rPr>
      <t>Sabun Cuci Tangan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</si>
  <si>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</si>
  <si>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</si>
  <si>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</si>
  <si>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PMT.039</t>
    </r>
  </si>
  <si>
    <r>
      <rPr>
        <rFont val="Arial"/>
        <color theme="1"/>
        <sz val="9.0"/>
      </rPr>
      <t>Sabun Wings Colek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</si>
  <si>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</si>
  <si>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</si>
  <si>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</si>
  <si>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PMT.019</t>
    </r>
  </si>
  <si>
    <r>
      <rPr>
        <rFont val="Arial"/>
        <color theme="1"/>
        <sz val="9.0"/>
      </rPr>
      <t>PLASTIK WRAP  UK25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</si>
  <si>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</si>
  <si>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</si>
  <si>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</si>
  <si>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100012</t>
    </r>
  </si>
  <si>
    <r>
      <rPr>
        <rFont val="Arial"/>
        <color theme="1"/>
        <sz val="9.0"/>
      </rPr>
      <t>PLASTIK WRAP  UK25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</si>
  <si>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</si>
  <si>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</si>
  <si>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</si>
  <si>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100011</t>
    </r>
  </si>
  <si>
    <r>
      <rPr>
        <rFont val="Arial"/>
        <color theme="1"/>
        <sz val="9.0"/>
      </rPr>
      <t>PLASTIK WRAP UK40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</si>
  <si>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</si>
  <si>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</si>
  <si>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</si>
  <si>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PMT.018</t>
    </r>
  </si>
  <si>
    <r>
      <rPr>
        <rFont val="Arial"/>
        <color theme="1"/>
        <sz val="9.0"/>
      </rPr>
      <t>PLASTIK WRAP UK40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</si>
  <si>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</si>
  <si>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</si>
  <si>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</si>
  <si>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PMT.024</t>
    </r>
  </si>
  <si>
    <r>
      <rPr>
        <rFont val="Arial"/>
        <color theme="1"/>
        <sz val="9.0"/>
      </rPr>
      <t>ROYCO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</si>
  <si>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</si>
  <si>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</si>
  <si>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</si>
  <si>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100019</t>
    </r>
  </si>
  <si>
    <r>
      <rPr>
        <rFont val="Arial"/>
        <color theme="1"/>
        <sz val="9.0"/>
      </rPr>
      <t>ROYCO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</si>
  <si>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</si>
  <si>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</si>
  <si>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</si>
  <si>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PMT.014</t>
    </r>
  </si>
  <si>
    <r>
      <rPr>
        <rFont val="Arial"/>
        <color theme="1"/>
        <sz val="9.0"/>
      </rPr>
      <t>Solasi</t>
    </r>
  </si>
  <si>
    <r>
      <rPr>
        <rFont val="Arial"/>
        <color theme="1"/>
        <sz val="9.0"/>
      </rPr>
      <t>Persediaan</t>
    </r>
  </si>
  <si>
    <t>CPR.0006 NEW</t>
  </si>
  <si>
    <r>
      <rPr>
        <rFont val="Arial"/>
        <color theme="1"/>
        <sz val="9.0"/>
      </rPr>
      <t>PCS</t>
    </r>
  </si>
  <si>
    <t>ICE CAMPUR 30 PORSI</t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</si>
  <si>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</si>
  <si>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PMT.010</t>
    </r>
  </si>
  <si>
    <r>
      <rPr>
        <rFont val="Arial"/>
        <color theme="1"/>
        <sz val="9.0"/>
      </rPr>
      <t>Stella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</si>
  <si>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</si>
  <si>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</si>
  <si>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</si>
  <si>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PMT.011</t>
    </r>
  </si>
  <si>
    <r>
      <rPr>
        <rFont val="Arial"/>
        <color theme="1"/>
        <sz val="9.0"/>
      </rPr>
      <t>Stella Kecil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</si>
  <si>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</si>
  <si>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</si>
  <si>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</si>
  <si>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PMT.032</t>
    </r>
  </si>
  <si>
    <r>
      <rPr>
        <rFont val="Arial"/>
        <color theme="1"/>
        <sz val="9.0"/>
      </rPr>
      <t>TEPUNG BERAS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</si>
  <si>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</si>
  <si>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</si>
  <si>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</si>
  <si>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PMT.015</t>
    </r>
  </si>
  <si>
    <r>
      <rPr>
        <rFont val="Arial"/>
        <color theme="1"/>
        <sz val="9.0"/>
      </rPr>
      <t>TEPUNG KASAR@2KG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</si>
  <si>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</si>
  <si>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</si>
  <si>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</si>
  <si>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100002</t>
    </r>
  </si>
  <si>
    <r>
      <rPr>
        <rFont val="Arial"/>
        <color theme="1"/>
        <sz val="9.0"/>
      </rPr>
      <t>TEPUNG KASAR@2KG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</si>
  <si>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</si>
  <si>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</si>
  <si>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</si>
  <si>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PMT.037</t>
    </r>
  </si>
  <si>
    <r>
      <rPr>
        <rFont val="Arial"/>
        <color theme="1"/>
        <sz val="9.0"/>
      </rPr>
      <t>TEPUNG TAPIOKA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</si>
  <si>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</si>
  <si>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</si>
  <si>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</si>
  <si>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PMT.031</t>
    </r>
  </si>
  <si>
    <r>
      <rPr>
        <rFont val="Arial"/>
        <color theme="1"/>
        <sz val="9.0"/>
      </rPr>
      <t>TEPUNG TERIGU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</si>
  <si>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</si>
  <si>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</si>
  <si>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</si>
  <si>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PMT.012</t>
    </r>
  </si>
  <si>
    <r>
      <rPr>
        <rFont val="Arial"/>
        <color theme="1"/>
        <sz val="9.0"/>
      </rPr>
      <t>Termal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</si>
  <si>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</si>
  <si>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</si>
  <si>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</si>
  <si>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PMT.013</t>
    </r>
  </si>
  <si>
    <r>
      <rPr>
        <rFont val="Arial"/>
        <color theme="1"/>
        <sz val="9.0"/>
      </rPr>
      <t>Termal Kasir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</si>
  <si>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</si>
  <si>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</si>
  <si>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BB.PEMBANTU</t>
    </r>
  </si>
  <si>
    <r>
      <rPr>
        <rFont val="Arial"/>
        <color theme="1"/>
        <sz val="9.0"/>
      </rPr>
      <t>PMT.008</t>
    </r>
  </si>
  <si>
    <r>
      <rPr>
        <rFont val="Arial"/>
        <color theme="1"/>
        <sz val="9.0"/>
      </rPr>
      <t>Tisu Meja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</si>
  <si>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</si>
  <si>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</si>
  <si>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b/>
        <color theme="1"/>
        <sz val="9.0"/>
      </rPr>
      <t>BB.PEMBUNGKUS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</si>
  <si>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</si>
  <si>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BKS.008</t>
    </r>
  </si>
  <si>
    <r>
      <rPr>
        <rFont val="Arial"/>
        <color theme="1"/>
        <sz val="9.0"/>
      </rPr>
      <t>Bungkus Gorengan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</si>
  <si>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</si>
  <si>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</si>
  <si>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</si>
  <si>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BKS.024</t>
    </r>
  </si>
  <si>
    <r>
      <rPr>
        <rFont val="Arial"/>
        <color theme="1"/>
        <sz val="9.0"/>
      </rPr>
      <t>COVER SUMPIT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</si>
  <si>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</si>
  <si>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</si>
  <si>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</si>
  <si>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BKS.009</t>
    </r>
  </si>
  <si>
    <r>
      <rPr>
        <rFont val="Arial"/>
        <color theme="1"/>
        <sz val="9.0"/>
      </rPr>
      <t>Cover Sendok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</si>
  <si>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</si>
  <si>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</si>
  <si>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</si>
  <si>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BKS.014</t>
    </r>
  </si>
  <si>
    <r>
      <rPr>
        <rFont val="Arial"/>
        <color theme="1"/>
        <sz val="9.0"/>
      </rPr>
      <t>Inner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</si>
  <si>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</si>
  <si>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</si>
  <si>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</si>
  <si>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BKS.016</t>
    </r>
  </si>
  <si>
    <r>
      <rPr>
        <rFont val="Arial"/>
        <color theme="1"/>
        <sz val="9.0"/>
      </rPr>
      <t>Kresek. 15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</si>
  <si>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</si>
  <si>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</si>
  <si>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</si>
  <si>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BKS.017</t>
    </r>
  </si>
  <si>
    <r>
      <rPr>
        <rFont val="Arial"/>
        <color theme="1"/>
        <sz val="9.0"/>
      </rPr>
      <t>Kresek. 20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</si>
  <si>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</si>
  <si>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</si>
  <si>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</si>
  <si>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BKS.022</t>
    </r>
  </si>
  <si>
    <r>
      <rPr>
        <rFont val="Arial"/>
        <color theme="1"/>
        <sz val="9.0"/>
      </rPr>
      <t>CUP SAUS 25ML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</si>
  <si>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</si>
  <si>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</si>
  <si>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</si>
  <si>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BKS.021</t>
    </r>
  </si>
  <si>
    <r>
      <rPr>
        <rFont val="Arial"/>
        <color theme="1"/>
        <sz val="9.0"/>
      </rPr>
      <t>CUP SAUS 60ML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</si>
  <si>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</si>
  <si>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</si>
  <si>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</si>
  <si>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BKS.013</t>
    </r>
  </si>
  <si>
    <r>
      <rPr>
        <rFont val="Arial"/>
        <color theme="1"/>
        <sz val="9.0"/>
      </rPr>
      <t>Sedotan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</si>
  <si>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</si>
  <si>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</si>
  <si>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</si>
  <si>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BKS.011</t>
    </r>
  </si>
  <si>
    <r>
      <rPr>
        <rFont val="Arial"/>
        <color theme="1"/>
        <sz val="9.0"/>
      </rPr>
      <t>Sendok Garbu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</si>
  <si>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</si>
  <si>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</si>
  <si>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</si>
  <si>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BKS.006</t>
    </r>
  </si>
  <si>
    <r>
      <rPr>
        <rFont val="Arial"/>
        <color theme="1"/>
        <sz val="9.0"/>
      </rPr>
      <t>Cup 12oz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</si>
  <si>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</si>
  <si>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</si>
  <si>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</si>
  <si>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BKS.020</t>
    </r>
  </si>
  <si>
    <r>
      <rPr>
        <rFont val="Arial"/>
        <color theme="1"/>
        <sz val="9.0"/>
      </rPr>
      <t>SUMPIT KAYU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</si>
  <si>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</si>
  <si>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</si>
  <si>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</si>
  <si>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100009</t>
    </r>
  </si>
  <si>
    <r>
      <rPr>
        <rFont val="Arial"/>
        <color theme="1"/>
        <sz val="9.0"/>
      </rPr>
      <t>CUP SAUS 25ML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</si>
  <si>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</si>
  <si>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</si>
  <si>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</si>
  <si>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100008</t>
    </r>
  </si>
  <si>
    <r>
      <rPr>
        <rFont val="Arial"/>
        <color theme="1"/>
        <sz val="9.0"/>
      </rPr>
      <t>CUP SAUS 60ML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</si>
  <si>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</si>
  <si>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</si>
  <si>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</si>
  <si>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BKS.018</t>
    </r>
  </si>
  <si>
    <r>
      <rPr>
        <rFont val="Arial"/>
        <color theme="1"/>
        <sz val="9.0"/>
      </rPr>
      <t>Kresek. 25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</si>
  <si>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</si>
  <si>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</si>
  <si>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</si>
  <si>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BKS.019</t>
    </r>
  </si>
  <si>
    <r>
      <rPr>
        <rFont val="Arial"/>
        <color theme="1"/>
        <sz val="9.0"/>
      </rPr>
      <t>Kresek. 35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</si>
  <si>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</si>
  <si>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</si>
  <si>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</si>
  <si>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BKS.026</t>
    </r>
  </si>
  <si>
    <r>
      <rPr>
        <rFont val="Arial"/>
        <color theme="1"/>
        <sz val="9.0"/>
      </rPr>
      <t>CUP THINWALL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</si>
  <si>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</si>
  <si>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</si>
  <si>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</si>
  <si>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BKS.012</t>
    </r>
  </si>
  <si>
    <r>
      <rPr>
        <rFont val="Arial"/>
        <color theme="1"/>
        <sz val="9.0"/>
      </rPr>
      <t>Cup Sealer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</si>
  <si>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</si>
  <si>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</si>
  <si>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</si>
  <si>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100007</t>
    </r>
  </si>
  <si>
    <r>
      <rPr>
        <rFont val="Arial"/>
        <color theme="1"/>
        <sz val="9.0"/>
      </rPr>
      <t>SUMPIT KAYU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</si>
  <si>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</si>
  <si>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</si>
  <si>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</si>
  <si>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BKS.010</t>
    </r>
  </si>
  <si>
    <r>
      <rPr>
        <rFont val="Arial"/>
        <color theme="1"/>
        <sz val="9.0"/>
      </rPr>
      <t>Sendok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</si>
  <si>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</si>
  <si>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</si>
  <si>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</si>
  <si>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BKS.015</t>
    </r>
  </si>
  <si>
    <r>
      <rPr>
        <rFont val="Arial"/>
        <color theme="1"/>
        <sz val="9.0"/>
      </rPr>
      <t>Kresek. 10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</si>
  <si>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</si>
  <si>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</si>
  <si>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</si>
  <si>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BKS.005</t>
    </r>
  </si>
  <si>
    <r>
      <rPr>
        <rFont val="Arial"/>
        <color theme="1"/>
        <sz val="9.0"/>
      </rPr>
      <t>Paper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</si>
  <si>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</si>
  <si>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</si>
  <si>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</si>
  <si>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BKS.001</t>
    </r>
  </si>
  <si>
    <r>
      <rPr>
        <rFont val="Arial"/>
        <color theme="1"/>
        <sz val="9.0"/>
      </rPr>
      <t>Plastik Kuah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</si>
  <si>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</si>
  <si>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</si>
  <si>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</si>
  <si>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BKS.002</t>
    </r>
  </si>
  <si>
    <r>
      <rPr>
        <rFont val="Arial"/>
        <color theme="1"/>
        <sz val="9.0"/>
      </rPr>
      <t>Plastik Sambel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</si>
  <si>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</si>
  <si>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</si>
  <si>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</si>
  <si>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100017</t>
    </r>
  </si>
  <si>
    <r>
      <rPr>
        <rFont val="Arial"/>
        <color theme="1"/>
        <sz val="9.0"/>
      </rPr>
      <t>THINWALL VICTORY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</si>
  <si>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</si>
  <si>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</si>
  <si>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</si>
  <si>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BKS.023</t>
    </r>
  </si>
  <si>
    <r>
      <rPr>
        <rFont val="Arial"/>
        <color theme="1"/>
        <sz val="9.0"/>
      </rPr>
      <t>THINWALL VICTORY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</si>
  <si>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</si>
  <si>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</si>
  <si>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</si>
  <si>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BKS.025</t>
    </r>
  </si>
  <si>
    <r>
      <rPr>
        <rFont val="Arial"/>
        <color theme="1"/>
        <sz val="9.0"/>
      </rPr>
      <t>TUTUP CUP OZ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</si>
  <si>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</si>
  <si>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</si>
  <si>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</si>
  <si>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BKS.003</t>
    </r>
  </si>
  <si>
    <r>
      <rPr>
        <rFont val="Arial"/>
        <color theme="1"/>
        <sz val="9.0"/>
      </rPr>
      <t>Trashbag Besar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</si>
  <si>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</si>
  <si>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</si>
  <si>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</si>
  <si>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BKS.004</t>
    </r>
  </si>
  <si>
    <r>
      <rPr>
        <rFont val="Arial"/>
        <color theme="1"/>
        <sz val="9.0"/>
      </rPr>
      <t>Trashbag Kecil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</si>
  <si>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</si>
  <si>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PCK</t>
    </r>
  </si>
  <si>
    <r>
      <rPr>
        <rFont val="Arial"/>
        <color theme="1"/>
        <sz val="9.0"/>
      </rPr>
      <t>BB.PEMBUNGKUS</t>
    </r>
  </si>
  <si>
    <r>
      <rPr>
        <rFont val="Arial"/>
        <color theme="1"/>
        <sz val="9.0"/>
      </rPr>
      <t>BKS.007</t>
    </r>
  </si>
  <si>
    <r>
      <rPr>
        <rFont val="Arial"/>
        <color theme="1"/>
        <sz val="9.0"/>
      </rPr>
      <t>Tutup Paper Bowl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</si>
  <si>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</si>
  <si>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</si>
  <si>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b/>
        <color theme="1"/>
        <sz val="9.0"/>
      </rPr>
      <t>BB.PMT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</si>
  <si>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</si>
  <si>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PMT.30102</t>
    </r>
  </si>
  <si>
    <r>
      <rPr>
        <rFont val="Arial"/>
        <color theme="1"/>
        <sz val="9.0"/>
      </rPr>
      <t>Biang Karbol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</si>
  <si>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</si>
  <si>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</si>
  <si>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</si>
  <si>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PMT.30130</t>
    </r>
  </si>
  <si>
    <r>
      <rPr>
        <rFont val="Arial"/>
        <color theme="1"/>
        <sz val="9.0"/>
      </rPr>
      <t>Rich Creamer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</si>
  <si>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</si>
  <si>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</si>
  <si>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</si>
  <si>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PMT.30149</t>
    </r>
  </si>
  <si>
    <r>
      <rPr>
        <rFont val="Arial"/>
        <color theme="1"/>
        <sz val="9.0"/>
      </rPr>
      <t>Tepung Kasar@2kg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</si>
  <si>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</si>
  <si>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</si>
  <si>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</si>
  <si>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PMT.30106</t>
    </r>
  </si>
  <si>
    <r>
      <rPr>
        <rFont val="Arial"/>
        <color theme="1"/>
        <sz val="9.0"/>
      </rPr>
      <t>Bubuk Coklat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</si>
  <si>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</si>
  <si>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</si>
  <si>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</si>
  <si>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PMT.30109</t>
    </r>
  </si>
  <si>
    <r>
      <rPr>
        <rFont val="Arial"/>
        <color theme="1"/>
        <sz val="9.0"/>
      </rPr>
      <t>Cabai Rawit Merah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</si>
  <si>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</si>
  <si>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</si>
  <si>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</si>
  <si>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PMT.30108</t>
    </r>
  </si>
  <si>
    <r>
      <rPr>
        <rFont val="Arial"/>
        <color theme="1"/>
        <sz val="9.0"/>
      </rPr>
      <t>Cabai Rawit Hijau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</si>
  <si>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</si>
  <si>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</si>
  <si>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</si>
  <si>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PMT.30100</t>
    </r>
  </si>
  <si>
    <r>
      <rPr>
        <rFont val="Arial"/>
        <color theme="1"/>
        <sz val="9.0"/>
      </rPr>
      <t>Bawang Goreng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</si>
  <si>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</si>
  <si>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</si>
  <si>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</si>
  <si>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PMT.30105</t>
    </r>
  </si>
  <si>
    <r>
      <rPr>
        <rFont val="Arial"/>
        <color theme="1"/>
        <sz val="9.0"/>
      </rPr>
      <t>Buah Lemon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</si>
  <si>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</si>
  <si>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</si>
  <si>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</si>
  <si>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PMT.30111</t>
    </r>
  </si>
  <si>
    <r>
      <rPr>
        <rFont val="Arial"/>
        <color theme="1"/>
        <sz val="9.0"/>
      </rPr>
      <t>Chicken Powder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</si>
  <si>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</si>
  <si>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</si>
  <si>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</si>
  <si>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PMT.30133</t>
    </r>
  </si>
  <si>
    <r>
      <rPr>
        <rFont val="Arial"/>
        <color theme="1"/>
        <sz val="9.0"/>
      </rPr>
      <t>Sabun Cuci Piring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</si>
  <si>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</si>
  <si>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</si>
  <si>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</si>
  <si>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PMT.30134</t>
    </r>
  </si>
  <si>
    <r>
      <rPr>
        <rFont val="Arial"/>
        <color theme="1"/>
        <sz val="9.0"/>
      </rPr>
      <t>Sabun Cuci Tangan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</si>
  <si>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</si>
  <si>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</si>
  <si>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</si>
  <si>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PMT.30115</t>
    </r>
  </si>
  <si>
    <r>
      <rPr>
        <rFont val="Arial"/>
        <color theme="1"/>
        <sz val="9.0"/>
      </rPr>
      <t>Hand Towel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</si>
  <si>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</si>
  <si>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</si>
  <si>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</si>
  <si>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PMT.30135</t>
    </r>
  </si>
  <si>
    <r>
      <rPr>
        <rFont val="Arial"/>
        <color theme="1"/>
        <sz val="9.0"/>
      </rPr>
      <t>Sabun Kaca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</si>
  <si>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</si>
  <si>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</si>
  <si>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</si>
  <si>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PMT.30116</t>
    </r>
  </si>
  <si>
    <r>
      <rPr>
        <rFont val="Arial"/>
        <color theme="1"/>
        <sz val="9.0"/>
      </rPr>
      <t>Handglove Plastik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</si>
  <si>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</si>
  <si>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</si>
  <si>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</si>
  <si>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PMT.30121</t>
    </r>
  </si>
  <si>
    <r>
      <rPr>
        <rFont val="Arial"/>
        <color theme="1"/>
        <sz val="9.0"/>
      </rPr>
      <t>Minyak Loby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</si>
  <si>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</si>
  <si>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</si>
  <si>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</si>
  <si>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PMT.30122</t>
    </r>
  </si>
  <si>
    <r>
      <rPr>
        <rFont val="Arial"/>
        <color theme="1"/>
        <sz val="9.0"/>
      </rPr>
      <t>Nutrijel Cincau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</si>
  <si>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</si>
  <si>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</si>
  <si>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</si>
  <si>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PMT.30123</t>
    </r>
  </si>
  <si>
    <r>
      <rPr>
        <rFont val="Arial"/>
        <color theme="1"/>
        <sz val="9.0"/>
      </rPr>
      <t>Nutrijel Leci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</si>
  <si>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</si>
  <si>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</si>
  <si>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</si>
  <si>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PMT.30113</t>
    </r>
  </si>
  <si>
    <r>
      <rPr>
        <rFont val="Arial"/>
        <color theme="1"/>
        <sz val="9.0"/>
      </rPr>
      <t>Dancow 26gr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</si>
  <si>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</si>
  <si>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</si>
  <si>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</si>
  <si>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PMT.30124</t>
    </r>
  </si>
  <si>
    <r>
      <rPr>
        <rFont val="Arial"/>
        <color theme="1"/>
        <sz val="9.0"/>
      </rPr>
      <t>Paya Pengempuk Daging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</si>
  <si>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</si>
  <si>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</si>
  <si>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</si>
  <si>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PMT.30126</t>
    </r>
  </si>
  <si>
    <r>
      <rPr>
        <rFont val="Arial"/>
        <color theme="1"/>
        <sz val="9.0"/>
      </rPr>
      <t>Plastik Wrap Uk25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</si>
  <si>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</si>
  <si>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</si>
  <si>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</si>
  <si>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PMT.30128</t>
    </r>
  </si>
  <si>
    <r>
      <rPr>
        <rFont val="Arial"/>
        <color theme="1"/>
        <sz val="9.0"/>
      </rPr>
      <t>Plastik Wrap Uk40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</si>
  <si>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</si>
  <si>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</si>
  <si>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</si>
  <si>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PMT.30137</t>
    </r>
  </si>
  <si>
    <r>
      <rPr>
        <rFont val="Arial"/>
        <color theme="1"/>
        <sz val="9.0"/>
      </rPr>
      <t>Sabun Lantai/Pel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</si>
  <si>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</si>
  <si>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</si>
  <si>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</si>
  <si>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PMT.30146</t>
    </r>
  </si>
  <si>
    <r>
      <rPr>
        <rFont val="Arial"/>
        <color theme="1"/>
        <sz val="9.0"/>
      </rPr>
      <t>Stella Kecil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</si>
  <si>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</si>
  <si>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</si>
  <si>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</si>
  <si>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PMT.30139</t>
    </r>
  </si>
  <si>
    <r>
      <rPr>
        <rFont val="Arial"/>
        <color theme="1"/>
        <sz val="9.0"/>
      </rPr>
      <t>Sambel Abc Sachet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</si>
  <si>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</si>
  <si>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</si>
  <si>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</si>
  <si>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PMT.30140</t>
    </r>
  </si>
  <si>
    <r>
      <rPr>
        <rFont val="Arial"/>
        <color theme="1"/>
        <sz val="9.0"/>
      </rPr>
      <t>Sambel Jrg Abc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</si>
  <si>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</si>
  <si>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</si>
  <si>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</si>
  <si>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PMT.30142</t>
    </r>
  </si>
  <si>
    <r>
      <rPr>
        <rFont val="Arial"/>
        <color theme="1"/>
        <sz val="9.0"/>
      </rPr>
      <t>Saus Bangkok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</si>
  <si>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</si>
  <si>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</si>
  <si>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</si>
  <si>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PMT.30143</t>
    </r>
  </si>
  <si>
    <r>
      <rPr>
        <rFont val="Arial"/>
        <color theme="1"/>
        <sz val="9.0"/>
      </rPr>
      <t>Soda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</si>
  <si>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</si>
  <si>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</si>
  <si>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</si>
  <si>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PMT.30145</t>
    </r>
  </si>
  <si>
    <r>
      <rPr>
        <rFont val="Arial"/>
        <color theme="1"/>
        <sz val="9.0"/>
      </rPr>
      <t>Stella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</si>
  <si>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</si>
  <si>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</si>
  <si>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</si>
  <si>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PMT.30147</t>
    </r>
  </si>
  <si>
    <r>
      <rPr>
        <rFont val="Arial"/>
        <color theme="1"/>
        <sz val="9.0"/>
      </rPr>
      <t>Tepung Beras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</si>
  <si>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</si>
  <si>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</si>
  <si>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</si>
  <si>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PMT.30150</t>
    </r>
  </si>
  <si>
    <r>
      <rPr>
        <rFont val="Arial"/>
        <color theme="1"/>
        <sz val="9.0"/>
      </rPr>
      <t>Tepung Tapioka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</si>
  <si>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</si>
  <si>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</si>
  <si>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</si>
  <si>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PMT.30151</t>
    </r>
  </si>
  <si>
    <r>
      <rPr>
        <rFont val="Arial"/>
        <color theme="1"/>
        <sz val="9.0"/>
      </rPr>
      <t>Tepung Terigu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</si>
  <si>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</si>
  <si>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</si>
  <si>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</si>
  <si>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PMT.30153</t>
    </r>
  </si>
  <si>
    <r>
      <rPr>
        <rFont val="Arial"/>
        <color theme="1"/>
        <sz val="9.0"/>
      </rPr>
      <t>Termal Kasir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</si>
  <si>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</si>
  <si>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</si>
  <si>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</si>
  <si>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PMT.30154</t>
    </r>
  </si>
  <si>
    <r>
      <rPr>
        <rFont val="Arial"/>
        <color theme="1"/>
        <sz val="9.0"/>
      </rPr>
      <t>Tisu Meja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</si>
  <si>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</si>
  <si>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</si>
  <si>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</si>
  <si>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PMT.30156</t>
    </r>
  </si>
  <si>
    <r>
      <rPr>
        <rFont val="Arial"/>
        <color theme="1"/>
        <sz val="9.0"/>
      </rPr>
      <t>Topi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</si>
  <si>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</si>
  <si>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</si>
  <si>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</si>
  <si>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PMT.30144</t>
    </r>
  </si>
  <si>
    <r>
      <rPr>
        <rFont val="Arial"/>
        <color theme="1"/>
        <sz val="9.0"/>
      </rPr>
      <t>Solasi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</si>
  <si>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</si>
  <si>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</si>
  <si>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</si>
  <si>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PMT.30138</t>
    </r>
  </si>
  <si>
    <r>
      <rPr>
        <rFont val="Arial"/>
        <color theme="1"/>
        <sz val="9.0"/>
      </rPr>
      <t>Sabun Wings Colek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</si>
  <si>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</si>
  <si>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</si>
  <si>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</si>
  <si>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PMT.30155</t>
    </r>
  </si>
  <si>
    <r>
      <rPr>
        <rFont val="Arial"/>
        <color theme="1"/>
        <sz val="9.0"/>
      </rPr>
      <t>Topi Biru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</si>
  <si>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</si>
  <si>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</si>
  <si>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</si>
  <si>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PMT.30136</t>
    </r>
  </si>
  <si>
    <r>
      <rPr>
        <rFont val="Arial"/>
        <color theme="1"/>
        <sz val="9.0"/>
      </rPr>
      <t>Sabun Karbon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</si>
  <si>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</si>
  <si>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Pack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</si>
  <si>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</si>
  <si>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PMT.30112</t>
    </r>
  </si>
  <si>
    <r>
      <rPr>
        <rFont val="Arial"/>
        <color theme="1"/>
        <sz val="9.0"/>
      </rPr>
      <t>Cuka Diksi</t>
    </r>
  </si>
  <si>
    <r>
      <rPr>
        <rFont val="Arial"/>
        <color theme="1"/>
        <sz val="9.0"/>
      </rPr>
      <t>Persediaan</t>
    </r>
  </si>
  <si>
    <t>MIE BASAH</t>
  </si>
  <si>
    <r>
      <rPr>
        <rFont val="Arial"/>
        <color theme="1"/>
        <sz val="9.0"/>
      </rPr>
      <t>BTL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</si>
  <si>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</si>
  <si>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PMT.30118</t>
    </r>
  </si>
  <si>
    <r>
      <rPr>
        <rFont val="Arial"/>
        <color theme="1"/>
        <sz val="9.0"/>
      </rPr>
      <t>Kemangi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</si>
  <si>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</si>
  <si>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</si>
  <si>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BB.PMT</t>
    </r>
  </si>
  <si>
    <r>
      <rPr>
        <rFont val="Arial"/>
        <color theme="1"/>
        <sz val="9.0"/>
      </rPr>
      <t>PMT.30132</t>
    </r>
  </si>
  <si>
    <r>
      <rPr>
        <rFont val="Arial"/>
        <color theme="1"/>
        <sz val="9.0"/>
      </rPr>
      <t>Royco Ayam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</si>
  <si>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</si>
  <si>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</si>
  <si>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b/>
        <color theme="1"/>
        <sz val="9.0"/>
      </rPr>
      <t>C. MIE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</si>
  <si>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</si>
  <si>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MIE.006 NEW</t>
    </r>
  </si>
  <si>
    <r>
      <rPr>
        <rFont val="Arial"/>
        <color theme="1"/>
        <sz val="9.0"/>
      </rPr>
      <t>MIE KUAH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</si>
  <si>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</si>
  <si>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</si>
  <si>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</si>
  <si>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MIE.016 NEW</t>
    </r>
  </si>
  <si>
    <r>
      <rPr>
        <rFont val="Arial"/>
        <color theme="1"/>
        <sz val="9.0"/>
      </rPr>
      <t>FREE ICE CAMPUR 1 P</t>
    </r>
  </si>
  <si>
    <r>
      <rPr>
        <rFont val="Arial"/>
        <color theme="1"/>
        <sz val="9.0"/>
      </rPr>
      <t>Grup</t>
    </r>
  </si>
  <si>
    <t>MIE.020 NEW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</si>
  <si>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</si>
  <si>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</si>
  <si>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MIE.007 NEW</t>
    </r>
  </si>
  <si>
    <r>
      <rPr>
        <rFont val="Arial"/>
        <color theme="1"/>
        <sz val="9.0"/>
      </rPr>
      <t>MIE GORENG (AYAM)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</si>
  <si>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</si>
  <si>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</si>
  <si>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t>MIE HOT MONSTERS</t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</si>
  <si>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</si>
  <si>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MIE.020 NEW</t>
    </r>
  </si>
  <si>
    <r>
      <rPr>
        <rFont val="Arial"/>
        <color theme="1"/>
        <sz val="9.0"/>
      </rPr>
      <t>MIE HOT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</si>
  <si>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</si>
  <si>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</si>
  <si>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</si>
  <si>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MIE.008 NEW</t>
    </r>
  </si>
  <si>
    <r>
      <rPr>
        <rFont val="Arial"/>
        <color theme="1"/>
        <sz val="9.0"/>
      </rPr>
      <t>MIE GORENG (JAMUR)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</si>
  <si>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</si>
  <si>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</si>
  <si>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</si>
  <si>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MIE.001 NEW</t>
    </r>
  </si>
  <si>
    <r>
      <rPr>
        <rFont val="Arial"/>
        <color theme="1"/>
        <sz val="9.0"/>
      </rPr>
      <t>MIE AYAM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</si>
  <si>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</si>
  <si>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</si>
  <si>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</si>
  <si>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MIE.009 NEW</t>
    </r>
  </si>
  <si>
    <r>
      <rPr>
        <rFont val="Arial"/>
        <color theme="1"/>
        <sz val="9.0"/>
      </rPr>
      <t>MIE GORENG (KATSU)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</si>
  <si>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</si>
  <si>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</si>
  <si>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</si>
  <si>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MIE.002 NEW</t>
    </r>
  </si>
  <si>
    <r>
      <rPr>
        <rFont val="Arial"/>
        <color theme="1"/>
        <sz val="9.0"/>
      </rPr>
      <t>MIE AYAM JAMUR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</si>
  <si>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</si>
  <si>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</si>
  <si>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</si>
  <si>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MIE.010 NEW</t>
    </r>
  </si>
  <si>
    <t>MKN.30115</t>
  </si>
  <si>
    <r>
      <rPr>
        <rFont val="Arial"/>
        <color theme="1"/>
        <sz val="9.0"/>
      </rPr>
      <t>MIE GORENG (SAPI)</t>
    </r>
  </si>
  <si>
    <t>Gorengan Mie</t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</si>
  <si>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</si>
  <si>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</si>
  <si>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</si>
  <si>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MIE.003 NEW</t>
    </r>
  </si>
  <si>
    <r>
      <rPr>
        <rFont val="Arial"/>
        <color theme="1"/>
        <sz val="9.0"/>
      </rPr>
      <t>MIE AYAM KATSU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</si>
  <si>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</si>
  <si>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</si>
  <si>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</si>
  <si>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MIE.011 NEW</t>
    </r>
  </si>
  <si>
    <r>
      <rPr>
        <rFont val="Arial"/>
        <color theme="1"/>
        <sz val="9.0"/>
      </rPr>
      <t>MIE GORENG (POLOS)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</si>
  <si>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</si>
  <si>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</si>
  <si>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</si>
  <si>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MIE.004 NEW</t>
    </r>
  </si>
  <si>
    <r>
      <rPr>
        <rFont val="Arial"/>
        <color theme="1"/>
        <sz val="9.0"/>
      </rPr>
      <t>MIE SAPI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</si>
  <si>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</si>
  <si>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</si>
  <si>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</si>
  <si>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MIE.012 NEW</t>
    </r>
  </si>
  <si>
    <r>
      <rPr>
        <rFont val="Arial"/>
        <color theme="1"/>
        <sz val="9.0"/>
      </rPr>
      <t>MIE GORENG (HOT)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</si>
  <si>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</si>
  <si>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</si>
  <si>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C. MIE</t>
    </r>
  </si>
  <si>
    <r>
      <rPr>
        <rFont val="Arial"/>
        <color theme="1"/>
        <sz val="9.0"/>
      </rPr>
      <t>MIE.005 NEW</t>
    </r>
  </si>
  <si>
    <r>
      <rPr>
        <rFont val="Arial"/>
        <color theme="1"/>
        <sz val="9.0"/>
      </rPr>
      <t>MIE POLOS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</si>
  <si>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</si>
  <si>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</si>
  <si>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D. MINUMAN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</si>
  <si>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</si>
  <si>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ICE.009 NEW</t>
    </r>
  </si>
  <si>
    <r>
      <rPr>
        <rFont val="Arial"/>
        <color theme="1"/>
        <sz val="9.0"/>
      </rPr>
      <t>LEMON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</si>
  <si>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</si>
  <si>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</si>
  <si>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</si>
  <si>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ICE.023 NEW</t>
    </r>
  </si>
  <si>
    <r>
      <rPr>
        <rFont val="Arial"/>
        <color theme="1"/>
        <sz val="9.0"/>
      </rPr>
      <t>MATCHA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</si>
  <si>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</si>
  <si>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</si>
  <si>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</si>
  <si>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ICE.001 NEW</t>
    </r>
  </si>
  <si>
    <r>
      <rPr>
        <rFont val="Arial"/>
        <color theme="1"/>
        <sz val="9.0"/>
      </rPr>
      <t>ICE CHOCOLATE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</si>
  <si>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</si>
  <si>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</si>
  <si>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</si>
  <si>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ICE.024 NEW</t>
    </r>
  </si>
  <si>
    <r>
      <rPr>
        <rFont val="Arial"/>
        <color theme="1"/>
        <sz val="9.0"/>
      </rPr>
      <t>RED VELVET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</si>
  <si>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</si>
  <si>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</si>
  <si>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</si>
  <si>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ICE.007 NEW</t>
    </r>
  </si>
  <si>
    <r>
      <rPr>
        <rFont val="Arial"/>
        <color theme="1"/>
        <sz val="9.0"/>
      </rPr>
      <t>ORANGE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</si>
  <si>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</si>
  <si>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</si>
  <si>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</si>
  <si>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ICE.015 NEW</t>
    </r>
  </si>
  <si>
    <r>
      <rPr>
        <rFont val="Arial"/>
        <color theme="1"/>
        <sz val="9.0"/>
      </rPr>
      <t>COOKIES &amp; CREAM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</si>
  <si>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</si>
  <si>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</si>
  <si>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</si>
  <si>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ICE.025 NEW</t>
    </r>
  </si>
  <si>
    <r>
      <rPr>
        <rFont val="Arial"/>
        <color theme="1"/>
        <sz val="9.0"/>
      </rPr>
      <t>TARO SHAKE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</si>
  <si>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</si>
  <si>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</si>
  <si>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</si>
  <si>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ICE.016 NEW</t>
    </r>
  </si>
  <si>
    <r>
      <rPr>
        <rFont val="Arial"/>
        <color theme="1"/>
        <sz val="9.0"/>
      </rPr>
      <t>MELON SILKY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</si>
  <si>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</si>
  <si>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</si>
  <si>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</si>
  <si>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ICE.002 NEW</t>
    </r>
  </si>
  <si>
    <r>
      <rPr>
        <rFont val="Arial"/>
        <color theme="1"/>
        <sz val="9.0"/>
      </rPr>
      <t>ICE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</si>
  <si>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</si>
  <si>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</si>
  <si>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</si>
  <si>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ICE.017 NEW</t>
    </r>
  </si>
  <si>
    <r>
      <rPr>
        <rFont val="Arial"/>
        <color theme="1"/>
        <sz val="9.0"/>
      </rPr>
      <t>WATERMELOM MILK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</si>
  <si>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</si>
  <si>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</si>
  <si>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</si>
  <si>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ICE.003 NEW</t>
    </r>
  </si>
  <si>
    <t>MKN.30126</t>
  </si>
  <si>
    <r>
      <rPr>
        <rFont val="Arial"/>
        <color theme="1"/>
        <sz val="9.0"/>
      </rPr>
      <t>ICE TEA SUSU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</si>
  <si>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</si>
  <si>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</si>
  <si>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</si>
  <si>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ICE.010 NEW</t>
    </r>
  </si>
  <si>
    <r>
      <rPr>
        <rFont val="Arial"/>
        <color theme="1"/>
        <sz val="9.0"/>
      </rPr>
      <t>BLUE OCEAN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</si>
  <si>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</si>
  <si>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</si>
  <si>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</si>
  <si>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ICE.004 NEW</t>
    </r>
  </si>
  <si>
    <r>
      <rPr>
        <rFont val="Arial"/>
        <color theme="1"/>
        <sz val="9.0"/>
      </rPr>
      <t>LECI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</si>
  <si>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</si>
  <si>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</si>
  <si>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</si>
  <si>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ICE.008 NEW</t>
    </r>
  </si>
  <si>
    <r>
      <rPr>
        <rFont val="Arial"/>
        <color theme="1"/>
        <sz val="9.0"/>
      </rPr>
      <t>STRABERRY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</si>
  <si>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</si>
  <si>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</si>
  <si>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</si>
  <si>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ICE.018 NEW</t>
    </r>
  </si>
  <si>
    <r>
      <rPr>
        <rFont val="Arial"/>
        <color theme="1"/>
        <sz val="9.0"/>
      </rPr>
      <t>DRAGON CREAMY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</si>
  <si>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</si>
  <si>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</si>
  <si>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</si>
  <si>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ICE.011 NEW</t>
    </r>
  </si>
  <si>
    <r>
      <rPr>
        <rFont val="Arial"/>
        <color theme="1"/>
        <sz val="9.0"/>
      </rPr>
      <t>DRAK BLUE SEA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</si>
  <si>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</si>
  <si>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</si>
  <si>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</si>
  <si>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COF.005 NEW</t>
    </r>
  </si>
  <si>
    <r>
      <rPr>
        <rFont val="Arial"/>
        <color theme="1"/>
        <sz val="9.0"/>
      </rPr>
      <t>LEMON TEA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</si>
  <si>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</si>
  <si>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</si>
  <si>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</si>
  <si>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ICE.006 NEW</t>
    </r>
  </si>
  <si>
    <r>
      <rPr>
        <rFont val="Arial"/>
        <color theme="1"/>
        <sz val="9.0"/>
      </rPr>
      <t>MINERAL WATER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</si>
  <si>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</si>
  <si>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</si>
  <si>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</si>
  <si>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ICE.005 NEW</t>
    </r>
  </si>
  <si>
    <r>
      <rPr>
        <rFont val="Arial"/>
        <color theme="1"/>
        <sz val="9.0"/>
      </rPr>
      <t>MARKISA SQUASH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</si>
  <si>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</si>
  <si>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</si>
  <si>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D. MINUMAN</t>
    </r>
  </si>
  <si>
    <r>
      <rPr>
        <rFont val="Arial"/>
        <color theme="1"/>
        <sz val="9.0"/>
      </rPr>
      <t>ICE.013 NEW</t>
    </r>
  </si>
  <si>
    <r>
      <rPr>
        <rFont val="Arial"/>
        <color theme="1"/>
        <sz val="9.0"/>
      </rPr>
      <t>MATCHA MILK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</si>
  <si>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</si>
  <si>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</si>
  <si>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E. GORENGAN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</si>
  <si>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</si>
  <si>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GRN.015 NEW</t>
    </r>
  </si>
  <si>
    <r>
      <rPr>
        <rFont val="Arial"/>
        <color theme="1"/>
        <sz val="9.0"/>
      </rPr>
      <t>SCALLOP* 6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</si>
  <si>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</si>
  <si>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</si>
  <si>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</si>
  <si>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GRN.010 NEW</t>
    </r>
  </si>
  <si>
    <r>
      <rPr>
        <rFont val="Arial"/>
        <color theme="1"/>
        <sz val="9.0"/>
      </rPr>
      <t>OTAK-OTAK* 3 Pcs</t>
    </r>
  </si>
  <si>
    <r>
      <rPr>
        <rFont val="Arial"/>
        <color theme="1"/>
        <sz val="9.0"/>
      </rPr>
      <t>Grup</t>
    </r>
  </si>
  <si>
    <t>MKN.30132</t>
  </si>
  <si>
    <t>Pokcoy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</si>
  <si>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</si>
  <si>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</si>
  <si>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GRN.020 NEW</t>
    </r>
  </si>
  <si>
    <r>
      <rPr>
        <rFont val="Arial"/>
        <color theme="1"/>
        <sz val="9.0"/>
      </rPr>
      <t>Gorengan Mix 6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</si>
  <si>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</si>
  <si>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</si>
  <si>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</si>
  <si>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GRN.016 NEW</t>
    </r>
  </si>
  <si>
    <r>
      <rPr>
        <rFont val="Arial"/>
        <color theme="1"/>
        <sz val="9.0"/>
      </rPr>
      <t>OTAK-OTAK* 6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</si>
  <si>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</si>
  <si>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</si>
  <si>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</si>
  <si>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GRN.011 NEW</t>
    </r>
  </si>
  <si>
    <r>
      <rPr>
        <rFont val="Arial"/>
        <color theme="1"/>
        <sz val="9.0"/>
      </rPr>
      <t>TOFU* 3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</si>
  <si>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</si>
  <si>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</si>
  <si>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</si>
  <si>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GRN.017 NEW</t>
    </r>
  </si>
  <si>
    <r>
      <rPr>
        <rFont val="Arial"/>
        <color theme="1"/>
        <sz val="9.0"/>
      </rPr>
      <t>Gorengan Mix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</si>
  <si>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</si>
  <si>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</si>
  <si>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</si>
  <si>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GRN.012 NEW</t>
    </r>
  </si>
  <si>
    <r>
      <rPr>
        <rFont val="Arial"/>
        <color theme="1"/>
        <sz val="9.0"/>
      </rPr>
      <t>IKAN OLAHAN BINTANG* 3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</si>
  <si>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</si>
  <si>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</si>
  <si>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</si>
  <si>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GRN.008 NEW</t>
    </r>
  </si>
  <si>
    <r>
      <rPr>
        <rFont val="Arial"/>
        <color theme="1"/>
        <sz val="9.0"/>
      </rPr>
      <t>BAKSO ISI AYAM* 3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</si>
  <si>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</si>
  <si>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</si>
  <si>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</si>
  <si>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GRN.018 NEW</t>
    </r>
  </si>
  <si>
    <r>
      <rPr>
        <rFont val="Arial"/>
        <color theme="1"/>
        <sz val="9.0"/>
      </rPr>
      <t>IKAN OLAHAN BINTANG* 6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</si>
  <si>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</si>
  <si>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</si>
  <si>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</si>
  <si>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GRN.021 NEW</t>
    </r>
  </si>
  <si>
    <r>
      <rPr>
        <rFont val="Arial"/>
        <color theme="1"/>
        <sz val="9.0"/>
      </rPr>
      <t>TEMPURA COINS 3PCS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</si>
  <si>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</si>
  <si>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</si>
  <si>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</si>
  <si>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GRN.007 NEW</t>
    </r>
  </si>
  <si>
    <r>
      <rPr>
        <rFont val="Arial"/>
        <color theme="1"/>
        <sz val="9.0"/>
      </rPr>
      <t>AYAM GULUNG*  3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</si>
  <si>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</si>
  <si>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</si>
  <si>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</si>
  <si>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GRN.014 NEW</t>
    </r>
  </si>
  <si>
    <r>
      <rPr>
        <rFont val="Arial"/>
        <color theme="1"/>
        <sz val="9.0"/>
      </rPr>
      <t>BAKSO ISI AYAM* 6 Pcs</t>
    </r>
  </si>
  <si>
    <r>
      <rPr>
        <rFont val="Arial"/>
        <color theme="1"/>
        <sz val="9.0"/>
      </rPr>
      <t>Grup</t>
    </r>
  </si>
  <si>
    <t>MKN.30154</t>
  </si>
  <si>
    <t>Toping Ayam Pedas</t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</si>
  <si>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</si>
  <si>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</si>
  <si>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GRN.019 NEW</t>
    </r>
  </si>
  <si>
    <r>
      <rPr>
        <rFont val="Arial"/>
        <color theme="1"/>
        <sz val="9.0"/>
      </rPr>
      <t>TOFU* 6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</si>
  <si>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</si>
  <si>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</si>
  <si>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</si>
  <si>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GRN.013 NEW</t>
    </r>
  </si>
  <si>
    <r>
      <rPr>
        <rFont val="Arial"/>
        <color theme="1"/>
        <sz val="9.0"/>
      </rPr>
      <t>AYAM GULUNG*  6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</si>
  <si>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</si>
  <si>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</si>
  <si>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</si>
  <si>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GRN.022 NEW</t>
    </r>
  </si>
  <si>
    <r>
      <rPr>
        <rFont val="Arial"/>
        <color theme="1"/>
        <sz val="9.0"/>
      </rPr>
      <t>TEMPURA COINS 6PCS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</si>
  <si>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</si>
  <si>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</si>
  <si>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E. GORENGAN</t>
    </r>
  </si>
  <si>
    <r>
      <rPr>
        <rFont val="Arial"/>
        <color theme="1"/>
        <sz val="9.0"/>
      </rPr>
      <t>GRN.009 NEW</t>
    </r>
  </si>
  <si>
    <r>
      <rPr>
        <rFont val="Arial"/>
        <color theme="1"/>
        <sz val="9.0"/>
      </rPr>
      <t>SCALLOP* 3 Pcs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</si>
  <si>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</si>
  <si>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</si>
  <si>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F. DESSERT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</si>
  <si>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</si>
  <si>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DST.005 NEW</t>
    </r>
  </si>
  <si>
    <r>
      <rPr>
        <rFont val="Arial"/>
        <color theme="1"/>
        <sz val="9.0"/>
      </rPr>
      <t>SIOMAY AYAM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</si>
  <si>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</si>
  <si>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</si>
  <si>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</si>
  <si>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DST.014 NEW</t>
    </r>
  </si>
  <si>
    <r>
      <rPr>
        <rFont val="Arial"/>
        <color theme="1"/>
        <sz val="9.0"/>
      </rPr>
      <t>FREE ICE CREAM GORENG STRAWBERRY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</si>
  <si>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</si>
  <si>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</si>
  <si>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</si>
  <si>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DST.001 NEW</t>
    </r>
  </si>
  <si>
    <r>
      <rPr>
        <rFont val="Arial"/>
        <color theme="1"/>
        <sz val="9.0"/>
      </rPr>
      <t>SAUSAGE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</si>
  <si>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</si>
  <si>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</si>
  <si>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</si>
  <si>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DST.006 NEW</t>
    </r>
  </si>
  <si>
    <r>
      <rPr>
        <rFont val="Arial"/>
        <color theme="1"/>
        <sz val="9.0"/>
      </rPr>
      <t>SIOMAY AYAM KEJU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</si>
  <si>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</si>
  <si>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</si>
  <si>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</si>
  <si>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DST.009 NEW</t>
    </r>
  </si>
  <si>
    <r>
      <rPr>
        <rFont val="Arial"/>
        <color theme="1"/>
        <sz val="9.0"/>
      </rPr>
      <t>ICE CREAM GORENG COKLAT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</si>
  <si>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</si>
  <si>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</si>
  <si>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</si>
  <si>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DST.12 NEW</t>
    </r>
  </si>
  <si>
    <r>
      <rPr>
        <rFont val="Arial"/>
        <color theme="1"/>
        <sz val="9.0"/>
      </rPr>
      <t>FREE ICE CREAM GORENG COKLAT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</si>
  <si>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</si>
  <si>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</si>
  <si>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</si>
  <si>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DST.007 NEW</t>
    </r>
  </si>
  <si>
    <r>
      <rPr>
        <rFont val="Arial"/>
        <color theme="1"/>
        <sz val="9.0"/>
      </rPr>
      <t>LUMPIAH KULIT TAHU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</si>
  <si>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</si>
  <si>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</si>
  <si>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</si>
  <si>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DST.002 NEW</t>
    </r>
  </si>
  <si>
    <r>
      <rPr>
        <rFont val="Arial"/>
        <color theme="1"/>
        <sz val="9.0"/>
      </rPr>
      <t>FRENCH FRIES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</si>
  <si>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</si>
  <si>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</si>
  <si>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</si>
  <si>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DST.010 NEW</t>
    </r>
  </si>
  <si>
    <r>
      <rPr>
        <rFont val="Arial"/>
        <color theme="1"/>
        <sz val="9.0"/>
      </rPr>
      <t>ICE CREAM GORENG STRABERY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</si>
  <si>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</si>
  <si>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</si>
  <si>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</si>
  <si>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DST.008 NEW</t>
    </r>
  </si>
  <si>
    <r>
      <rPr>
        <rFont val="Arial"/>
        <color theme="1"/>
        <sz val="9.0"/>
      </rPr>
      <t>FRECH FRIES SEWEED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</si>
  <si>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</si>
  <si>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</si>
  <si>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</si>
  <si>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DST.011 NEW</t>
    </r>
  </si>
  <si>
    <r>
      <rPr>
        <rFont val="Arial"/>
        <color theme="1"/>
        <sz val="9.0"/>
      </rPr>
      <t>ICE CREAM GORENG VANILY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</si>
  <si>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</si>
  <si>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</si>
  <si>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</si>
  <si>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DST.003 NEW</t>
    </r>
  </si>
  <si>
    <r>
      <rPr>
        <rFont val="Arial"/>
        <color theme="1"/>
        <sz val="9.0"/>
      </rPr>
      <t>FRENCH FRIES CHEESE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</si>
  <si>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</si>
  <si>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</si>
  <si>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</si>
  <si>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DST.004 NEW</t>
    </r>
  </si>
  <si>
    <r>
      <rPr>
        <rFont val="Arial"/>
        <color theme="1"/>
        <sz val="9.0"/>
      </rPr>
      <t>FRENCH FRIES BBQ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</si>
  <si>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</si>
  <si>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</si>
  <si>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F. DESSERT</t>
    </r>
  </si>
  <si>
    <r>
      <rPr>
        <rFont val="Arial"/>
        <color theme="1"/>
        <sz val="9.0"/>
      </rPr>
      <t>DST.013 NEW</t>
    </r>
  </si>
  <si>
    <r>
      <rPr>
        <rFont val="Arial"/>
        <color theme="1"/>
        <sz val="9.0"/>
      </rPr>
      <t>FREE ICE CREAM GORENG VANILLA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</si>
  <si>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</si>
  <si>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</si>
  <si>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G. ICE CAMPUR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</si>
  <si>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</si>
  <si>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CPR.0004 NEW</t>
    </r>
  </si>
  <si>
    <r>
      <rPr>
        <rFont val="Arial"/>
        <color theme="1"/>
        <sz val="9.0"/>
      </rPr>
      <t>ICE CAMPUR 8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</si>
  <si>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</si>
  <si>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</si>
  <si>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</si>
  <si>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CPR.0005 NEW</t>
    </r>
  </si>
  <si>
    <r>
      <rPr>
        <rFont val="Arial"/>
        <color theme="1"/>
        <sz val="9.0"/>
      </rPr>
      <t>ICE CAMPUR10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</si>
  <si>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</si>
  <si>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</si>
  <si>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</si>
  <si>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CPR.0001 NEW</t>
    </r>
  </si>
  <si>
    <r>
      <rPr>
        <rFont val="Arial"/>
        <color theme="1"/>
        <sz val="9.0"/>
      </rPr>
      <t>ICE CAMPUR1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</si>
  <si>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</si>
  <si>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</si>
  <si>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</si>
  <si>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CPR.0006 NEW</t>
    </r>
  </si>
  <si>
    <r>
      <rPr>
        <rFont val="Arial"/>
        <color theme="1"/>
        <sz val="9.0"/>
      </rPr>
      <t>ICE CAMPUR 30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</si>
  <si>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</si>
  <si>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</si>
  <si>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</si>
  <si>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CPR.0007 NEW</t>
    </r>
  </si>
  <si>
    <r>
      <rPr>
        <rFont val="Arial"/>
        <color theme="1"/>
        <sz val="9.0"/>
      </rPr>
      <t>Bungkusan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</si>
  <si>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</si>
  <si>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</si>
  <si>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</si>
  <si>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CPR.0002 NEW</t>
    </r>
  </si>
  <si>
    <r>
      <rPr>
        <rFont val="Arial"/>
        <color theme="1"/>
        <sz val="9.0"/>
      </rPr>
      <t>ICE CAMPUR 2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</si>
  <si>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</si>
  <si>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</si>
  <si>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G. ICE CAMPUR</t>
    </r>
  </si>
  <si>
    <r>
      <rPr>
        <rFont val="Arial"/>
        <color theme="1"/>
        <sz val="9.0"/>
      </rPr>
      <t>CPR.0003 NEW</t>
    </r>
  </si>
  <si>
    <r>
      <rPr>
        <rFont val="Arial"/>
        <color theme="1"/>
        <sz val="9.0"/>
      </rPr>
      <t>ICE CAMPUR 4 PORSI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</si>
  <si>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</si>
  <si>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</si>
  <si>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H. KRUPUK</t>
    </r>
  </si>
  <si>
    <r>
      <rPr>
        <rFont val="Arial"/>
        <color theme="1"/>
        <sz val="9.0"/>
      </rPr>
      <t>H. KRUPUK</t>
    </r>
  </si>
  <si>
    <r>
      <rPr>
        <rFont val="Arial"/>
        <color theme="1"/>
        <sz val="9.0"/>
      </rPr>
      <t>KRP.008 NEW</t>
    </r>
  </si>
  <si>
    <r>
      <rPr>
        <rFont val="Arial"/>
        <color theme="1"/>
        <sz val="9.0"/>
      </rPr>
      <t>MIE MONSTERS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</si>
  <si>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</si>
  <si>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</si>
  <si>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I.FROZEN FOOD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</si>
  <si>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</si>
  <si>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FRF.001 NEW</t>
    </r>
  </si>
  <si>
    <r>
      <rPr>
        <rFont val="Arial"/>
        <color theme="1"/>
        <sz val="9.0"/>
      </rPr>
      <t>IKAN OLAHAN BENTUK TAHU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</si>
  <si>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</si>
  <si>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</si>
  <si>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</si>
  <si>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FRF.006 NEW</t>
    </r>
  </si>
  <si>
    <r>
      <rPr>
        <rFont val="Arial"/>
        <color theme="1"/>
        <sz val="9.0"/>
      </rPr>
      <t>BAKSO IKAN ISI AYAM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</si>
  <si>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</si>
  <si>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</si>
  <si>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</si>
  <si>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FRF.007 NEW</t>
    </r>
  </si>
  <si>
    <r>
      <rPr>
        <rFont val="Arial"/>
        <color theme="1"/>
        <sz val="9.0"/>
      </rPr>
      <t>CHICKEN CAKE ROLL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</si>
  <si>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</si>
  <si>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</si>
  <si>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</si>
  <si>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FRF.002 NEW</t>
    </r>
  </si>
  <si>
    <r>
      <rPr>
        <rFont val="Arial"/>
        <color theme="1"/>
        <sz val="9.0"/>
      </rPr>
      <t>OTAK OTAK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</si>
  <si>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</si>
  <si>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</si>
  <si>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</si>
  <si>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FRF.003 NEW</t>
    </r>
  </si>
  <si>
    <r>
      <rPr>
        <rFont val="Arial"/>
        <color theme="1"/>
        <sz val="9.0"/>
      </rPr>
      <t>BAKSO IKAN BANDENG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</si>
  <si>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</si>
  <si>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</si>
  <si>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</si>
  <si>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FRF.008 NEW</t>
    </r>
  </si>
  <si>
    <r>
      <rPr>
        <rFont val="Arial"/>
        <color theme="1"/>
        <sz val="9.0"/>
      </rPr>
      <t>BAKSO IKAN BENTUK BINTANG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</si>
  <si>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</si>
  <si>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</si>
  <si>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</si>
  <si>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FRF.004 NEW</t>
    </r>
  </si>
  <si>
    <r>
      <rPr>
        <rFont val="Arial"/>
        <color theme="1"/>
        <sz val="9.0"/>
      </rPr>
      <t>IKAN OLAHHAN BENTUK KOTAK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</si>
  <si>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</si>
  <si>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</si>
  <si>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I.FROZEN FOOD</t>
    </r>
  </si>
  <si>
    <r>
      <rPr>
        <rFont val="Arial"/>
        <color theme="1"/>
        <sz val="9.0"/>
      </rPr>
      <t>FRF.005 NEW</t>
    </r>
  </si>
  <si>
    <r>
      <rPr>
        <rFont val="Arial"/>
        <color theme="1"/>
        <sz val="9.0"/>
      </rPr>
      <t>IKAN OLAHAN BENTUK SCALLOP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</si>
  <si>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</si>
  <si>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</si>
  <si>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J. COFFEE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</si>
  <si>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</si>
  <si>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100040</t>
    </r>
  </si>
  <si>
    <r>
      <rPr>
        <rFont val="Arial"/>
        <color theme="1"/>
        <sz val="9.0"/>
      </rPr>
      <t>DALGONA COFFEE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</si>
  <si>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</si>
  <si>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</si>
  <si>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</si>
  <si>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COF.004 NEW</t>
    </r>
  </si>
  <si>
    <r>
      <rPr>
        <rFont val="Arial"/>
        <color theme="1"/>
        <sz val="9.0"/>
      </rPr>
      <t>VANILLA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</si>
  <si>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</si>
  <si>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</si>
  <si>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</si>
  <si>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COF.002 NEW</t>
    </r>
  </si>
  <si>
    <r>
      <rPr>
        <rFont val="Arial"/>
        <color theme="1"/>
        <sz val="9.0"/>
      </rPr>
      <t>CARAMEL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</si>
  <si>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</si>
  <si>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</si>
  <si>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</si>
  <si>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COF.003 NEW</t>
    </r>
  </si>
  <si>
    <r>
      <rPr>
        <rFont val="Arial"/>
        <color theme="1"/>
        <sz val="9.0"/>
      </rPr>
      <t>COFFEE LATTE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</si>
  <si>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</si>
  <si>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</si>
  <si>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</si>
  <si>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COF.001 NEW</t>
    </r>
  </si>
  <si>
    <r>
      <rPr>
        <rFont val="Arial"/>
        <color theme="1"/>
        <sz val="9.0"/>
      </rPr>
      <t>AMERICANO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</si>
  <si>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</si>
  <si>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</si>
  <si>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J. COFFEE</t>
    </r>
  </si>
  <si>
    <r>
      <rPr>
        <rFont val="Arial"/>
        <color theme="1"/>
        <sz val="9.0"/>
      </rPr>
      <t>ICE.019 NEW</t>
    </r>
  </si>
  <si>
    <r>
      <rPr>
        <rFont val="Arial"/>
        <color theme="1"/>
        <sz val="9.0"/>
      </rPr>
      <t>BUTTERSCOTCH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</si>
  <si>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</si>
  <si>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Porsi</t>
    </r>
  </si>
  <si>
    <r>
      <rPr>
        <rFont val="Arial"/>
        <b/>
        <color theme="1"/>
        <sz val="9.0"/>
      </rPr>
      <t>Umum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</si>
  <si>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</si>
  <si>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</si>
  <si>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</si>
  <si>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Umum</t>
    </r>
  </si>
  <si>
    <t>FRE.002</t>
  </si>
  <si>
    <t>Mineral Water</t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</si>
  <si>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</si>
  <si>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Gram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</si>
  <si>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</si>
  <si>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s16</t>
    </r>
  </si>
  <si>
    <r>
      <rPr>
        <rFont val="Arial"/>
        <color theme="1"/>
        <sz val="9.0"/>
      </rPr>
      <t>coba 1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</si>
  <si>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</si>
  <si>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</si>
  <si>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</si>
  <si>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100003</t>
    </r>
  </si>
  <si>
    <r>
      <rPr>
        <rFont val="Arial"/>
        <color theme="1"/>
        <sz val="9.0"/>
      </rPr>
      <t>TOPI HITAM</t>
    </r>
  </si>
  <si>
    <r>
      <rPr>
        <rFont val="Arial"/>
        <color theme="1"/>
        <sz val="9.0"/>
      </rPr>
      <t>Persediaan</t>
    </r>
  </si>
  <si>
    <r>
      <rPr>
        <rFont val="Arial"/>
        <color theme="1"/>
        <sz val="9.0"/>
      </rPr>
      <t>PCS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</si>
  <si>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</si>
  <si>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100039</t>
    </r>
  </si>
  <si>
    <r>
      <rPr>
        <rFont val="Arial"/>
        <color theme="1"/>
        <sz val="9.0"/>
      </rPr>
      <t>Pembelian Aset</t>
    </r>
  </si>
  <si>
    <r>
      <rPr>
        <rFont val="Arial"/>
        <color theme="1"/>
        <sz val="9.0"/>
      </rPr>
      <t>Non Persediaan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</si>
  <si>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</si>
  <si>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100037</t>
    </r>
  </si>
  <si>
    <r>
      <rPr>
        <rFont val="Arial"/>
        <color theme="1"/>
        <sz val="9.0"/>
      </rPr>
      <t>coba</t>
    </r>
  </si>
  <si>
    <r>
      <rPr>
        <rFont val="Arial"/>
        <color theme="1"/>
        <sz val="9.0"/>
      </rPr>
      <t>Grup</t>
    </r>
  </si>
  <si>
    <r>
      <rPr>
        <rFont val="Arial"/>
        <color theme="1"/>
        <sz val="9.0"/>
      </rPr>
      <t>Porsi</t>
    </r>
  </si>
  <si>
    <r>
      <rPr>
        <rFont val="Arial"/>
        <color theme="1"/>
        <sz val="9.0"/>
      </rPr>
      <t>Umum</t>
    </r>
  </si>
  <si>
    <r>
      <rPr>
        <rFont val="Arial"/>
        <color theme="1"/>
        <sz val="9.0"/>
      </rPr>
      <t>100038</t>
    </r>
  </si>
  <si>
    <r>
      <rPr>
        <rFont val="Arial"/>
        <color theme="1"/>
        <sz val="9.0"/>
      </rPr>
      <t>Pilihan Minuman</t>
    </r>
  </si>
  <si>
    <r>
      <rPr>
        <rFont val="Arial"/>
        <color theme="1"/>
        <sz val="9.0"/>
      </rPr>
      <t>Modifier</t>
    </r>
  </si>
  <si>
    <r>
      <rPr>
        <rFont val="Courier"/>
        <color theme="1"/>
        <sz val="8.0"/>
      </rPr>
      <t xml:space="preserve"> dari 1</t>
    </r>
  </si>
  <si>
    <t>MIE.001 NEW</t>
  </si>
  <si>
    <t>MIE AYAM MONSTERS</t>
  </si>
  <si>
    <t>MKN.30153</t>
  </si>
  <si>
    <t>TOPING AYAM KECAP</t>
  </si>
  <si>
    <t>Grup</t>
  </si>
  <si>
    <t>Aktif</t>
  </si>
  <si>
    <t>Harga Nota</t>
  </si>
  <si>
    <t>Compress</t>
  </si>
  <si>
    <t>Eccurate</t>
  </si>
  <si>
    <t>Harga Baru</t>
  </si>
  <si>
    <t xml:space="preserve">Harag </t>
  </si>
  <si>
    <t>Up Harga</t>
  </si>
  <si>
    <t>BB.MKN</t>
  </si>
  <si>
    <t>MKN.30127</t>
  </si>
  <si>
    <t>MKN.30101</t>
  </si>
  <si>
    <t>Ayam Filet</t>
  </si>
  <si>
    <t>MKN.30116</t>
  </si>
  <si>
    <t>Ice Cream Goreng Coklat</t>
  </si>
  <si>
    <t>MKN.30117</t>
  </si>
  <si>
    <t>Ice Cream Goreng Strawberry</t>
  </si>
  <si>
    <t>MKN.30118</t>
  </si>
  <si>
    <t>Ice Cream Goreng Vanilla</t>
  </si>
  <si>
    <t>BB.MNM</t>
  </si>
  <si>
    <t>MIE.002 NEW</t>
  </si>
  <si>
    <t>MIE AYAM JAMUR</t>
  </si>
  <si>
    <t>MKN.30106</t>
  </si>
  <si>
    <t>TOPING AYAM JAMUR</t>
  </si>
  <si>
    <t>MKN.30134</t>
  </si>
  <si>
    <t>S. Asam Manis</t>
  </si>
  <si>
    <t>MKN.30143</t>
  </si>
  <si>
    <t>S. Vietnam</t>
  </si>
  <si>
    <t>MKN.30135</t>
  </si>
  <si>
    <t>S. Ayam Pedas</t>
  </si>
  <si>
    <t>MKN.30138</t>
  </si>
  <si>
    <t>S. Ladah Hitam</t>
  </si>
  <si>
    <t>MKN.30142</t>
  </si>
  <si>
    <t>S. Teriyaki</t>
  </si>
  <si>
    <t>MKN.30136</t>
  </si>
  <si>
    <t>S. Daging Pedas</t>
  </si>
  <si>
    <t>MKN.30137</t>
  </si>
  <si>
    <t>S. Jawa</t>
  </si>
  <si>
    <t>MKN.30139</t>
  </si>
  <si>
    <t>S. Madu</t>
  </si>
  <si>
    <t>MKN.30103</t>
  </si>
  <si>
    <t>Ayam Rice Bowl</t>
  </si>
  <si>
    <t>Toping Ayam Jamur</t>
  </si>
  <si>
    <t>Toping Ayam Kecap</t>
  </si>
  <si>
    <t>MKN.30109</t>
  </si>
  <si>
    <t>Tidak</t>
  </si>
  <si>
    <t>MKN.30110</t>
  </si>
  <si>
    <t>Bombay</t>
  </si>
  <si>
    <t>MKN.30111</t>
  </si>
  <si>
    <t>Daging Lowfat</t>
  </si>
  <si>
    <t>MKN.30122</t>
  </si>
  <si>
    <t>MIE.003 NEW</t>
  </si>
  <si>
    <t>MIE AYAM KATSU</t>
  </si>
  <si>
    <t>MKN.30149</t>
  </si>
  <si>
    <t>Telur</t>
  </si>
  <si>
    <t>MKN.30150</t>
  </si>
  <si>
    <t>Timun</t>
  </si>
  <si>
    <t>MKN.30151</t>
  </si>
  <si>
    <t>MKN.30157</t>
  </si>
  <si>
    <t>Mix vegetable</t>
  </si>
  <si>
    <t>MKN.30102</t>
  </si>
  <si>
    <t>Ayam Gulung</t>
  </si>
  <si>
    <t>MKN.30104</t>
  </si>
  <si>
    <t>Bakso Ayam</t>
  </si>
  <si>
    <t>MKN.30119</t>
  </si>
  <si>
    <t>Ikan Olahan Bentuk Tahu @500 Gram</t>
  </si>
  <si>
    <t>MKN.30125</t>
  </si>
  <si>
    <t>Lumpia Kulit Tahu</t>
  </si>
  <si>
    <t>MKN.30131</t>
  </si>
  <si>
    <t>Otak-Otak</t>
  </si>
  <si>
    <t>MKN.30145</t>
  </si>
  <si>
    <t>Scallop Premium @500gram</t>
  </si>
  <si>
    <t>MKN.30146</t>
  </si>
  <si>
    <t>MKN.30147</t>
  </si>
  <si>
    <t>MKN.30156</t>
  </si>
  <si>
    <t>Bakso Ikan Bintang Besar @500 Gr</t>
  </si>
  <si>
    <t>MKN.30158</t>
  </si>
  <si>
    <t>Tempura Burger</t>
  </si>
  <si>
    <t>MIE.004 NEW</t>
  </si>
  <si>
    <t>MIE SAPI MONSTERS</t>
  </si>
  <si>
    <t>MIE.005 NEW</t>
  </si>
  <si>
    <t>MIE POLOS</t>
  </si>
  <si>
    <t>MIE.006 NEW</t>
  </si>
  <si>
    <t>MIE KUAH MONSTERS</t>
  </si>
  <si>
    <t>MIE GORENG</t>
  </si>
  <si>
    <t>MIE.007 NEW</t>
  </si>
  <si>
    <t>MIE GORENG (AYAM)</t>
  </si>
  <si>
    <t>MIE.008 NEW</t>
  </si>
  <si>
    <t>MIE GORENG (JAMUR)</t>
  </si>
  <si>
    <t>MIE.009 NEW</t>
  </si>
  <si>
    <t>MIE GORENG (KATSU)</t>
  </si>
  <si>
    <t>MIE.010 NEW</t>
  </si>
  <si>
    <t>MIE GORENG (SAPI)</t>
  </si>
  <si>
    <t>MIE.011 NEW</t>
  </si>
  <si>
    <t>MIE GORENG (POLOS)</t>
  </si>
  <si>
    <t>MIE.012 NEW</t>
  </si>
  <si>
    <t>MIE GORENG ( HOT)</t>
  </si>
  <si>
    <t>MIE.016 NEW</t>
  </si>
  <si>
    <t>FREE ICE CAMPUR 1 P</t>
  </si>
  <si>
    <t>Kacang Teriyaki</t>
  </si>
  <si>
    <t>RICE BOWL BEEF</t>
  </si>
  <si>
    <t>REB.001 NEW</t>
  </si>
  <si>
    <t>SPECIAL MONSTER BEEF</t>
  </si>
  <si>
    <t>Beras</t>
  </si>
  <si>
    <t>REB.002 NEW</t>
  </si>
  <si>
    <t>SMOKED PAPPER BEEF</t>
  </si>
  <si>
    <t>REB.003 NEW</t>
  </si>
  <si>
    <t>HONEY SAUCE BEEF</t>
  </si>
  <si>
    <t>REB.012 NEW</t>
  </si>
  <si>
    <t>HOT MONSTERS BEEF</t>
  </si>
  <si>
    <t>Lada Putih</t>
  </si>
  <si>
    <t>RICE BOWL CHIKEN</t>
  </si>
  <si>
    <t>REB.004 NEW</t>
  </si>
  <si>
    <t>CHICKEN TERIYAKI</t>
  </si>
  <si>
    <t>Gula Cair</t>
  </si>
  <si>
    <t>REB.005 NEW</t>
  </si>
  <si>
    <t>CHICKEN SWEET SOUR</t>
  </si>
  <si>
    <t>REB.006 NEW</t>
  </si>
  <si>
    <t>CHIKEN JAVA HONEY SPC</t>
  </si>
  <si>
    <t>REB.008 NEW</t>
  </si>
  <si>
    <t>CHIKEN KATSU</t>
  </si>
  <si>
    <t>REB.021 NEW</t>
  </si>
  <si>
    <t>CHIKEN STEAK</t>
  </si>
  <si>
    <t>REB.011 NEW</t>
  </si>
  <si>
    <t>CHICKEN HOT MONSTERS</t>
  </si>
  <si>
    <t>TAMBAHAN</t>
  </si>
  <si>
    <t>REB.009 NEW</t>
  </si>
  <si>
    <t>TAMBAH NASIH PUTIH</t>
  </si>
  <si>
    <t>REB.010 NEW</t>
  </si>
  <si>
    <t>TAMBAH TELUR</t>
  </si>
  <si>
    <t>REB.020 NEW</t>
  </si>
  <si>
    <t>AYAM KATSU</t>
  </si>
  <si>
    <t>REB.016 NEW</t>
  </si>
  <si>
    <t>DST.001 NEW</t>
  </si>
  <si>
    <t>SAUSAGE</t>
  </si>
  <si>
    <t>KENTANG</t>
  </si>
  <si>
    <t>DST.002 NEW</t>
  </si>
  <si>
    <t>FRENCH FRIES</t>
  </si>
  <si>
    <t>DST.003 NEW</t>
  </si>
  <si>
    <t>FRENCH FRIES CHEESE</t>
  </si>
  <si>
    <t>DST.004 NEW</t>
  </si>
  <si>
    <t>FRENCH FRIES BBQ</t>
  </si>
  <si>
    <t>DST.005 NEW</t>
  </si>
  <si>
    <t>SIOMAY AYAM</t>
  </si>
  <si>
    <t>SOMAY AYAM</t>
  </si>
  <si>
    <t>DST.006 NEW</t>
  </si>
  <si>
    <t>SIOMAY AYAM KEJU</t>
  </si>
  <si>
    <t>SOMAY KEJU</t>
  </si>
  <si>
    <t>Tulang Ayam</t>
  </si>
  <si>
    <t>DST.007 NEW</t>
  </si>
  <si>
    <t>LUMPIAH KULIT TAHU</t>
  </si>
  <si>
    <t>LUMPIA KULIT TAHU</t>
  </si>
  <si>
    <t>DST.008 NEW</t>
  </si>
  <si>
    <t>FRECH FRIES SEWEED</t>
  </si>
  <si>
    <t>DST.009 NEW</t>
  </si>
  <si>
    <t>ICE CREAM GORENG COKLAT</t>
  </si>
  <si>
    <t>DST.010 NEW</t>
  </si>
  <si>
    <t>ICE CREAM GORENG STRABERY</t>
  </si>
  <si>
    <t>Putih Telur</t>
  </si>
  <si>
    <t>DST.011 NEW</t>
  </si>
  <si>
    <t>ICE CREAM GORENG VANILY</t>
  </si>
  <si>
    <t>DST.013 NEW</t>
  </si>
  <si>
    <t>FREE ICE CREAM GORENG VANILLA</t>
  </si>
  <si>
    <t>DST.014 NEW</t>
  </si>
  <si>
    <t>FREE ICE CREAM GORENG STRAWBERRY</t>
  </si>
  <si>
    <t>Tepung Cakra Kembar</t>
  </si>
  <si>
    <t>DST.12 NEW</t>
  </si>
  <si>
    <t>FREE ICE CREAM GORENG COKLAT</t>
  </si>
  <si>
    <t>GRN.007 NEW</t>
  </si>
  <si>
    <t>AYAM GULUNG*  3 Pcs</t>
  </si>
  <si>
    <t>GRN.008 NEW</t>
  </si>
  <si>
    <t>BAKSO ISI AYAM* 3 Pcs</t>
  </si>
  <si>
    <t>BAKSO AYAM</t>
  </si>
  <si>
    <t>GRN.009 NEW</t>
  </si>
  <si>
    <t>SCALLOP* 3 Pcs</t>
  </si>
  <si>
    <t>SCALLOP PREMIUM @500GRAM</t>
  </si>
  <si>
    <t>GRN.010 NEW</t>
  </si>
  <si>
    <t>OTAK-OTAK* 3 Pcs</t>
  </si>
  <si>
    <t>GRN.011 NEW</t>
  </si>
  <si>
    <t>TOFU* 3 Pcs</t>
  </si>
  <si>
    <t>IKAN OLAHAN BENTUK TAHU @500 GRAM</t>
  </si>
  <si>
    <t>GRN.012 NEW</t>
  </si>
  <si>
    <t>IKAN OLAHAN BINTANG* 3 Pcs</t>
  </si>
  <si>
    <t>Bakso Ikan Bintang Besar @500 gr</t>
  </si>
  <si>
    <t>GRN.013 NEW</t>
  </si>
  <si>
    <t>AYAM GULUNG*  6 Pcs</t>
  </si>
  <si>
    <t>GRN.014 NEW</t>
  </si>
  <si>
    <t>BAKSO ISI AYAM* 6 Pcs</t>
  </si>
  <si>
    <t>GRN.015 NEW</t>
  </si>
  <si>
    <t>SCALLOP* 6 Pcs</t>
  </si>
  <si>
    <t>GRN.016 NEW</t>
  </si>
  <si>
    <t>OTAK-OTAK* 6 Pcs</t>
  </si>
  <si>
    <t>GRN.018 NEW</t>
  </si>
  <si>
    <t>IKAN OLAHAN BINTANG* 6 Pcs</t>
  </si>
  <si>
    <t>GRN.019 NEW</t>
  </si>
  <si>
    <t>TOFU* 6 Pcs</t>
  </si>
  <si>
    <t>GRN.021 NEW</t>
  </si>
  <si>
    <t>TEMPURA COINS 3PCS</t>
  </si>
  <si>
    <t>GRN.022 NEW</t>
  </si>
  <si>
    <t>TEMPURA COINS 6PCS</t>
  </si>
  <si>
    <t>GRN.017 NEW</t>
  </si>
  <si>
    <t>Gorengan Mix</t>
  </si>
  <si>
    <t>GRN.020 NEW</t>
  </si>
  <si>
    <t>Gorengan Mix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</si>
</sst>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p&quot; #,##0"/>
    <numFmt numFmtId="165" formatCode="0.0%"/>
    <numFmt numFmtId="166" formatCode="[$Rp]  #,##"/>
    <numFmt numFmtId="167" formatCode="[$Rp. ]#,##0"/>
    <numFmt numFmtId="168" formatCode="#,##0.##;-#,##0.##"/>
    <numFmt numFmtId="169" formatCode="[$Rp] #,##0"/>
    <numFmt numFmtId="170" formatCode="_(* #,##0_);_(* \(#,##0\);_(* &quot;-&quot;_);_(@_)"/>
    <numFmt numFmtId="171" formatCode="_(* #,##0.00_);_(* \(#,##0.00\);_(* &quot;-&quot;??_);_(@_)"/>
    <numFmt numFmtId="172" formatCode="_(* #,##0_);_(* \(#,##0\);_(* &quot;-&quot;??_);_(@_)"/>
  </numFmts>
  <fonts count="51">
    <font>
      <sz val="10.0"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9.0"/>
      <color theme="1"/>
      <name val="Arial"/>
    </font>
    <font>
      <b/>
      <sz val="20.0"/>
      <color theme="1"/>
      <name val="Arial"/>
    </font>
    <font>
      <b/>
      <sz val="11.0"/>
      <color theme="1"/>
      <name val="Arial"/>
    </font>
    <font>
      <b/>
      <sz val="36.0"/>
      <color rgb="FF000000"/>
      <name val="Calibri"/>
    </font>
    <font>
      <b/>
      <sz val="14.0"/>
      <color rgb="FFFFFFFF"/>
      <name val="Calibri"/>
    </font>
    <font>
      <sz val="14.0"/>
      <color rgb="FFFFFFFF"/>
      <name val="Calibri"/>
    </font>
    <font>
      <b/>
      <sz val="14.0"/>
      <color theme="1"/>
      <name val="Calibri"/>
    </font>
    <font>
      <b/>
      <sz val="11.0"/>
      <color rgb="FFFFFFFF"/>
      <name val="Arial"/>
    </font>
    <font>
      <color rgb="FFFFFFFF"/>
      <name val="Arial"/>
    </font>
    <font>
      <b/>
      <sz val="14.0"/>
      <color rgb="FFFFFFFF"/>
      <name val="Arial"/>
      <scheme val="minor"/>
    </font>
    <font/>
    <font>
      <sz val="14.0"/>
      <color theme="1"/>
      <name val="Calibri"/>
    </font>
    <font>
      <b/>
      <sz val="11.0"/>
      <color rgb="FFFFFFFF"/>
      <name val="Google Sans Mono"/>
    </font>
    <font>
      <b/>
      <sz val="12.0"/>
      <color rgb="FFFFFFFF"/>
      <name val="Arial"/>
    </font>
    <font>
      <b/>
      <color theme="1"/>
      <name val="Arial"/>
      <scheme val="minor"/>
    </font>
    <font>
      <sz val="14.0"/>
      <color rgb="FF000000"/>
      <name val="Calibri"/>
    </font>
    <font>
      <b/>
      <sz val="9.0"/>
      <color rgb="FF003366"/>
      <name val="Arial"/>
    </font>
    <font>
      <b/>
      <sz val="9.0"/>
      <color theme="1"/>
      <name val="Arial"/>
    </font>
    <font>
      <b/>
      <sz val="16.0"/>
      <color rgb="FFFFFFFF"/>
      <name val="Calibri"/>
    </font>
    <font>
      <b/>
      <sz val="11.0"/>
      <color theme="1"/>
      <name val="Calibri"/>
    </font>
    <font>
      <color theme="1"/>
      <name val="Google Sans Mono"/>
    </font>
    <font>
      <color theme="1"/>
      <name val="&quot;Google Sans Mono&quot;"/>
    </font>
    <font>
      <b/>
      <sz val="11.0"/>
      <color theme="1"/>
      <name val="Arial"/>
      <scheme val="minor"/>
    </font>
    <font>
      <sz val="12.0"/>
      <color rgb="FFFFFFFF"/>
      <name val="Calibri"/>
    </font>
    <font>
      <b/>
      <sz val="12.0"/>
      <color rgb="FFFFFFFF"/>
      <name val="Calibri"/>
    </font>
    <font>
      <b/>
      <sz val="12.0"/>
      <color rgb="FFFFFFFF"/>
      <name val="&quot;Google Sans Mono&quot;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  <font>
      <color theme="1"/>
      <name val="Book Antiqua"/>
    </font>
    <font>
      <b/>
      <color theme="1"/>
      <name val="Book Antiqua"/>
    </font>
    <font>
      <color rgb="FFFF0000"/>
      <name val="Book Antiqua"/>
    </font>
    <font>
      <b/>
      <sz val="35.0"/>
      <color rgb="FFFFFFFF"/>
      <name val="Calibri"/>
    </font>
    <font>
      <b/>
      <sz val="11.0"/>
      <color rgb="FF000000"/>
      <name val="Calibri"/>
    </font>
    <font>
      <sz val="8.0"/>
      <color theme="1"/>
      <name val="Courier"/>
    </font>
    <font>
      <sz val="11.0"/>
      <color theme="1"/>
      <name val="Arial"/>
    </font>
    <font>
      <sz val="11.0"/>
      <color rgb="FF000000"/>
      <name val="Calibri"/>
    </font>
    <font>
      <color rgb="FF000000"/>
      <name val="&quot;Google Sans Mono&quot;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&quot;Google Sans Mono&quot;"/>
    </font>
    <font>
      <b/>
      <sz val="11.0"/>
      <color rgb="FFFFFFFF"/>
      <name val="Calibri"/>
    </font>
    <font>
      <color rgb="FFFFFFFF"/>
      <name val="&quot;Google Sans Mono&quot;"/>
    </font>
    <font>
      <b/>
      <color rgb="FFFFFFFF"/>
      <name val="Arial"/>
      <scheme val="minor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</fills>
  <borders count="7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 style="medium">
        <color rgb="FF666666"/>
      </top>
      <bottom/>
    </border>
    <border>
      <top style="medium">
        <color rgb="FF666666"/>
      </top>
      <bottom/>
    </border>
    <border>
      <right/>
      <top style="medium">
        <color rgb="FF666666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shrinkToFit="0" vertical="top" wrapText="1"/>
    </xf>
    <xf borderId="1" fillId="3" fontId="5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bottom"/>
    </xf>
    <xf borderId="0" fillId="0" fontId="3" numFmtId="166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4" fontId="9" numFmtId="0" xfId="0" applyAlignment="1" applyFill="1" applyFont="1">
      <alignment horizontal="center" readingOrder="0" vertical="center"/>
    </xf>
    <xf borderId="0" fillId="0" fontId="3" numFmtId="9" xfId="0" applyAlignment="1" applyFont="1" applyNumberFormat="1">
      <alignment horizontal="center" vertical="center"/>
    </xf>
    <xf borderId="0" fillId="0" fontId="3" numFmtId="165" xfId="0" applyAlignment="1" applyFont="1" applyNumberFormat="1">
      <alignment vertical="center"/>
    </xf>
    <xf borderId="0" fillId="4" fontId="10" numFmtId="0" xfId="0" applyAlignment="1" applyFill="1" applyFont="1">
      <alignment vertical="bottom"/>
    </xf>
    <xf borderId="0" fillId="0" fontId="4" numFmtId="166" xfId="0" applyFont="1" applyNumberFormat="1"/>
    <xf borderId="0" fillId="4" fontId="11" numFmtId="0" xfId="0" applyAlignment="1" applyFill="1" applyFont="1">
      <alignment vertical="center"/>
    </xf>
    <xf borderId="0" fillId="4" fontId="12" numFmtId="0" xfId="0" applyAlignment="1" applyFill="1" applyFont="1">
      <alignment readingOrder="0" vertical="bottom"/>
    </xf>
    <xf borderId="0" fillId="0" fontId="12" numFmtId="166" xfId="0" applyAlignment="1" applyFont="1" applyNumberFormat="1">
      <alignment horizontal="center" readingOrder="0" vertical="bottom"/>
    </xf>
    <xf borderId="2" fillId="5" fontId="13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bottom"/>
    </xf>
    <xf borderId="1" fillId="5" fontId="14" numFmtId="0" xfId="0" applyAlignment="1" applyBorder="1" applyFill="1" applyFont="1">
      <alignment vertical="bottom"/>
    </xf>
    <xf borderId="0" fillId="4" fontId="10" numFmtId="0" xfId="0" applyAlignment="1" applyFill="1" applyFont="1">
      <alignment horizontal="center" readingOrder="0" vertical="bottom"/>
    </xf>
    <xf borderId="3" fillId="5" fontId="13" numFmtId="166" xfId="0" applyAlignment="1" applyBorder="1" applyFill="1" applyFont="1" applyNumberFormat="1">
      <alignment horizontal="center" vertical="center"/>
    </xf>
    <xf borderId="0" fillId="4" fontId="15" numFmtId="167" xfId="0" applyAlignment="1" applyFill="1" applyFont="1" applyNumberFormat="1">
      <alignment horizontal="center" readingOrder="0"/>
    </xf>
    <xf borderId="4" fillId="5" fontId="13" numFmtId="0" xfId="0" applyAlignment="1" applyBorder="1" applyFill="1" applyFont="1">
      <alignment horizontal="center" readingOrder="0" vertical="center"/>
    </xf>
    <xf borderId="0" fillId="4" fontId="15" numFmtId="166" xfId="0" applyAlignment="1" applyFill="1" applyFont="1" applyNumberFormat="1">
      <alignment readingOrder="0"/>
    </xf>
    <xf borderId="5" fillId="0" fontId="16" numFmtId="0" xfId="0" applyBorder="1" applyFont="1"/>
    <xf borderId="0" fillId="4" fontId="15" numFmtId="0" xfId="0" applyAlignment="1" applyFill="1" applyFont="1">
      <alignment horizontal="center" readingOrder="0" vertical="center"/>
    </xf>
    <xf borderId="3" fillId="5" fontId="13" numFmtId="0" xfId="0" applyAlignment="1" applyBorder="1" applyFill="1" applyFont="1">
      <alignment horizontal="center" readingOrder="0" vertical="center"/>
    </xf>
    <xf borderId="0" fillId="4" fontId="15" numFmtId="9" xfId="0" applyAlignment="1" applyFill="1" applyFont="1" applyNumberFormat="1">
      <alignment horizontal="center" readingOrder="0" vertical="center"/>
    </xf>
    <xf borderId="1" fillId="5" fontId="14" numFmtId="164" xfId="0" applyAlignment="1" applyBorder="1" applyFill="1" applyFont="1" applyNumberFormat="1">
      <alignment horizontal="right" vertical="bottom"/>
    </xf>
    <xf borderId="3" fillId="5" fontId="13" numFmtId="0" xfId="0" applyAlignment="1" applyBorder="1" applyFill="1" applyFont="1">
      <alignment horizontal="center"/>
    </xf>
    <xf borderId="0" fillId="4" fontId="15" numFmtId="167" xfId="0" applyAlignment="1" applyFill="1" applyFont="1" applyNumberFormat="1">
      <alignment readingOrder="0"/>
    </xf>
    <xf borderId="0" fillId="4" fontId="15" numFmtId="9" xfId="0" applyAlignment="1" applyFill="1" applyFont="1" applyNumberFormat="1">
      <alignment horizontal="center" readingOrder="0"/>
    </xf>
    <xf borderId="3" fillId="5" fontId="13" numFmtId="3" xfId="0" applyAlignment="1" applyBorder="1" applyFill="1" applyFont="1" applyNumberFormat="1">
      <alignment horizontal="center"/>
    </xf>
    <xf borderId="0" fillId="0" fontId="10" numFmtId="0" xfId="0" applyAlignment="1" applyFont="1">
      <alignment vertical="bottom"/>
    </xf>
    <xf borderId="0" fillId="0" fontId="17" numFmtId="0" xfId="0" applyAlignment="1" applyFont="1">
      <alignment readingOrder="0" vertical="center"/>
    </xf>
    <xf borderId="3" fillId="5" fontId="13" numFmtId="0" xfId="0" applyAlignment="1" applyBorder="1" applyFill="1" applyFont="1">
      <alignment horizontal="center" vertical="center"/>
    </xf>
    <xf borderId="0" fillId="0" fontId="12" numFmtId="0" xfId="0" applyAlignment="1" applyFont="1">
      <alignment readingOrder="0" vertical="bottom"/>
    </xf>
    <xf borderId="6" fillId="5" fontId="13" numFmtId="0" xfId="0" applyAlignment="1" applyBorder="1" applyFill="1" applyFont="1">
      <alignment horizontal="center"/>
    </xf>
    <xf borderId="0" fillId="0" fontId="12" numFmtId="166" xfId="0" applyAlignment="1" applyFont="1" applyNumberFormat="1">
      <alignment horizontal="center" vertical="bottom"/>
    </xf>
    <xf borderId="7" fillId="0" fontId="16" numFmtId="0" xfId="0" applyBorder="1" applyFont="1"/>
    <xf borderId="8" fillId="0" fontId="16" numFmtId="0" xfId="0" applyBorder="1" applyFont="1"/>
    <xf borderId="3" fillId="5" fontId="18" numFmtId="166" xfId="0" applyAlignment="1" applyBorder="1" applyFill="1" applyFont="1" applyNumberFormat="1">
      <alignment horizontal="center"/>
    </xf>
    <xf borderId="0" fillId="0" fontId="10" numFmtId="0" xfId="0" applyAlignment="1" applyFont="1">
      <alignment horizontal="center" readingOrder="0" vertical="bottom"/>
    </xf>
    <xf borderId="4" fillId="5" fontId="13" numFmtId="166" xfId="0" applyAlignment="1" applyBorder="1" applyFill="1" applyFont="1" applyNumberFormat="1">
      <alignment horizontal="center" vertical="center"/>
    </xf>
    <xf borderId="9" fillId="5" fontId="19" numFmtId="0" xfId="0" applyAlignment="1" applyBorder="1" applyFill="1" applyFont="1">
      <alignment horizontal="center" vertical="center"/>
    </xf>
    <xf borderId="0" fillId="0" fontId="20" numFmtId="0" xfId="0" applyFont="1"/>
    <xf borderId="6" fillId="5" fontId="19" numFmtId="0" xfId="0" applyAlignment="1" applyBorder="1" applyFill="1" applyFont="1">
      <alignment horizontal="center" vertical="center"/>
    </xf>
    <xf borderId="0" fillId="0" fontId="21" numFmtId="0" xfId="0" applyAlignment="1" applyFont="1">
      <alignment readingOrder="0" vertical="center"/>
    </xf>
    <xf borderId="10" fillId="0" fontId="16" numFmtId="0" xfId="0" applyBorder="1" applyFont="1"/>
    <xf borderId="11" fillId="5" fontId="13" numFmtId="166" xfId="0" applyAlignment="1" applyBorder="1" applyFill="1" applyFont="1" applyNumberFormat="1">
      <alignment horizontal="center" readingOrder="0" vertical="center"/>
    </xf>
    <xf borderId="12" fillId="0" fontId="16" numFmtId="0" xfId="0" applyBorder="1" applyFont="1"/>
    <xf borderId="13" fillId="0" fontId="16" numFmtId="0" xfId="0" applyBorder="1" applyFont="1"/>
    <xf borderId="0" fillId="0" fontId="11" numFmtId="0" xfId="0" applyAlignment="1" applyFont="1">
      <alignment vertical="center"/>
    </xf>
    <xf borderId="1" fillId="5" fontId="13" numFmtId="0" xfId="0" applyAlignment="1" applyBorder="1" applyFill="1" applyFont="1">
      <alignment horizontal="center"/>
    </xf>
    <xf borderId="1" fillId="5" fontId="13" numFmtId="0" xfId="0" applyAlignment="1" applyBorder="1" applyFill="1" applyFont="1">
      <alignment horizontal="center" readingOrder="0"/>
    </xf>
    <xf borderId="1" fillId="0" fontId="3" numFmtId="164" xfId="0" applyAlignment="1" applyBorder="1" applyFont="1" applyNumberFormat="1">
      <alignment vertical="bottom"/>
    </xf>
    <xf borderId="14" fillId="5" fontId="10" numFmtId="0" xfId="0" applyAlignment="1" applyBorder="1" applyFill="1" applyFont="1">
      <alignment vertical="bottom"/>
    </xf>
    <xf borderId="1" fillId="5" fontId="13" numFmtId="166" xfId="0" applyAlignment="1" applyBorder="1" applyFill="1" applyFont="1" applyNumberFormat="1">
      <alignment readingOrder="0"/>
    </xf>
    <xf borderId="15" fillId="5" fontId="11" numFmtId="0" xfId="0" applyAlignment="1" applyBorder="1" applyFill="1" applyFont="1">
      <alignment horizontal="center" readingOrder="0" vertical="center"/>
    </xf>
    <xf borderId="16" fillId="0" fontId="16" numFmtId="0" xfId="0" applyBorder="1" applyFont="1"/>
    <xf borderId="17" fillId="0" fontId="16" numFmtId="0" xfId="0" applyBorder="1" applyFont="1"/>
    <xf borderId="18" fillId="0" fontId="16" numFmtId="0" xfId="0" applyBorder="1" applyFont="1"/>
    <xf borderId="19" fillId="5" fontId="13" numFmtId="0" xfId="0" applyAlignment="1" applyBorder="1" applyFill="1" applyFont="1">
      <alignment horizontal="center" vertical="center"/>
    </xf>
    <xf borderId="1" fillId="5" fontId="13" numFmtId="0" xfId="0" applyAlignment="1" applyBorder="1" applyFill="1" applyFont="1">
      <alignment horizontal="center" vertical="center"/>
    </xf>
    <xf borderId="20" fillId="5" fontId="13" numFmtId="165" xfId="0" applyAlignment="1" applyBorder="1" applyFill="1" applyFont="1" applyNumberFormat="1">
      <alignment horizontal="center" vertical="center"/>
    </xf>
    <xf borderId="21" fillId="0" fontId="16" numFmtId="0" xfId="0" applyBorder="1" applyFont="1"/>
    <xf borderId="22" fillId="0" fontId="3" numFmtId="0" xfId="0" applyAlignment="1" applyBorder="1" applyFont="1">
      <alignment horizontal="center" vertical="center"/>
    </xf>
    <xf borderId="23" fillId="0" fontId="3" numFmtId="166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vertical="center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24" fillId="0" fontId="22" numFmtId="0" xfId="0" applyAlignment="1" applyBorder="1" applyFont="1">
      <alignment shrinkToFit="0" vertical="top" wrapText="1"/>
    </xf>
    <xf borderId="24" fillId="0" fontId="22" numFmtId="0" xfId="0" applyAlignment="1" applyBorder="1" applyFont="1">
      <alignment horizontal="right" shrinkToFit="0" vertical="top" wrapText="1"/>
    </xf>
    <xf borderId="1" fillId="0" fontId="3" numFmtId="166" xfId="0" applyAlignment="1" applyBorder="1" applyFont="1" applyNumberFormat="1">
      <alignment vertical="bottom"/>
    </xf>
    <xf borderId="24" fillId="0" fontId="22" numFmtId="4" xfId="0" applyAlignment="1" applyBorder="1" applyFont="1" applyNumberFormat="1">
      <alignment horizontal="right" shrinkToFit="0" vertical="top" wrapText="1"/>
    </xf>
    <xf borderId="24" fillId="0" fontId="22" numFmtId="0" xfId="0" applyAlignment="1" applyBorder="1" applyFont="1">
      <alignment horizontal="right" shrinkToFit="0" vertical="top" wrapText="1"/>
    </xf>
    <xf borderId="24" fillId="0" fontId="16" numFmtId="0" xfId="0" applyBorder="1" applyFont="1"/>
    <xf borderId="0" fillId="0" fontId="23" numFmtId="0" xfId="0" applyAlignment="1" applyFont="1">
      <alignment shrinkToFit="0" vertical="top" wrapText="1"/>
    </xf>
    <xf borderId="0" fillId="0" fontId="2" numFmtId="168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5" fillId="5" fontId="10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shrinkToFit="0" vertical="top" wrapText="1"/>
    </xf>
    <xf borderId="0" fillId="0" fontId="6" numFmtId="168" xfId="0" applyAlignment="1" applyFont="1" applyNumberFormat="1">
      <alignment horizontal="right" shrinkToFit="0" vertical="top" wrapText="1"/>
    </xf>
    <xf borderId="0" fillId="0" fontId="6" numFmtId="0" xfId="0" applyAlignment="1" applyFont="1">
      <alignment readingOrder="0" shrinkToFit="0" vertical="top" wrapText="1"/>
    </xf>
    <xf borderId="15" fillId="5" fontId="15" numFmtId="167" xfId="0" applyAlignment="1" applyBorder="1" applyFill="1" applyFont="1" applyNumberFormat="1">
      <alignment horizontal="center" readingOrder="0"/>
    </xf>
    <xf borderId="25" fillId="0" fontId="16" numFmtId="0" xfId="0" applyBorder="1" applyFont="1"/>
    <xf borderId="26" fillId="0" fontId="16" numFmtId="0" xfId="0" applyBorder="1" applyFont="1"/>
    <xf borderId="27" fillId="5" fontId="11" numFmtId="0" xfId="0" applyAlignment="1" applyBorder="1" applyFill="1" applyFont="1">
      <alignment vertical="center"/>
    </xf>
    <xf borderId="27" fillId="5" fontId="10" numFmtId="0" xfId="0" applyAlignment="1" applyBorder="1" applyFill="1" applyFont="1">
      <alignment horizontal="center" vertical="bottom"/>
    </xf>
    <xf borderId="27" fillId="5" fontId="10" numFmtId="166" xfId="0" applyAlignment="1" applyBorder="1" applyFill="1" applyFont="1" applyNumberFormat="1">
      <alignment horizontal="center" vertical="bottom"/>
    </xf>
    <xf borderId="27" fillId="5" fontId="10" numFmtId="0" xfId="0" applyAlignment="1" applyBorder="1" applyFill="1" applyFont="1">
      <alignment horizontal="center" readingOrder="0" vertical="bottom"/>
    </xf>
    <xf borderId="27" fillId="5" fontId="15" numFmtId="167" xfId="0" applyAlignment="1" applyBorder="1" applyFill="1" applyFont="1" applyNumberFormat="1">
      <alignment horizontal="center" readingOrder="0"/>
    </xf>
    <xf borderId="0" fillId="0" fontId="6" numFmtId="0" xfId="0" applyAlignment="1" applyFont="1">
      <alignment shrinkToFit="0" vertical="top" wrapText="1"/>
    </xf>
    <xf borderId="27" fillId="5" fontId="15" numFmtId="166" xfId="0" applyAlignment="1" applyBorder="1" applyFill="1" applyFont="1" applyNumberFormat="1">
      <alignment horizontal="center" readingOrder="0"/>
    </xf>
    <xf borderId="27" fillId="5" fontId="15" numFmtId="9" xfId="0" applyAlignment="1" applyBorder="1" applyFill="1" applyFont="1" applyNumberFormat="1">
      <alignment horizontal="center" readingOrder="0" vertical="center"/>
    </xf>
    <xf borderId="27" fillId="5" fontId="15" numFmtId="0" xfId="0" applyAlignment="1" applyBorder="1" applyFill="1" applyFont="1">
      <alignment horizontal="center" readingOrder="0" vertical="center"/>
    </xf>
    <xf borderId="28" fillId="5" fontId="15" numFmtId="0" xfId="0" applyAlignment="1" applyBorder="1" applyFill="1" applyFont="1">
      <alignment horizontal="center" readingOrder="0"/>
    </xf>
    <xf borderId="28" fillId="5" fontId="15" numFmtId="0" xfId="0" applyAlignment="1" applyBorder="1" applyFill="1" applyFont="1">
      <alignment horizontal="center" readingOrder="0" vertical="center"/>
    </xf>
    <xf borderId="29" fillId="5" fontId="24" numFmtId="0" xfId="0" applyAlignment="1" applyBorder="1" applyFill="1" applyFont="1">
      <alignment horizontal="center" readingOrder="0" textRotation="90" vertical="center"/>
    </xf>
    <xf borderId="24" fillId="0" fontId="2" numFmtId="0" xfId="0" applyAlignment="1" applyBorder="1" applyFont="1">
      <alignment vertical="center"/>
    </xf>
    <xf borderId="2" fillId="0" fontId="25" numFmtId="0" xfId="0" applyAlignment="1" applyBorder="1" applyFont="1">
      <alignment vertical="center"/>
    </xf>
    <xf borderId="1" fillId="0" fontId="26" numFmtId="166" xfId="0" applyAlignment="1" applyBorder="1" applyFont="1" applyNumberFormat="1">
      <alignment horizontal="right" vertical="bottom"/>
    </xf>
    <xf borderId="30" fillId="0" fontId="3" numFmtId="166" xfId="0" applyAlignment="1" applyBorder="1" applyFont="1" applyNumberFormat="1">
      <alignment horizontal="center" vertical="center"/>
    </xf>
    <xf borderId="3" fillId="0" fontId="25" numFmtId="166" xfId="0" applyAlignment="1" applyBorder="1" applyFont="1" applyNumberFormat="1">
      <alignment horizontal="center" vertical="center"/>
    </xf>
    <xf borderId="31" fillId="0" fontId="2" numFmtId="0" xfId="0" applyAlignment="1" applyBorder="1" applyFont="1">
      <alignment vertical="bottom"/>
    </xf>
    <xf borderId="22" fillId="0" fontId="3" numFmtId="164" xfId="0" applyAlignment="1" applyBorder="1" applyFont="1" applyNumberFormat="1">
      <alignment horizontal="center" vertical="center"/>
    </xf>
    <xf borderId="31" fillId="0" fontId="2" numFmtId="0" xfId="0" applyAlignment="1" applyBorder="1" applyFont="1">
      <alignment horizontal="center" readingOrder="0" vertical="bottom"/>
    </xf>
    <xf borderId="23" fillId="0" fontId="3" numFmtId="165" xfId="0" applyAlignment="1" applyBorder="1" applyFont="1" applyNumberFormat="1">
      <alignment horizontal="center" vertical="center"/>
    </xf>
    <xf borderId="31" fillId="0" fontId="27" numFmtId="167" xfId="0" applyAlignment="1" applyBorder="1" applyFont="1" applyNumberFormat="1">
      <alignment horizontal="center"/>
    </xf>
    <xf borderId="23" fillId="0" fontId="3" numFmtId="164" xfId="0" applyAlignment="1" applyBorder="1" applyFont="1" applyNumberFormat="1">
      <alignment horizontal="center" vertical="center"/>
    </xf>
    <xf borderId="31" fillId="0" fontId="27" numFmtId="166" xfId="0" applyBorder="1" applyFont="1" applyNumberFormat="1"/>
    <xf borderId="32" fillId="0" fontId="3" numFmtId="165" xfId="0" applyAlignment="1" applyBorder="1" applyFont="1" applyNumberFormat="1">
      <alignment horizontal="center" vertical="center"/>
    </xf>
    <xf borderId="33" fillId="0" fontId="3" numFmtId="166" xfId="0" applyAlignment="1" applyBorder="1" applyFont="1" applyNumberFormat="1">
      <alignment horizontal="center" readingOrder="0" vertical="center"/>
    </xf>
    <xf borderId="34" fillId="0" fontId="16" numFmtId="0" xfId="0" applyBorder="1" applyFont="1"/>
    <xf borderId="35" fillId="0" fontId="16" numFmtId="0" xfId="0" applyBorder="1" applyFont="1"/>
    <xf borderId="3" fillId="0" fontId="20" numFmtId="9" xfId="0" applyAlignment="1" applyBorder="1" applyFont="1" applyNumberFormat="1">
      <alignment horizontal="center" vertical="center"/>
    </xf>
    <xf borderId="3" fillId="0" fontId="20" numFmtId="166" xfId="0" applyAlignment="1" applyBorder="1" applyFont="1" applyNumberFormat="1">
      <alignment horizontal="center" vertical="center"/>
    </xf>
    <xf borderId="3" fillId="0" fontId="20" numFmtId="9" xfId="0" applyAlignment="1" applyBorder="1" applyFont="1" applyNumberFormat="1">
      <alignment horizontal="center" vertical="center"/>
    </xf>
    <xf borderId="31" fillId="0" fontId="4" numFmtId="167" xfId="0" applyAlignment="1" applyBorder="1" applyFont="1" applyNumberFormat="1">
      <alignment horizontal="center"/>
    </xf>
    <xf borderId="31" fillId="0" fontId="4" numFmtId="167" xfId="0" applyBorder="1" applyFont="1" applyNumberFormat="1"/>
    <xf borderId="36" fillId="0" fontId="16" numFmtId="0" xfId="0" applyBorder="1" applyFont="1"/>
    <xf borderId="37" fillId="0" fontId="16" numFmtId="0" xfId="0" applyBorder="1" applyFont="1"/>
    <xf borderId="38" fillId="0" fontId="16" numFmtId="0" xfId="0" applyBorder="1" applyFont="1"/>
    <xf borderId="0" fillId="0" fontId="6" numFmtId="168" xfId="0" applyAlignment="1" applyFont="1" applyNumberFormat="1">
      <alignment horizontal="right" readingOrder="0" shrinkToFit="0" vertical="top" wrapText="1"/>
    </xf>
    <xf borderId="4" fillId="0" fontId="28" numFmtId="9" xfId="0" applyAlignment="1" applyBorder="1" applyFont="1" applyNumberFormat="1">
      <alignment horizontal="center" vertical="center"/>
    </xf>
    <xf borderId="3" fillId="0" fontId="20" numFmtId="169" xfId="0" applyAlignment="1" applyBorder="1" applyFont="1" applyNumberFormat="1">
      <alignment horizontal="center" vertical="center"/>
    </xf>
    <xf borderId="39" fillId="0" fontId="20" numFmtId="9" xfId="0" applyAlignment="1" applyBorder="1" applyFont="1" applyNumberFormat="1">
      <alignment horizontal="center" vertical="center"/>
    </xf>
    <xf borderId="40" fillId="0" fontId="16" numFmtId="0" xfId="0" applyBorder="1" applyFont="1"/>
    <xf borderId="41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27" numFmtId="167" xfId="0" applyAlignment="1" applyBorder="1" applyFont="1" applyNumberFormat="1">
      <alignment horizontal="center"/>
    </xf>
    <xf borderId="1" fillId="0" fontId="27" numFmtId="166" xfId="0" applyBorder="1" applyFont="1" applyNumberFormat="1"/>
    <xf borderId="1" fillId="0" fontId="1" numFmtId="167" xfId="0" applyAlignment="1" applyBorder="1" applyFont="1" applyNumberFormat="1">
      <alignment horizontal="center"/>
    </xf>
    <xf borderId="1" fillId="0" fontId="4" numFmtId="167" xfId="0" applyBorder="1" applyFont="1" applyNumberFormat="1"/>
    <xf borderId="42" fillId="0" fontId="16" numFmtId="0" xfId="0" applyBorder="1" applyFont="1"/>
    <xf borderId="0" fillId="0" fontId="4" numFmtId="10" xfId="0" applyFont="1" applyNumberFormat="1"/>
    <xf borderId="1" fillId="0" fontId="4" numFmtId="167" xfId="0" applyAlignment="1" applyBorder="1" applyFont="1" applyNumberFormat="1">
      <alignment horizontal="center"/>
    </xf>
    <xf borderId="1" fillId="6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readingOrder="0" vertical="bottom"/>
    </xf>
    <xf borderId="1" fillId="7" fontId="2" numFmtId="0" xfId="0" applyAlignment="1" applyBorder="1" applyFill="1" applyFont="1">
      <alignment horizontal="center" readingOrder="0" vertical="bottom"/>
    </xf>
    <xf borderId="1" fillId="6" fontId="27" numFmtId="167" xfId="0" applyAlignment="1" applyBorder="1" applyFill="1" applyFont="1" applyNumberFormat="1">
      <alignment horizontal="center"/>
    </xf>
    <xf borderId="1" fillId="6" fontId="27" numFmtId="166" xfId="0" applyBorder="1" applyFill="1" applyFont="1" applyNumberFormat="1"/>
    <xf borderId="1" fillId="6" fontId="1" numFmtId="167" xfId="0" applyAlignment="1" applyBorder="1" applyFill="1" applyFont="1" applyNumberFormat="1">
      <alignment horizontal="center"/>
    </xf>
    <xf borderId="1" fillId="7" fontId="4" numFmtId="167" xfId="0" applyBorder="1" applyFill="1" applyFont="1" applyNumberFormat="1"/>
    <xf borderId="1" fillId="6" fontId="4" numFmtId="167" xfId="0" applyAlignment="1" applyBorder="1" applyFill="1" applyFont="1" applyNumberFormat="1">
      <alignment horizontal="center"/>
    </xf>
    <xf borderId="43" fillId="0" fontId="16" numFmtId="0" xfId="0" applyBorder="1" applyFont="1"/>
    <xf borderId="41" fillId="5" fontId="29" numFmtId="0" xfId="0" applyAlignment="1" applyBorder="1" applyFill="1" applyFont="1">
      <alignment vertical="center"/>
    </xf>
    <xf borderId="19" fillId="5" fontId="30" numFmtId="0" xfId="0" applyAlignment="1" applyBorder="1" applyFill="1" applyFont="1">
      <alignment readingOrder="0" vertical="bottom"/>
    </xf>
    <xf borderId="1" fillId="5" fontId="30" numFmtId="166" xfId="0" applyAlignment="1" applyBorder="1" applyFill="1" applyFont="1" applyNumberFormat="1">
      <alignment horizontal="center" vertical="bottom"/>
    </xf>
    <xf borderId="1" fillId="5" fontId="30" numFmtId="0" xfId="0" applyAlignment="1" applyBorder="1" applyFill="1" applyFont="1">
      <alignment vertical="bottom"/>
    </xf>
    <xf borderId="1" fillId="5" fontId="30" numFmtId="0" xfId="0" applyAlignment="1" applyBorder="1" applyFill="1" applyFont="1">
      <alignment readingOrder="0" vertical="bottom"/>
    </xf>
    <xf borderId="1" fillId="5" fontId="30" numFmtId="0" xfId="0" applyAlignment="1" applyBorder="1" applyFill="1" applyFont="1">
      <alignment horizontal="center" vertical="bottom"/>
    </xf>
    <xf borderId="1" fillId="5" fontId="31" numFmtId="167" xfId="0" applyAlignment="1" applyBorder="1" applyFill="1" applyFont="1" applyNumberFormat="1">
      <alignment horizontal="center"/>
    </xf>
    <xf borderId="1" fillId="5" fontId="31" numFmtId="166" xfId="0" applyBorder="1" applyFill="1" applyFont="1" applyNumberFormat="1"/>
    <xf borderId="1" fillId="5" fontId="32" numFmtId="9" xfId="0" applyAlignment="1" applyBorder="1" applyFill="1" applyFont="1" applyNumberFormat="1">
      <alignment horizontal="center" vertical="center"/>
    </xf>
    <xf borderId="1" fillId="5" fontId="32" numFmtId="166" xfId="0" applyAlignment="1" applyBorder="1" applyFill="1" applyFont="1" applyNumberFormat="1">
      <alignment horizontal="center" vertical="center"/>
    </xf>
    <xf borderId="1" fillId="5" fontId="32" numFmtId="9" xfId="0" applyAlignment="1" applyBorder="1" applyFill="1" applyFont="1" applyNumberFormat="1">
      <alignment horizontal="center" vertical="center"/>
    </xf>
    <xf borderId="1" fillId="5" fontId="32" numFmtId="167" xfId="0" applyAlignment="1" applyBorder="1" applyFill="1" applyFont="1" applyNumberFormat="1">
      <alignment horizontal="center"/>
    </xf>
    <xf borderId="1" fillId="5" fontId="32" numFmtId="167" xfId="0" applyBorder="1" applyFill="1" applyFont="1" applyNumberFormat="1"/>
    <xf borderId="44" fillId="5" fontId="32" numFmtId="9" xfId="0" applyAlignment="1" applyBorder="1" applyFill="1" applyFont="1" applyNumberFormat="1">
      <alignment horizontal="center"/>
    </xf>
    <xf borderId="45" fillId="0" fontId="16" numFmtId="0" xfId="0" applyBorder="1" applyFont="1"/>
    <xf borderId="1" fillId="5" fontId="32" numFmtId="169" xfId="0" applyAlignment="1" applyBorder="1" applyFill="1" applyFont="1" applyNumberFormat="1">
      <alignment horizontal="center" vertical="center"/>
    </xf>
    <xf borderId="19" fillId="5" fontId="14" numFmtId="0" xfId="0" applyAlignment="1" applyBorder="1" applyFill="1" applyFont="1">
      <alignment horizontal="center" vertical="center"/>
    </xf>
    <xf borderId="46" fillId="5" fontId="32" numFmtId="9" xfId="0" applyAlignment="1" applyBorder="1" applyFill="1" applyFont="1" applyNumberFormat="1">
      <alignment horizontal="center" vertical="center"/>
    </xf>
    <xf borderId="1" fillId="5" fontId="14" numFmtId="166" xfId="0" applyAlignment="1" applyBorder="1" applyFill="1" applyFont="1" applyNumberFormat="1">
      <alignment horizontal="center" vertical="center"/>
    </xf>
    <xf borderId="22" fillId="0" fontId="25" numFmtId="0" xfId="0" applyAlignment="1" applyBorder="1" applyFont="1">
      <alignment vertical="center"/>
    </xf>
    <xf borderId="1" fillId="5" fontId="14" numFmtId="0" xfId="0" applyAlignment="1" applyBorder="1" applyFill="1" applyFont="1">
      <alignment horizontal="center" vertical="center"/>
    </xf>
    <xf borderId="23" fillId="0" fontId="25" numFmtId="166" xfId="0" applyAlignment="1" applyBorder="1" applyFont="1" applyNumberFormat="1">
      <alignment horizontal="center" vertical="center"/>
    </xf>
    <xf borderId="1" fillId="5" fontId="13" numFmtId="3" xfId="0" applyAlignment="1" applyBorder="1" applyFill="1" applyFont="1" applyNumberFormat="1">
      <alignment horizontal="right" vertical="bottom"/>
    </xf>
    <xf borderId="1" fillId="5" fontId="14" numFmtId="0" xfId="0" applyAlignment="1" applyBorder="1" applyFill="1" applyFont="1">
      <alignment vertical="center"/>
    </xf>
    <xf borderId="23" fillId="0" fontId="33" numFmtId="9" xfId="0" applyAlignment="1" applyBorder="1" applyFont="1" applyNumberFormat="1">
      <alignment horizontal="center" vertical="center"/>
    </xf>
    <xf borderId="1" fillId="5" fontId="14" numFmtId="166" xfId="0" applyAlignment="1" applyBorder="1" applyFill="1" applyFont="1" applyNumberFormat="1">
      <alignment vertical="bottom"/>
    </xf>
    <xf borderId="23" fillId="0" fontId="20" numFmtId="167" xfId="0" applyAlignment="1" applyBorder="1" applyFont="1" applyNumberFormat="1">
      <alignment horizontal="center" vertical="center"/>
    </xf>
    <xf borderId="23" fillId="0" fontId="20" numFmtId="9" xfId="0" applyAlignment="1" applyBorder="1" applyFont="1" applyNumberFormat="1">
      <alignment horizontal="center" vertical="center"/>
    </xf>
    <xf borderId="1" fillId="5" fontId="18" numFmtId="166" xfId="0" applyAlignment="1" applyBorder="1" applyFill="1" applyFont="1" applyNumberFormat="1">
      <alignment horizontal="right" vertical="bottom"/>
    </xf>
    <xf borderId="44" fillId="5" fontId="14" numFmtId="166" xfId="0" applyAlignment="1" applyBorder="1" applyFill="1" applyFont="1" applyNumberFormat="1">
      <alignment vertical="center"/>
    </xf>
    <xf borderId="19" fillId="5" fontId="14" numFmtId="164" xfId="0" applyAlignment="1" applyBorder="1" applyFill="1" applyFont="1" applyNumberFormat="1">
      <alignment vertical="center"/>
    </xf>
    <xf borderId="47" fillId="0" fontId="20" numFmtId="9" xfId="0" applyAlignment="1" applyBorder="1" applyFont="1" applyNumberFormat="1">
      <alignment horizontal="center" vertical="center"/>
    </xf>
    <xf borderId="1" fillId="5" fontId="14" numFmtId="165" xfId="0" applyAlignment="1" applyBorder="1" applyFill="1" applyFont="1" applyNumberFormat="1">
      <alignment vertical="center"/>
    </xf>
    <xf borderId="1" fillId="5" fontId="14" numFmtId="164" xfId="0" applyAlignment="1" applyBorder="1" applyFill="1" applyFont="1" applyNumberFormat="1">
      <alignment vertical="center"/>
    </xf>
    <xf borderId="20" fillId="5" fontId="14" numFmtId="165" xfId="0" applyAlignment="1" applyBorder="1" applyFill="1" applyFont="1" applyNumberFormat="1">
      <alignment vertical="center"/>
    </xf>
    <xf borderId="48" fillId="5" fontId="14" numFmtId="166" xfId="0" applyAlignment="1" applyBorder="1" applyFill="1" applyFont="1" applyNumberFormat="1">
      <alignment vertical="center"/>
    </xf>
    <xf borderId="0" fillId="0" fontId="34" numFmtId="0" xfId="0" applyFont="1"/>
    <xf borderId="23" fillId="0" fontId="20" numFmtId="169" xfId="0" applyAlignment="1" applyBorder="1" applyFont="1" applyNumberFormat="1">
      <alignment horizontal="center" vertical="center"/>
    </xf>
    <xf borderId="47" fillId="0" fontId="20" numFmtId="9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readingOrder="0" vertical="center"/>
    </xf>
    <xf borderId="1" fillId="0" fontId="4" numFmtId="167" xfId="0" applyAlignment="1" applyBorder="1" applyFont="1" applyNumberFormat="1">
      <alignment horizontal="center" readingOrder="0"/>
    </xf>
    <xf borderId="33" fillId="0" fontId="3" numFmtId="166" xfId="0" applyAlignment="1" applyBorder="1" applyFont="1" applyNumberFormat="1">
      <alignment horizontal="center" vertical="center"/>
    </xf>
    <xf borderId="46" fillId="5" fontId="32" numFmtId="9" xfId="0" applyAlignment="1" applyBorder="1" applyFill="1" applyFont="1" applyNumberFormat="1">
      <alignment horizontal="center"/>
    </xf>
    <xf borderId="23" fillId="0" fontId="20" numFmtId="166" xfId="0" applyAlignment="1" applyBorder="1" applyFont="1" applyNumberFormat="1">
      <alignment horizontal="center" vertical="center"/>
    </xf>
    <xf borderId="23" fillId="4" fontId="35" numFmtId="170" xfId="0" applyAlignment="1" applyBorder="1" applyFill="1" applyFont="1" applyNumberFormat="1">
      <alignment horizontal="center"/>
    </xf>
    <xf borderId="23" fillId="4" fontId="36" numFmtId="0" xfId="0" applyAlignment="1" applyBorder="1" applyFill="1" applyFont="1">
      <alignment horizontal="center"/>
    </xf>
    <xf borderId="23" fillId="4" fontId="36" numFmtId="171" xfId="0" applyAlignment="1" applyBorder="1" applyFill="1" applyFont="1" applyNumberFormat="1">
      <alignment horizontal="center"/>
    </xf>
    <xf borderId="30" fillId="4" fontId="36" numFmtId="172" xfId="0" applyAlignment="1" applyBorder="1" applyFill="1" applyFont="1" applyNumberFormat="1">
      <alignment horizontal="center"/>
    </xf>
    <xf borderId="49" fillId="4" fontId="36" numFmtId="171" xfId="0" applyAlignment="1" applyBorder="1" applyFill="1" applyFont="1" applyNumberFormat="1">
      <alignment horizontal="center"/>
    </xf>
    <xf borderId="13" fillId="4" fontId="35" numFmtId="0" xfId="0" applyAlignment="1" applyBorder="1" applyFill="1" applyFont="1">
      <alignment horizontal="center" vertical="bottom"/>
    </xf>
    <xf borderId="1" fillId="4" fontId="35" numFmtId="0" xfId="0" applyAlignment="1" applyBorder="1" applyFill="1" applyFont="1">
      <alignment horizontal="center"/>
    </xf>
    <xf borderId="13" fillId="4" fontId="35" numFmtId="0" xfId="0" applyBorder="1" applyFill="1" applyFont="1"/>
    <xf borderId="1" fillId="4" fontId="35" numFmtId="172" xfId="0" applyAlignment="1" applyBorder="1" applyFill="1" applyFont="1" applyNumberFormat="1">
      <alignment horizontal="center"/>
    </xf>
    <xf borderId="1" fillId="4" fontId="35" numFmtId="0" xfId="0" applyAlignment="1" applyBorder="1" applyFill="1" applyFont="1">
      <alignment horizontal="center" vertical="bottom"/>
    </xf>
    <xf borderId="1" fillId="4" fontId="35" numFmtId="0" xfId="0" applyBorder="1" applyFill="1" applyFont="1"/>
    <xf borderId="1" fillId="4" fontId="35" numFmtId="172" xfId="0" applyAlignment="1" applyBorder="1" applyFill="1" applyFont="1" applyNumberFormat="1">
      <alignment horizontal="center" readingOrder="0"/>
    </xf>
    <xf borderId="0" fillId="0" fontId="2" numFmtId="0" xfId="0" applyAlignment="1" applyFont="1">
      <alignment readingOrder="0" vertical="bottom"/>
    </xf>
    <xf borderId="19" fillId="5" fontId="30" numFmtId="0" xfId="0" applyAlignment="1" applyBorder="1" applyFill="1" applyFont="1">
      <alignment vertical="bottom"/>
    </xf>
    <xf borderId="1" fillId="5" fontId="27" numFmtId="166" xfId="0" applyBorder="1" applyFill="1" applyFont="1" applyNumberFormat="1"/>
    <xf borderId="1" fillId="4" fontId="37" numFmtId="172" xfId="0" applyAlignment="1" applyBorder="1" applyFill="1" applyFont="1" applyNumberFormat="1">
      <alignment horizontal="center"/>
    </xf>
    <xf borderId="1" fillId="4" fontId="35" numFmtId="170" xfId="0" applyAlignment="1" applyBorder="1" applyFill="1" applyFont="1" applyNumberFormat="1">
      <alignment horizontal="center" vertical="bottom"/>
    </xf>
    <xf borderId="1" fillId="4" fontId="35" numFmtId="171" xfId="0" applyBorder="1" applyFill="1" applyFont="1" applyNumberFormat="1"/>
    <xf borderId="1" fillId="4" fontId="35" numFmtId="171" xfId="0" applyAlignment="1" applyBorder="1" applyFill="1" applyFont="1" applyNumberFormat="1">
      <alignment horizontal="center"/>
    </xf>
    <xf borderId="1" fillId="0" fontId="3" numFmtId="172" xfId="0" applyAlignment="1" applyBorder="1" applyFont="1" applyNumberFormat="1">
      <alignment vertical="bottom"/>
    </xf>
    <xf borderId="1" fillId="0" fontId="3" numFmtId="0" xfId="0" applyAlignment="1" applyBorder="1" applyFont="1">
      <alignment readingOrder="0" vertical="bottom"/>
    </xf>
    <xf borderId="0" fillId="0" fontId="3" numFmtId="172" xfId="0" applyAlignment="1" applyFont="1" applyNumberFormat="1">
      <alignment vertical="bottom"/>
    </xf>
    <xf borderId="29" fillId="5" fontId="38" numFmtId="0" xfId="0" applyAlignment="1" applyBorder="1" applyFill="1" applyFont="1">
      <alignment horizontal="center" readingOrder="0" textRotation="90" vertical="center"/>
    </xf>
    <xf borderId="50" fillId="0" fontId="2" numFmtId="0" xfId="0" applyAlignment="1" applyBorder="1" applyFont="1">
      <alignment vertical="center"/>
    </xf>
    <xf borderId="22" fillId="0" fontId="39" numFmtId="0" xfId="0" applyAlignment="1" applyBorder="1" applyFont="1">
      <alignment readingOrder="0" vertical="center"/>
    </xf>
    <xf borderId="1" fillId="0" fontId="2" numFmtId="3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vertical="bottom"/>
    </xf>
    <xf borderId="30" fillId="0" fontId="20" numFmtId="9" xfId="0" applyAlignment="1" applyBorder="1" applyFont="1" applyNumberFormat="1">
      <alignment horizontal="center" vertical="center"/>
    </xf>
    <xf borderId="1" fillId="7" fontId="4" numFmtId="0" xfId="0" applyBorder="1" applyFill="1" applyFont="1"/>
    <xf borderId="1" fillId="7" fontId="27" numFmtId="167" xfId="0" applyAlignment="1" applyBorder="1" applyFill="1" applyFont="1" applyNumberFormat="1">
      <alignment horizontal="center"/>
    </xf>
    <xf borderId="1" fillId="7" fontId="27" numFmtId="166" xfId="0" applyBorder="1" applyFill="1" applyFont="1" applyNumberFormat="1"/>
    <xf borderId="1" fillId="7" fontId="4" numFmtId="167" xfId="0" applyAlignment="1" applyBorder="1" applyFill="1" applyFont="1" applyNumberFormat="1">
      <alignment horizontal="center"/>
    </xf>
    <xf borderId="0" fillId="0" fontId="4" numFmtId="0" xfId="0" applyAlignment="1" applyFont="1">
      <alignment readingOrder="0"/>
    </xf>
    <xf borderId="1" fillId="8" fontId="4" numFmtId="0" xfId="0" applyBorder="1" applyFill="1" applyFont="1"/>
    <xf borderId="51" fillId="4" fontId="2" numFmtId="0" xfId="0" applyAlignment="1" applyBorder="1" applyFill="1" applyFont="1">
      <alignment vertical="bottom"/>
    </xf>
    <xf borderId="52" fillId="0" fontId="16" numFmtId="0" xfId="0" applyBorder="1" applyFont="1"/>
    <xf borderId="53" fillId="0" fontId="16" numFmtId="0" xfId="0" applyBorder="1" applyFont="1"/>
    <xf borderId="1" fillId="8" fontId="27" numFmtId="167" xfId="0" applyAlignment="1" applyBorder="1" applyFill="1" applyFont="1" applyNumberFormat="1">
      <alignment horizontal="center"/>
    </xf>
    <xf borderId="0" fillId="0" fontId="40" numFmtId="0" xfId="0" applyAlignment="1" applyFont="1">
      <alignment shrinkToFit="0" vertical="top" wrapText="1"/>
    </xf>
    <xf borderId="1" fillId="8" fontId="27" numFmtId="166" xfId="0" applyBorder="1" applyFill="1" applyFont="1" applyNumberFormat="1"/>
    <xf borderId="1" fillId="8" fontId="4" numFmtId="167" xfId="0" applyAlignment="1" applyBorder="1" applyFill="1" applyFont="1" applyNumberFormat="1">
      <alignment horizontal="center"/>
    </xf>
    <xf borderId="1" fillId="8" fontId="4" numFmtId="167" xfId="0" applyBorder="1" applyFill="1" applyFont="1" applyNumberFormat="1"/>
    <xf borderId="0" fillId="0" fontId="20" numFmtId="166" xfId="0" applyAlignment="1" applyFont="1" applyNumberFormat="1">
      <alignment horizontal="center" vertical="center"/>
    </xf>
    <xf borderId="22" fillId="9" fontId="3" numFmtId="164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readingOrder="0"/>
    </xf>
    <xf borderId="0" fillId="0" fontId="20" numFmtId="166" xfId="0" applyAlignment="1" applyFont="1" applyNumberFormat="1">
      <alignment readingOrder="0"/>
    </xf>
    <xf borderId="0" fillId="0" fontId="20" numFmtId="167" xfId="0" applyAlignment="1" applyFont="1" applyNumberFormat="1">
      <alignment readingOrder="0"/>
    </xf>
    <xf borderId="0" fillId="0" fontId="20" numFmtId="167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0" fontId="4" numFmtId="9" xfId="0" applyAlignment="1" applyFont="1" applyNumberFormat="1">
      <alignment horizontal="center"/>
    </xf>
    <xf borderId="23" fillId="10" fontId="20" numFmtId="0" xfId="0" applyAlignment="1" applyBorder="1" applyFill="1" applyFont="1">
      <alignment horizontal="center" readingOrder="0" vertical="center"/>
    </xf>
    <xf borderId="23" fillId="10" fontId="20" numFmtId="166" xfId="0" applyAlignment="1" applyBorder="1" applyFill="1" applyFont="1" applyNumberFormat="1">
      <alignment horizontal="center" readingOrder="0" vertical="center"/>
    </xf>
    <xf borderId="44" fillId="10" fontId="20" numFmtId="167" xfId="0" applyAlignment="1" applyBorder="1" applyFill="1" applyFont="1" applyNumberFormat="1">
      <alignment horizontal="center" readingOrder="0" vertical="center"/>
    </xf>
    <xf borderId="54" fillId="0" fontId="16" numFmtId="0" xfId="0" applyBorder="1" applyFont="1"/>
    <xf borderId="44" fillId="10" fontId="20" numFmtId="0" xfId="0" applyAlignment="1" applyBorder="1" applyFill="1" applyFont="1">
      <alignment horizontal="center" readingOrder="0" vertical="center"/>
    </xf>
    <xf borderId="41" fillId="0" fontId="16" numFmtId="0" xfId="0" applyBorder="1" applyFont="1"/>
    <xf borderId="1" fillId="10" fontId="20" numFmtId="167" xfId="0" applyAlignment="1" applyBorder="1" applyFill="1" applyFont="1" applyNumberFormat="1">
      <alignment horizontal="center" readingOrder="0" vertical="center"/>
    </xf>
    <xf borderId="1" fillId="10" fontId="20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0" fontId="4" numFmtId="166" xfId="0" applyAlignment="1" applyBorder="1" applyFont="1" applyNumberFormat="1">
      <alignment readingOrder="0"/>
    </xf>
    <xf borderId="1" fillId="0" fontId="4" numFmtId="167" xfId="0" applyBorder="1" applyFont="1" applyNumberFormat="1"/>
    <xf borderId="1" fillId="0" fontId="4" numFmtId="167" xfId="0" applyAlignment="1" applyBorder="1" applyFont="1" applyNumberFormat="1">
      <alignment horizontal="center" readingOrder="0"/>
    </xf>
    <xf borderId="1" fillId="0" fontId="3" numFmtId="9" xfId="0" applyAlignment="1" applyBorder="1" applyFont="1" applyNumberFormat="1">
      <alignment horizontal="center" vertical="bottom"/>
    </xf>
    <xf borderId="1" fillId="5" fontId="4" numFmtId="166" xfId="0" applyAlignment="1" applyBorder="1" applyFill="1" applyFont="1" applyNumberFormat="1">
      <alignment readingOrder="0"/>
    </xf>
    <xf borderId="1" fillId="5" fontId="4" numFmtId="167" xfId="0" applyBorder="1" applyFill="1" applyFont="1" applyNumberFormat="1"/>
    <xf borderId="1" fillId="0" fontId="4" numFmtId="0" xfId="0" applyAlignment="1" applyBorder="1" applyFont="1">
      <alignment readingOrder="0"/>
    </xf>
    <xf borderId="0" fillId="0" fontId="4" numFmtId="4" xfId="0" applyFont="1" applyNumberFormat="1"/>
    <xf borderId="1" fillId="0" fontId="3" numFmtId="9" xfId="0" applyAlignment="1" applyBorder="1" applyFont="1" applyNumberFormat="1">
      <alignment horizontal="center" readingOrder="0" vertical="bottom"/>
    </xf>
    <xf borderId="1" fillId="0" fontId="41" numFmtId="0" xfId="0" applyAlignment="1" applyBorder="1" applyFont="1">
      <alignment vertical="bottom"/>
    </xf>
    <xf borderId="0" fillId="0" fontId="4" numFmtId="167" xfId="0" applyFont="1" applyNumberFormat="1"/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9" xfId="0" applyAlignment="1" applyFont="1" applyNumberFormat="1">
      <alignment horizontal="center" vertical="bottom"/>
    </xf>
    <xf borderId="23" fillId="0" fontId="25" numFmtId="166" xfId="0" applyAlignment="1" applyBorder="1" applyFont="1" applyNumberFormat="1">
      <alignment horizontal="center" readingOrder="0" vertical="center"/>
    </xf>
    <xf borderId="1" fillId="5" fontId="30" numFmtId="3" xfId="0" applyAlignment="1" applyBorder="1" applyFill="1" applyFont="1" applyNumberFormat="1">
      <alignment horizontal="center" vertical="bottom"/>
    </xf>
    <xf borderId="1" fillId="5" fontId="30" numFmtId="3" xfId="0" applyAlignment="1" applyBorder="1" applyFill="1" applyFont="1" applyNumberFormat="1">
      <alignment vertical="bottom"/>
    </xf>
    <xf borderId="19" fillId="0" fontId="25" numFmtId="0" xfId="0" applyAlignment="1" applyBorder="1" applyFont="1">
      <alignment vertical="bottom"/>
    </xf>
    <xf borderId="1" fillId="0" fontId="25" numFmtId="166" xfId="0" applyAlignment="1" applyBorder="1" applyFont="1" applyNumberFormat="1">
      <alignment horizontal="center" vertical="bottom"/>
    </xf>
    <xf borderId="1" fillId="0" fontId="33" numFmtId="9" xfId="0" applyAlignment="1" applyBorder="1" applyFont="1" applyNumberFormat="1">
      <alignment horizontal="center" vertical="center"/>
    </xf>
    <xf borderId="1" fillId="0" fontId="20" numFmtId="166" xfId="0" applyAlignment="1" applyBorder="1" applyFont="1" applyNumberFormat="1">
      <alignment horizontal="center" vertical="center"/>
    </xf>
    <xf borderId="1" fillId="0" fontId="20" numFmtId="9" xfId="0" applyAlignment="1" applyBorder="1" applyFont="1" applyNumberFormat="1">
      <alignment horizontal="center" vertical="center"/>
    </xf>
    <xf borderId="44" fillId="0" fontId="20" numFmtId="9" xfId="0" applyAlignment="1" applyBorder="1" applyFont="1" applyNumberFormat="1">
      <alignment horizontal="center"/>
    </xf>
    <xf borderId="1" fillId="0" fontId="20" numFmtId="169" xfId="0" applyAlignment="1" applyBorder="1" applyFont="1" applyNumberFormat="1">
      <alignment horizontal="center" vertical="center"/>
    </xf>
    <xf borderId="46" fillId="0" fontId="20" numFmtId="9" xfId="0" applyAlignment="1" applyBorder="1" applyFont="1" applyNumberFormat="1">
      <alignment horizontal="center" vertical="center"/>
    </xf>
    <xf borderId="55" fillId="5" fontId="38" numFmtId="0" xfId="0" applyAlignment="1" applyBorder="1" applyFill="1" applyFont="1">
      <alignment horizontal="center" readingOrder="0" textRotation="90" vertical="center"/>
    </xf>
    <xf borderId="23" fillId="4" fontId="42" numFmtId="0" xfId="0" applyAlignment="1" applyBorder="1" applyFill="1" applyFont="1">
      <alignment readingOrder="0" vertical="center"/>
    </xf>
    <xf borderId="23" fillId="4" fontId="39" numFmtId="0" xfId="0" applyAlignment="1" applyBorder="1" applyFill="1" applyFont="1">
      <alignment vertical="center"/>
    </xf>
    <xf borderId="23" fillId="4" fontId="39" numFmtId="166" xfId="0" applyAlignment="1" applyBorder="1" applyFill="1" applyFont="1" applyNumberFormat="1">
      <alignment horizontal="center" vertical="center"/>
    </xf>
    <xf borderId="1" fillId="4" fontId="42" numFmtId="0" xfId="0" applyAlignment="1" applyBorder="1" applyFill="1" applyFont="1">
      <alignment vertical="bottom"/>
    </xf>
    <xf borderId="1" fillId="4" fontId="42" numFmtId="3" xfId="0" applyAlignment="1" applyBorder="1" applyFill="1" applyFont="1" applyNumberFormat="1">
      <alignment horizontal="center" vertical="bottom"/>
    </xf>
    <xf borderId="1" fillId="4" fontId="42" numFmtId="3" xfId="0" applyAlignment="1" applyBorder="1" applyFill="1" applyFont="1" applyNumberFormat="1">
      <alignment vertical="bottom"/>
    </xf>
    <xf borderId="1" fillId="4" fontId="43" numFmtId="167" xfId="0" applyAlignment="1" applyBorder="1" applyFill="1" applyFont="1" applyNumberFormat="1">
      <alignment horizontal="center"/>
    </xf>
    <xf borderId="1" fillId="4" fontId="43" numFmtId="166" xfId="0" applyBorder="1" applyFill="1" applyFont="1" applyNumberFormat="1"/>
    <xf borderId="23" fillId="4" fontId="44" numFmtId="9" xfId="0" applyAlignment="1" applyBorder="1" applyFill="1" applyFont="1" applyNumberFormat="1">
      <alignment horizontal="center" vertical="center"/>
    </xf>
    <xf borderId="23" fillId="4" fontId="45" numFmtId="166" xfId="0" applyAlignment="1" applyBorder="1" applyFill="1" applyFont="1" applyNumberFormat="1">
      <alignment horizontal="center" vertical="center"/>
    </xf>
    <xf borderId="23" fillId="4" fontId="45" numFmtId="9" xfId="0" applyAlignment="1" applyBorder="1" applyFill="1" applyFont="1" applyNumberFormat="1">
      <alignment horizontal="center" vertical="center"/>
    </xf>
    <xf borderId="1" fillId="4" fontId="1" numFmtId="167" xfId="0" applyAlignment="1" applyBorder="1" applyFill="1" applyFont="1" applyNumberFormat="1">
      <alignment horizontal="center"/>
    </xf>
    <xf borderId="1" fillId="4" fontId="1" numFmtId="167" xfId="0" applyBorder="1" applyFill="1" applyFont="1" applyNumberFormat="1"/>
    <xf borderId="30" fillId="4" fontId="1" numFmtId="9" xfId="0" applyAlignment="1" applyBorder="1" applyFill="1" applyFont="1" applyNumberFormat="1">
      <alignment horizontal="center" vertical="center"/>
    </xf>
    <xf borderId="23" fillId="4" fontId="1" numFmtId="169" xfId="0" applyAlignment="1" applyBorder="1" applyFill="1" applyFont="1" applyNumberFormat="1">
      <alignment horizontal="center" vertical="center"/>
    </xf>
    <xf borderId="47" fillId="4" fontId="1" numFmtId="9" xfId="0" applyAlignment="1" applyBorder="1" applyFill="1" applyFont="1" applyNumberFormat="1">
      <alignment horizontal="center" vertical="center"/>
    </xf>
    <xf borderId="56" fillId="0" fontId="16" numFmtId="0" xfId="0" applyBorder="1" applyFont="1"/>
    <xf borderId="1" fillId="4" fontId="42" numFmtId="0" xfId="0" applyAlignment="1" applyBorder="1" applyFill="1" applyFont="1">
      <alignment horizontal="center" vertical="bottom"/>
    </xf>
    <xf borderId="1" fillId="7" fontId="42" numFmtId="0" xfId="0" applyAlignment="1" applyBorder="1" applyFill="1" applyFont="1">
      <alignment vertical="bottom"/>
    </xf>
    <xf borderId="1" fillId="7" fontId="42" numFmtId="0" xfId="0" applyAlignment="1" applyBorder="1" applyFill="1" applyFont="1">
      <alignment horizontal="center" vertical="bottom"/>
    </xf>
    <xf borderId="1" fillId="7" fontId="43" numFmtId="167" xfId="0" applyAlignment="1" applyBorder="1" applyFill="1" applyFont="1" applyNumberFormat="1">
      <alignment horizontal="center"/>
    </xf>
    <xf borderId="1" fillId="7" fontId="43" numFmtId="166" xfId="0" applyBorder="1" applyFill="1" applyFont="1" applyNumberFormat="1"/>
    <xf borderId="1" fillId="7" fontId="1" numFmtId="167" xfId="0" applyAlignment="1" applyBorder="1" applyFill="1" applyFont="1" applyNumberFormat="1">
      <alignment horizontal="center"/>
    </xf>
    <xf borderId="1" fillId="7" fontId="1" numFmtId="167" xfId="0" applyBorder="1" applyFill="1" applyFont="1" applyNumberFormat="1"/>
    <xf borderId="1" fillId="8" fontId="42" numFmtId="0" xfId="0" applyAlignment="1" applyBorder="1" applyFill="1" applyFont="1">
      <alignment vertical="bottom"/>
    </xf>
    <xf borderId="1" fillId="8" fontId="42" numFmtId="0" xfId="0" applyAlignment="1" applyBorder="1" applyFill="1" applyFont="1">
      <alignment horizontal="center" vertical="bottom"/>
    </xf>
    <xf borderId="1" fillId="8" fontId="43" numFmtId="167" xfId="0" applyAlignment="1" applyBorder="1" applyFill="1" applyFont="1" applyNumberFormat="1">
      <alignment horizontal="center"/>
    </xf>
    <xf borderId="1" fillId="8" fontId="43" numFmtId="166" xfId="0" applyBorder="1" applyFill="1" applyFont="1" applyNumberFormat="1"/>
    <xf borderId="1" fillId="8" fontId="1" numFmtId="167" xfId="0" applyAlignment="1" applyBorder="1" applyFill="1" applyFont="1" applyNumberFormat="1">
      <alignment horizontal="center"/>
    </xf>
    <xf borderId="1" fillId="8" fontId="1" numFmtId="167" xfId="0" applyBorder="1" applyFill="1" applyFont="1" applyNumberFormat="1"/>
    <xf borderId="1" fillId="5" fontId="29" numFmtId="0" xfId="0" applyAlignment="1" applyBorder="1" applyFill="1" applyFont="1">
      <alignment readingOrder="0" vertical="center"/>
    </xf>
    <xf borderId="1" fillId="5" fontId="46" numFmtId="166" xfId="0" applyBorder="1" applyFill="1" applyFont="1" applyNumberFormat="1"/>
    <xf borderId="22" fillId="11" fontId="3" numFmtId="164" xfId="0" applyAlignment="1" applyBorder="1" applyFill="1" applyFont="1" applyNumberFormat="1">
      <alignment horizontal="center" vertical="center"/>
    </xf>
    <xf borderId="23" fillId="4" fontId="39" numFmtId="166" xfId="0" applyAlignment="1" applyBorder="1" applyFill="1" applyFont="1" applyNumberFormat="1">
      <alignment horizontal="center" readingOrder="0" vertical="center"/>
    </xf>
    <xf borderId="19" fillId="5" fontId="3" numFmtId="0" xfId="0" applyAlignment="1" applyBorder="1" applyFill="1" applyFont="1">
      <alignment horizontal="center" vertical="center"/>
    </xf>
    <xf borderId="1" fillId="5" fontId="3" numFmtId="166" xfId="0" applyAlignment="1" applyBorder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center"/>
    </xf>
    <xf borderId="44" fillId="5" fontId="3" numFmtId="166" xfId="0" applyAlignment="1" applyBorder="1" applyFill="1" applyFont="1" applyNumberFormat="1">
      <alignment vertical="center"/>
    </xf>
    <xf borderId="19" fillId="5" fontId="3" numFmtId="164" xfId="0" applyAlignment="1" applyBorder="1" applyFill="1" applyFont="1" applyNumberFormat="1">
      <alignment vertical="center"/>
    </xf>
    <xf borderId="1" fillId="5" fontId="3" numFmtId="165" xfId="0" applyAlignment="1" applyBorder="1" applyFill="1" applyFont="1" applyNumberFormat="1">
      <alignment vertical="center"/>
    </xf>
    <xf borderId="1" fillId="5" fontId="3" numFmtId="164" xfId="0" applyAlignment="1" applyBorder="1" applyFill="1" applyFont="1" applyNumberFormat="1">
      <alignment vertical="center"/>
    </xf>
    <xf borderId="20" fillId="5" fontId="3" numFmtId="165" xfId="0" applyAlignment="1" applyBorder="1" applyFill="1" applyFont="1" applyNumberFormat="1">
      <alignment vertical="center"/>
    </xf>
    <xf borderId="48" fillId="5" fontId="3" numFmtId="166" xfId="0" applyAlignment="1" applyBorder="1" applyFill="1" applyFont="1" applyNumberFormat="1">
      <alignment vertical="center"/>
    </xf>
    <xf borderId="1" fillId="0" fontId="3" numFmtId="0" xfId="0" applyAlignment="1" applyBorder="1" applyFont="1">
      <alignment horizontal="right" readingOrder="0" vertical="bottom"/>
    </xf>
    <xf borderId="57" fillId="0" fontId="16" numFmtId="0" xfId="0" applyBorder="1" applyFont="1"/>
    <xf borderId="58" fillId="5" fontId="38" numFmtId="0" xfId="0" applyAlignment="1" applyBorder="1" applyFill="1" applyFont="1">
      <alignment horizontal="center" readingOrder="0" textRotation="90" vertical="center"/>
    </xf>
    <xf borderId="49" fillId="4" fontId="42" numFmtId="0" xfId="0" applyAlignment="1" applyBorder="1" applyFill="1" applyFont="1">
      <alignment readingOrder="0" vertical="center"/>
    </xf>
    <xf borderId="22" fillId="10" fontId="3" numFmtId="164" xfId="0" applyAlignment="1" applyBorder="1" applyFill="1" applyFont="1" applyNumberFormat="1">
      <alignment horizontal="center" vertical="center"/>
    </xf>
    <xf borderId="23" fillId="0" fontId="3" numFmtId="164" xfId="0" applyAlignment="1" applyBorder="1" applyFont="1" applyNumberFormat="1">
      <alignment vertical="center"/>
    </xf>
    <xf borderId="23" fillId="0" fontId="3" numFmtId="0" xfId="0" applyAlignment="1" applyBorder="1" applyFont="1">
      <alignment vertical="center"/>
    </xf>
    <xf borderId="59" fillId="0" fontId="16" numFmtId="0" xfId="0" applyBorder="1" applyFont="1"/>
    <xf borderId="60" fillId="0" fontId="16" numFmtId="0" xfId="0" applyBorder="1" applyFont="1"/>
    <xf borderId="61" fillId="0" fontId="16" numFmtId="0" xfId="0" applyBorder="1" applyFont="1"/>
    <xf borderId="54" fillId="5" fontId="29" numFmtId="0" xfId="0" applyAlignment="1" applyBorder="1" applyFill="1" applyFont="1">
      <alignment readingOrder="0" vertical="center"/>
    </xf>
    <xf borderId="23" fillId="5" fontId="39" numFmtId="0" xfId="0" applyAlignment="1" applyBorder="1" applyFill="1" applyFont="1">
      <alignment vertical="center"/>
    </xf>
    <xf borderId="62" fillId="0" fontId="16" numFmtId="0" xfId="0" applyBorder="1" applyFont="1"/>
    <xf borderId="40" fillId="5" fontId="38" numFmtId="0" xfId="0" applyAlignment="1" applyBorder="1" applyFill="1" applyFont="1">
      <alignment readingOrder="0" textRotation="90" vertical="center"/>
    </xf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horizontal="center" vertical="bottom"/>
    </xf>
    <xf borderId="12" fillId="5" fontId="47" numFmtId="0" xfId="0" applyAlignment="1" applyBorder="1" applyFill="1" applyFont="1">
      <alignment vertical="center"/>
    </xf>
    <xf borderId="13" fillId="5" fontId="47" numFmtId="166" xfId="0" applyAlignment="1" applyBorder="1" applyFill="1" applyFont="1" applyNumberFormat="1">
      <alignment horizontal="center" vertical="center"/>
    </xf>
    <xf borderId="1" fillId="5" fontId="48" numFmtId="166" xfId="0" applyBorder="1" applyFill="1" applyFont="1" applyNumberFormat="1"/>
    <xf borderId="13" fillId="5" fontId="32" numFmtId="9" xfId="0" applyAlignment="1" applyBorder="1" applyFill="1" applyFont="1" applyNumberFormat="1">
      <alignment horizontal="center" vertical="center"/>
    </xf>
    <xf borderId="13" fillId="5" fontId="49" numFmtId="166" xfId="0" applyAlignment="1" applyBorder="1" applyFill="1" applyFont="1" applyNumberFormat="1">
      <alignment horizontal="center" vertical="center"/>
    </xf>
    <xf borderId="13" fillId="5" fontId="49" numFmtId="9" xfId="0" applyAlignment="1" applyBorder="1" applyFill="1" applyFont="1" applyNumberFormat="1">
      <alignment horizontal="center" vertical="center"/>
    </xf>
    <xf borderId="16" fillId="5" fontId="49" numFmtId="9" xfId="0" applyAlignment="1" applyBorder="1" applyFill="1" applyFont="1" applyNumberFormat="1">
      <alignment horizontal="center" vertical="center"/>
    </xf>
    <xf borderId="13" fillId="5" fontId="49" numFmtId="169" xfId="0" applyAlignment="1" applyBorder="1" applyFill="1" applyFont="1" applyNumberFormat="1">
      <alignment horizontal="center" vertical="center"/>
    </xf>
    <xf borderId="43" fillId="5" fontId="49" numFmtId="9" xfId="0" applyAlignment="1" applyBorder="1" applyFill="1" applyFont="1" applyNumberForma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11" fontId="50" numFmtId="164" xfId="0" applyAlignment="1" applyBorder="1" applyFill="1" applyFont="1" applyNumberFormat="1">
      <alignment horizontal="center" vertical="center"/>
    </xf>
    <xf borderId="22" fillId="0" fontId="2" numFmtId="0" xfId="0" applyAlignment="1" applyBorder="1" applyFont="1">
      <alignment horizontal="center" readingOrder="0" vertical="center"/>
    </xf>
    <xf borderId="1" fillId="7" fontId="41" numFmtId="0" xfId="0" applyAlignment="1" applyBorder="1" applyFill="1" applyFont="1">
      <alignment vertical="bottom"/>
    </xf>
    <xf borderId="1" fillId="8" fontId="41" numFmtId="0" xfId="0" applyAlignment="1" applyBorder="1" applyFill="1" applyFont="1">
      <alignment vertical="bottom"/>
    </xf>
    <xf borderId="1" fillId="5" fontId="32" numFmtId="166" xfId="0" applyBorder="1" applyFill="1" applyFont="1" applyNumberFormat="1"/>
    <xf borderId="0" fillId="0" fontId="32" numFmtId="0" xfId="0" applyFont="1"/>
    <xf borderId="63" fillId="0" fontId="16" numFmtId="0" xfId="0" applyBorder="1" applyFont="1"/>
    <xf borderId="64" fillId="5" fontId="29" numFmtId="0" xfId="0" applyAlignment="1" applyBorder="1" applyFill="1" applyFont="1">
      <alignment vertical="center"/>
    </xf>
    <xf borderId="65" fillId="5" fontId="47" numFmtId="0" xfId="0" applyAlignment="1" applyBorder="1" applyFill="1" applyFont="1">
      <alignment vertical="center"/>
    </xf>
    <xf borderId="66" fillId="5" fontId="47" numFmtId="166" xfId="0" applyAlignment="1" applyBorder="1" applyFill="1" applyFont="1" applyNumberFormat="1">
      <alignment horizontal="center" vertical="center"/>
    </xf>
    <xf borderId="67" fillId="5" fontId="30" numFmtId="0" xfId="0" applyAlignment="1" applyBorder="1" applyFill="1" applyFont="1">
      <alignment vertical="bottom"/>
    </xf>
    <xf borderId="67" fillId="5" fontId="30" numFmtId="0" xfId="0" applyAlignment="1" applyBorder="1" applyFill="1" applyFont="1">
      <alignment horizontal="center" vertical="bottom"/>
    </xf>
    <xf borderId="67" fillId="5" fontId="31" numFmtId="167" xfId="0" applyAlignment="1" applyBorder="1" applyFill="1" applyFont="1" applyNumberFormat="1">
      <alignment horizontal="center"/>
    </xf>
    <xf borderId="67" fillId="5" fontId="48" numFmtId="166" xfId="0" applyBorder="1" applyFill="1" applyFont="1" applyNumberFormat="1"/>
    <xf borderId="67" fillId="5" fontId="31" numFmtId="166" xfId="0" applyBorder="1" applyFill="1" applyFont="1" applyNumberFormat="1"/>
    <xf borderId="66" fillId="5" fontId="32" numFmtId="9" xfId="0" applyAlignment="1" applyBorder="1" applyFill="1" applyFont="1" applyNumberFormat="1">
      <alignment horizontal="center" vertical="center"/>
    </xf>
    <xf borderId="66" fillId="5" fontId="49" numFmtId="166" xfId="0" applyAlignment="1" applyBorder="1" applyFill="1" applyFont="1" applyNumberFormat="1">
      <alignment horizontal="center" vertical="center"/>
    </xf>
    <xf borderId="66" fillId="5" fontId="49" numFmtId="9" xfId="0" applyAlignment="1" applyBorder="1" applyFill="1" applyFont="1" applyNumberFormat="1">
      <alignment horizontal="center" vertical="center"/>
    </xf>
    <xf borderId="67" fillId="5" fontId="32" numFmtId="167" xfId="0" applyAlignment="1" applyBorder="1" applyFill="1" applyFont="1" applyNumberFormat="1">
      <alignment horizontal="center"/>
    </xf>
    <xf borderId="67" fillId="5" fontId="32" numFmtId="167" xfId="0" applyBorder="1" applyFill="1" applyFont="1" applyNumberFormat="1"/>
    <xf borderId="66" fillId="5" fontId="49" numFmtId="9" xfId="0" applyAlignment="1" applyBorder="1" applyFill="1" applyFont="1" applyNumberFormat="1">
      <alignment horizontal="center" vertical="center"/>
    </xf>
    <xf borderId="66" fillId="5" fontId="49" numFmtId="169" xfId="0" applyAlignment="1" applyBorder="1" applyFill="1" applyFont="1" applyNumberFormat="1">
      <alignment horizontal="center" vertical="center"/>
    </xf>
    <xf borderId="68" fillId="5" fontId="49" numFmtId="9" xfId="0" applyAlignment="1" applyBorder="1" applyFill="1" applyFont="1" applyNumberFormat="1">
      <alignment horizontal="center" vertical="center"/>
    </xf>
    <xf borderId="40" fillId="5" fontId="38" numFmtId="0" xfId="0" applyAlignment="1" applyBorder="1" applyFill="1" applyFont="1">
      <alignment horizontal="center" readingOrder="0" textRotation="90" vertical="center"/>
    </xf>
    <xf borderId="12" fillId="0" fontId="25" numFmtId="0" xfId="0" applyAlignment="1" applyBorder="1" applyFont="1">
      <alignment vertical="bottom"/>
    </xf>
    <xf borderId="13" fillId="0" fontId="25" numFmtId="166" xfId="0" applyAlignment="1" applyBorder="1" applyFont="1" applyNumberFormat="1">
      <alignment horizontal="center" vertical="bottom"/>
    </xf>
    <xf borderId="13" fillId="0" fontId="2" numFmtId="0" xfId="0" applyAlignment="1" applyBorder="1" applyFont="1">
      <alignment vertical="bottom"/>
    </xf>
    <xf borderId="13" fillId="0" fontId="2" numFmtId="0" xfId="0" applyAlignment="1" applyBorder="1" applyFont="1">
      <alignment horizontal="center" vertical="bottom"/>
    </xf>
    <xf borderId="13" fillId="0" fontId="27" numFmtId="167" xfId="0" applyAlignment="1" applyBorder="1" applyFont="1" applyNumberFormat="1">
      <alignment horizontal="center"/>
    </xf>
    <xf borderId="13" fillId="0" fontId="27" numFmtId="166" xfId="0" applyBorder="1" applyFont="1" applyNumberFormat="1"/>
    <xf borderId="13" fillId="0" fontId="33" numFmtId="9" xfId="0" applyAlignment="1" applyBorder="1" applyFont="1" applyNumberFormat="1">
      <alignment horizontal="center" vertical="center"/>
    </xf>
    <xf borderId="13" fillId="0" fontId="20" numFmtId="166" xfId="0" applyAlignment="1" applyBorder="1" applyFont="1" applyNumberFormat="1">
      <alignment horizontal="center" vertical="center"/>
    </xf>
    <xf borderId="13" fillId="0" fontId="20" numFmtId="9" xfId="0" applyAlignment="1" applyBorder="1" applyFont="1" applyNumberFormat="1">
      <alignment horizontal="center" vertical="center"/>
    </xf>
    <xf borderId="13" fillId="0" fontId="4" numFmtId="167" xfId="0" applyAlignment="1" applyBorder="1" applyFont="1" applyNumberFormat="1">
      <alignment horizontal="center"/>
    </xf>
    <xf borderId="13" fillId="0" fontId="4" numFmtId="167" xfId="0" applyBorder="1" applyFont="1" applyNumberFormat="1"/>
    <xf borderId="43" fillId="0" fontId="20" numFmtId="9" xfId="0" applyAlignment="1" applyBorder="1" applyFont="1" applyNumberFormat="1">
      <alignment horizontal="center"/>
    </xf>
    <xf borderId="13" fillId="0" fontId="20" numFmtId="169" xfId="0" applyAlignment="1" applyBorder="1" applyFont="1" applyNumberFormat="1">
      <alignment horizontal="center" vertical="center"/>
    </xf>
    <xf borderId="46" fillId="0" fontId="20" numFmtId="9" xfId="0" applyAlignment="1" applyBorder="1" applyFont="1" applyNumberFormat="1">
      <alignment horizontal="center"/>
    </xf>
    <xf borderId="69" fillId="0" fontId="16" numFmtId="0" xfId="0" applyBorder="1" applyFont="1"/>
    <xf borderId="70" fillId="0" fontId="16" numFmtId="0" xfId="0" applyBorder="1" applyFont="1"/>
    <xf borderId="71" fillId="0" fontId="16" numFmtId="0" xfId="0" applyBorder="1" applyFont="1"/>
    <xf borderId="72" fillId="0" fontId="16" numFmtId="0" xfId="0" applyBorder="1" applyFont="1"/>
    <xf borderId="73" fillId="5" fontId="3" numFmtId="0" xfId="0" applyAlignment="1" applyBorder="1" applyFill="1" applyFont="1">
      <alignment horizontal="center" vertical="center"/>
    </xf>
    <xf borderId="74" fillId="5" fontId="3" numFmtId="166" xfId="0" applyAlignment="1" applyBorder="1" applyFill="1" applyFont="1" applyNumberFormat="1">
      <alignment horizontal="center" vertical="center"/>
    </xf>
    <xf borderId="74" fillId="5" fontId="3" numFmtId="0" xfId="0" applyAlignment="1" applyBorder="1" applyFill="1" applyFont="1">
      <alignment horizontal="center" vertical="center"/>
    </xf>
    <xf borderId="74" fillId="5" fontId="3" numFmtId="0" xfId="0" applyAlignment="1" applyBorder="1" applyFill="1" applyFont="1">
      <alignment vertical="bottom"/>
    </xf>
    <xf borderId="74" fillId="5" fontId="13" numFmtId="3" xfId="0" applyAlignment="1" applyBorder="1" applyFill="1" applyFont="1" applyNumberFormat="1">
      <alignment horizontal="right" vertical="bottom"/>
    </xf>
    <xf borderId="74" fillId="5" fontId="3" numFmtId="0" xfId="0" applyAlignment="1" applyBorder="1" applyFill="1" applyFont="1">
      <alignment vertical="center"/>
    </xf>
    <xf borderId="74" fillId="5" fontId="13" numFmtId="166" xfId="0" applyAlignment="1" applyBorder="1" applyFill="1" applyFont="1" applyNumberFormat="1">
      <alignment horizontal="right" vertical="bottom"/>
    </xf>
    <xf borderId="74" fillId="5" fontId="3" numFmtId="166" xfId="0" applyAlignment="1" applyBorder="1" applyFill="1" applyFont="1" applyNumberFormat="1">
      <alignment vertical="center"/>
    </xf>
    <xf borderId="70" fillId="5" fontId="3" numFmtId="9" xfId="0" applyAlignment="1" applyBorder="1" applyFill="1" applyFont="1" applyNumberFormat="1">
      <alignment vertical="center"/>
    </xf>
    <xf borderId="70" fillId="5" fontId="3" numFmtId="0" xfId="0" applyAlignment="1" applyBorder="1" applyFill="1" applyFont="1">
      <alignment vertical="center"/>
    </xf>
    <xf borderId="71" fillId="5" fontId="3" numFmtId="165" xfId="0" applyAlignment="1" applyBorder="1" applyFill="1" applyFont="1" applyNumberFormat="1">
      <alignment vertical="center"/>
    </xf>
    <xf borderId="71" fillId="5" fontId="3" numFmtId="166" xfId="0" applyAlignment="1" applyBorder="1" applyFill="1" applyFont="1" applyNumberFormat="1">
      <alignment vertical="center"/>
    </xf>
    <xf borderId="0" fillId="0" fontId="3" numFmtId="171" xfId="0" applyAlignment="1" applyFont="1" applyNumberFormat="1">
      <alignment vertical="bottom"/>
    </xf>
    <xf borderId="75" fillId="5" fontId="30" numFmtId="0" xfId="0" applyAlignment="1" applyBorder="1" applyFill="1" applyFont="1">
      <alignment vertical="bottom"/>
    </xf>
    <xf borderId="67" fillId="5" fontId="30" numFmtId="166" xfId="0" applyAlignment="1" applyBorder="1" applyFill="1" applyFont="1" applyNumberFormat="1">
      <alignment horizontal="center" vertical="bottom"/>
    </xf>
    <xf borderId="67" fillId="5" fontId="27" numFmtId="166" xfId="0" applyBorder="1" applyFill="1" applyFont="1" applyNumberFormat="1"/>
    <xf borderId="67" fillId="5" fontId="32" numFmtId="9" xfId="0" applyAlignment="1" applyBorder="1" applyFill="1" applyFont="1" applyNumberFormat="1">
      <alignment horizontal="center" vertical="center"/>
    </xf>
    <xf borderId="67" fillId="5" fontId="32" numFmtId="166" xfId="0" applyAlignment="1" applyBorder="1" applyFill="1" applyFont="1" applyNumberFormat="1">
      <alignment horizontal="center" vertical="center"/>
    </xf>
    <xf borderId="67" fillId="5" fontId="32" numFmtId="9" xfId="0" applyAlignment="1" applyBorder="1" applyFill="1" applyFont="1" applyNumberFormat="1">
      <alignment horizontal="center" vertical="center"/>
    </xf>
    <xf borderId="76" fillId="5" fontId="32" numFmtId="9" xfId="0" applyAlignment="1" applyBorder="1" applyFill="1" applyFont="1" applyNumberFormat="1">
      <alignment horizontal="center"/>
    </xf>
    <xf borderId="67" fillId="5" fontId="32" numFmtId="169" xfId="0" applyAlignment="1" applyBorder="1" applyFill="1" applyFont="1" applyNumberFormat="1">
      <alignment horizontal="center" vertical="center"/>
    </xf>
    <xf borderId="36" fillId="0" fontId="2" numFmtId="0" xfId="0" applyAlignment="1" applyBorder="1" applyFont="1">
      <alignment vertical="center"/>
    </xf>
    <xf borderId="0" fillId="0" fontId="25" numFmtId="0" xfId="0" applyAlignment="1" applyFont="1">
      <alignment vertical="bottom"/>
    </xf>
    <xf borderId="0" fillId="0" fontId="25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167" xfId="0" applyAlignment="1" applyFont="1" applyNumberFormat="1">
      <alignment horizontal="center"/>
    </xf>
    <xf borderId="0" fillId="0" fontId="4" numFmtId="166" xfId="0" applyFont="1" applyNumberFormat="1"/>
    <xf borderId="0" fillId="0" fontId="20" numFmtId="166" xfId="0" applyFont="1" applyNumberFormat="1"/>
    <xf borderId="0" fillId="0" fontId="20" numFmtId="0" xfId="0" applyAlignment="1" applyFont="1">
      <alignment horizontal="center" vertical="center"/>
    </xf>
    <xf borderId="0" fillId="0" fontId="20" numFmtId="9" xfId="0" applyAlignment="1" applyFont="1" applyNumberFormat="1">
      <alignment horizontal="center" vertical="center"/>
    </xf>
    <xf borderId="0" fillId="0" fontId="4" numFmtId="167" xfId="0" applyFont="1" applyNumberFormat="1"/>
    <xf borderId="0" fillId="0" fontId="20" numFmtId="9" xfId="0" applyAlignment="1" applyFont="1" applyNumberFormat="1">
      <alignment horizontal="center"/>
    </xf>
    <xf borderId="0" fillId="0" fontId="20" numFmtId="16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9.63"/>
    <col customWidth="1" min="2" max="2" width="18.5"/>
    <col customWidth="1" min="3" max="3" width="20.38"/>
    <col customWidth="1" min="4" max="4" width="10.13"/>
    <col customWidth="1" min="5" max="5" width="18.88"/>
    <col customWidth="1" min="6" max="6" width="32.63"/>
    <col customWidth="1" min="7" max="7" width="4.75"/>
    <col customWidth="1" min="8" max="8" width="7.75"/>
    <col customWidth="1" min="9" max="9" width="11.75"/>
    <col customWidth="1" min="10" max="10" width="15.75"/>
    <col customWidth="1" min="11" max="12" width="14.25"/>
    <col customWidth="1" min="13" max="13" width="17.75"/>
    <col customWidth="1" min="14" max="14" width="15.38"/>
    <col customWidth="1" min="15" max="15" width="9.63"/>
    <col customWidth="1" min="16" max="16" width="14.0"/>
    <col customWidth="1" min="17" max="17" width="8.38"/>
    <col customWidth="1" min="18" max="18" width="10.38"/>
    <col customWidth="1" min="19" max="19" width="9.88"/>
  </cols>
  <sheetData>
    <row r="1">
      <c r="A1" s="24" t="s">
        <v>32</v>
      </c>
    </row>
    <row r="2" hidden="1">
      <c r="A2" s="27"/>
      <c r="B2" s="29"/>
      <c r="C2" s="30" t="s">
        <v>33</v>
      </c>
      <c r="D2" s="31" t="s">
        <v>24</v>
      </c>
      <c r="F2" s="33"/>
      <c r="G2" s="35"/>
      <c r="H2" s="27"/>
      <c r="I2" s="37"/>
      <c r="J2" s="39"/>
      <c r="K2" s="39"/>
      <c r="L2" s="39"/>
      <c r="M2" s="41"/>
      <c r="N2" s="43"/>
      <c r="O2" s="37"/>
      <c r="P2" s="46"/>
      <c r="Q2" s="47"/>
      <c r="R2" s="41"/>
    </row>
    <row r="3">
      <c r="A3" s="49"/>
      <c r="B3" s="50" t="s">
        <v>38</v>
      </c>
      <c r="C3" s="52" t="b">
        <v>0</v>
      </c>
      <c r="D3" s="54"/>
      <c r="E3" s="52" t="s">
        <v>29</v>
      </c>
      <c r="F3" s="33"/>
      <c r="G3" s="58"/>
      <c r="H3" s="49"/>
      <c r="I3" s="37"/>
      <c r="J3" s="39"/>
      <c r="K3" s="39"/>
      <c r="L3" s="39"/>
      <c r="M3" s="41"/>
      <c r="N3" s="43"/>
      <c r="O3" s="37"/>
      <c r="P3" s="46"/>
      <c r="Q3" s="47"/>
      <c r="R3" s="41"/>
    </row>
    <row r="4">
      <c r="A4" s="49"/>
      <c r="B4" s="50" t="s">
        <v>43</v>
      </c>
      <c r="C4" s="52" t="b">
        <v>0</v>
      </c>
      <c r="D4" s="61"/>
      <c r="G4" s="58"/>
      <c r="H4" s="49"/>
      <c r="I4" s="37"/>
      <c r="J4" s="39"/>
      <c r="K4" s="39"/>
      <c r="L4" s="39"/>
      <c r="M4" s="41"/>
      <c r="N4" s="43"/>
      <c r="O4" s="37"/>
      <c r="P4" s="46"/>
      <c r="Q4" s="47"/>
      <c r="R4" s="41"/>
    </row>
    <row r="5">
      <c r="A5" s="49"/>
      <c r="B5" s="63"/>
      <c r="C5" s="52"/>
      <c r="D5" s="61"/>
      <c r="G5" s="58"/>
      <c r="H5" s="49"/>
      <c r="I5" s="37"/>
      <c r="J5" s="39"/>
      <c r="K5" s="39"/>
      <c r="L5" s="39"/>
      <c r="M5" s="41"/>
      <c r="N5" s="43"/>
      <c r="O5" s="37"/>
      <c r="P5" s="46"/>
      <c r="Q5" s="47"/>
      <c r="R5" s="41"/>
    </row>
    <row r="6">
      <c r="A6" s="49"/>
      <c r="B6" s="68"/>
      <c r="C6" s="33"/>
      <c r="D6" s="54"/>
      <c r="E6" s="33"/>
      <c r="F6" s="33"/>
      <c r="G6" s="58"/>
      <c r="H6" s="49"/>
      <c r="I6" s="37"/>
      <c r="J6" s="39"/>
      <c r="K6" s="39"/>
      <c r="L6" s="39"/>
      <c r="M6" s="41"/>
      <c r="N6" s="43"/>
      <c r="O6" s="37"/>
      <c r="P6" s="46"/>
      <c r="Q6" s="47"/>
      <c r="R6" s="41"/>
    </row>
    <row r="7">
      <c r="A7" s="72"/>
      <c r="B7" s="74" t="s">
        <v>49</v>
      </c>
      <c r="C7" s="76"/>
      <c r="D7" s="77"/>
      <c r="E7" s="103" t="s">
        <v>52</v>
      </c>
      <c r="F7" s="76"/>
      <c r="G7" s="76"/>
      <c r="H7" s="77"/>
      <c r="I7" s="107" t="s">
        <v>71</v>
      </c>
      <c r="J7" s="76"/>
      <c r="K7" s="76"/>
      <c r="L7" s="76"/>
      <c r="M7" s="76"/>
      <c r="N7" s="77"/>
      <c r="O7" s="107" t="s">
        <v>81</v>
      </c>
      <c r="P7" s="76"/>
      <c r="Q7" s="76"/>
      <c r="R7" s="76"/>
      <c r="S7" s="108"/>
    </row>
    <row r="8">
      <c r="A8" s="109"/>
      <c r="B8" s="110" t="s">
        <v>93</v>
      </c>
      <c r="C8" s="111" t="s">
        <v>98</v>
      </c>
      <c r="D8" s="112"/>
      <c r="E8" s="111" t="s">
        <v>105</v>
      </c>
      <c r="F8" s="111" t="s">
        <v>98</v>
      </c>
      <c r="G8" s="113" t="s">
        <v>110</v>
      </c>
      <c r="H8" s="111" t="s">
        <v>3</v>
      </c>
      <c r="I8" s="114" t="s">
        <v>115</v>
      </c>
      <c r="J8" s="116" t="s">
        <v>117</v>
      </c>
      <c r="K8" s="116" t="s">
        <v>119</v>
      </c>
      <c r="L8" s="117" t="s">
        <v>124</v>
      </c>
      <c r="M8" s="118" t="s">
        <v>126</v>
      </c>
      <c r="N8" s="118" t="s">
        <v>131</v>
      </c>
      <c r="O8" s="114" t="s">
        <v>115</v>
      </c>
      <c r="P8" s="114" t="s">
        <v>119</v>
      </c>
      <c r="Q8" s="119" t="s">
        <v>124</v>
      </c>
      <c r="R8" s="118" t="s">
        <v>138</v>
      </c>
      <c r="S8" s="120" t="s">
        <v>140</v>
      </c>
    </row>
    <row r="9">
      <c r="A9" s="121" t="s">
        <v>145</v>
      </c>
      <c r="B9" s="122" t="s">
        <v>159</v>
      </c>
      <c r="C9" s="123" t="s">
        <v>162</v>
      </c>
      <c r="D9" s="126">
        <f>IFERROR(VLOOKUP(B9, 'Database Resto'!C:P, 9, FALSE),"")</f>
        <v>19900</v>
      </c>
      <c r="E9" s="127" t="s">
        <v>196</v>
      </c>
      <c r="F9" s="127" t="s">
        <v>199</v>
      </c>
      <c r="G9" s="129">
        <v>80.0</v>
      </c>
      <c r="H9" s="127" t="s">
        <v>56</v>
      </c>
      <c r="I9" s="131">
        <f>IFERROR(VLOOKUP(E9, 'Database Resto'!C:P, 13, FALSE),"")</f>
        <v>30.01848285</v>
      </c>
      <c r="J9" s="133">
        <f t="shared" ref="J9:J14" si="1">I9*1000</f>
        <v>30018.48285</v>
      </c>
      <c r="K9" s="133">
        <f>IFERROR(VLOOKUP(E9, 'Database Resto'!C:P, 13, FALSE)* G9, 0)</f>
        <v>2401.478628</v>
      </c>
      <c r="L9" s="138">
        <f>IF(D9="","", IFERROR(IF(B9="", K9/D9, SUMIFS($K:$K, $B:$B, B9)/D9), ""))</f>
        <v>0.6024457871</v>
      </c>
      <c r="M9" s="139">
        <f>D9-SUM(K9:K17)</f>
        <v>7911.328837</v>
      </c>
      <c r="N9" s="140">
        <f>IFERROR(M9/D9, )</f>
        <v>0.3975542129</v>
      </c>
      <c r="O9" s="141">
        <f t="array" ref="O9:O396">IF(E9:E396="","",IFERROR(VLOOKUP(E9:E396,'Harga Bpp Resto'!B:N,9,FALSE),""))</f>
        <v>36.02217942</v>
      </c>
      <c r="P9" s="142">
        <f t="shared" ref="P9:P15" si="2">IF(O9=0, G9*I9, G9*O9)</f>
        <v>2881.774354</v>
      </c>
      <c r="Q9" s="147">
        <f>IF(D9="","", IFERROR(SUMIFS($P:$P, $B:$B, B9)/D9, 0))</f>
        <v>0.6644927334</v>
      </c>
      <c r="R9" s="148">
        <f>IF(D9="","", D9 - SUMIFS($P:$P, $B:$B, B9))</f>
        <v>6676.594605</v>
      </c>
      <c r="S9" s="149">
        <f>IFERROR(R9/D9, )</f>
        <v>0.3355072666</v>
      </c>
    </row>
    <row r="10">
      <c r="A10" s="150"/>
      <c r="B10" s="151" t="s">
        <v>159</v>
      </c>
      <c r="C10" s="136"/>
      <c r="D10" s="137"/>
      <c r="E10" s="152" t="s">
        <v>438</v>
      </c>
      <c r="F10" s="152" t="s">
        <v>440</v>
      </c>
      <c r="G10" s="2">
        <v>95.0</v>
      </c>
      <c r="H10" s="152" t="s">
        <v>56</v>
      </c>
      <c r="I10" s="153">
        <f>IFERROR(VLOOKUP(E10, 'Database Resto'!C:P, 13, FALSE),"")</f>
        <v>25</v>
      </c>
      <c r="J10" s="154">
        <f t="shared" si="1"/>
        <v>25000</v>
      </c>
      <c r="K10" s="154">
        <f>IFERROR(VLOOKUP(E10, 'Database Resto'!C:P, 13, FALSE)* G10, 0)</f>
        <v>2375</v>
      </c>
      <c r="L10" s="137"/>
      <c r="M10" s="137"/>
      <c r="N10" s="137"/>
      <c r="O10" s="155"/>
      <c r="P10" s="156">
        <f t="shared" si="2"/>
        <v>2375</v>
      </c>
      <c r="Q10" s="143"/>
      <c r="R10" s="137"/>
      <c r="S10" s="157"/>
    </row>
    <row r="11">
      <c r="A11" s="150"/>
      <c r="B11" s="151" t="s">
        <v>159</v>
      </c>
      <c r="C11" s="136"/>
      <c r="D11" s="137"/>
      <c r="E11" s="152" t="s">
        <v>503</v>
      </c>
      <c r="F11" s="152" t="s">
        <v>506</v>
      </c>
      <c r="G11" s="4">
        <v>80.0</v>
      </c>
      <c r="H11" s="152" t="s">
        <v>56</v>
      </c>
      <c r="I11" s="153">
        <f>IFERROR(VLOOKUP(E11, 'Database Resto'!C:P, 13, FALSE),"")</f>
        <v>18</v>
      </c>
      <c r="J11" s="154">
        <f t="shared" si="1"/>
        <v>18000</v>
      </c>
      <c r="K11" s="154">
        <f>IFERROR(VLOOKUP(E11, 'Database Resto'!C:P, 13, FALSE)* G11, 0)</f>
        <v>1440</v>
      </c>
      <c r="L11" s="137"/>
      <c r="M11" s="137"/>
      <c r="N11" s="137"/>
      <c r="O11" s="155"/>
      <c r="P11" s="156">
        <f t="shared" si="2"/>
        <v>1440</v>
      </c>
      <c r="Q11" s="143"/>
      <c r="R11" s="137"/>
      <c r="S11" s="157"/>
      <c r="T11" s="158"/>
    </row>
    <row r="12">
      <c r="A12" s="150"/>
      <c r="B12" s="151" t="s">
        <v>159</v>
      </c>
      <c r="C12" s="136"/>
      <c r="D12" s="137"/>
      <c r="E12" s="152" t="s">
        <v>551</v>
      </c>
      <c r="F12" s="152" t="s">
        <v>554</v>
      </c>
      <c r="G12" s="4">
        <v>80.0</v>
      </c>
      <c r="H12" s="152" t="s">
        <v>56</v>
      </c>
      <c r="I12" s="153">
        <f>IFERROR(VLOOKUP(E12, 'Database Resto'!C:P, 13, FALSE),"")</f>
        <v>25</v>
      </c>
      <c r="J12" s="154">
        <f t="shared" si="1"/>
        <v>25000</v>
      </c>
      <c r="K12" s="154">
        <f>IFERROR(VLOOKUP(E12, 'Database Resto'!C:P, 13, FALSE)* G12, 0)</f>
        <v>2000</v>
      </c>
      <c r="L12" s="137"/>
      <c r="M12" s="137"/>
      <c r="N12" s="137"/>
      <c r="O12" s="155"/>
      <c r="P12" s="156">
        <f t="shared" si="2"/>
        <v>2000</v>
      </c>
      <c r="Q12" s="143"/>
      <c r="R12" s="137"/>
      <c r="S12" s="157"/>
    </row>
    <row r="13">
      <c r="A13" s="150"/>
      <c r="B13" s="151" t="s">
        <v>159</v>
      </c>
      <c r="C13" s="136"/>
      <c r="D13" s="137"/>
      <c r="E13" s="152" t="s">
        <v>584</v>
      </c>
      <c r="F13" s="152" t="s">
        <v>585</v>
      </c>
      <c r="G13" s="4">
        <v>80.0</v>
      </c>
      <c r="H13" s="152" t="s">
        <v>56</v>
      </c>
      <c r="I13" s="153">
        <f>IFERROR(VLOOKUP(E13, 'Database Resto'!C:P, 13, FALSE),"")</f>
        <v>25.23527994</v>
      </c>
      <c r="J13" s="154">
        <f t="shared" si="1"/>
        <v>25235.27994</v>
      </c>
      <c r="K13" s="154">
        <f>IFERROR(VLOOKUP(E13, 'Database Resto'!C:P, 13, FALSE)* G13, 0)</f>
        <v>2018.822395</v>
      </c>
      <c r="L13" s="137"/>
      <c r="M13" s="137"/>
      <c r="N13" s="137"/>
      <c r="O13" s="155">
        <v>30.282335931457133</v>
      </c>
      <c r="P13" s="156">
        <f t="shared" si="2"/>
        <v>2422.586875</v>
      </c>
      <c r="Q13" s="143"/>
      <c r="R13" s="137"/>
      <c r="S13" s="157"/>
    </row>
    <row r="14">
      <c r="A14" s="150"/>
      <c r="B14" s="151" t="s">
        <v>159</v>
      </c>
      <c r="C14" s="136"/>
      <c r="D14" s="137"/>
      <c r="E14" s="152" t="s">
        <v>627</v>
      </c>
      <c r="F14" s="152" t="s">
        <v>628</v>
      </c>
      <c r="G14" s="4">
        <v>80.0</v>
      </c>
      <c r="H14" s="152" t="s">
        <v>56</v>
      </c>
      <c r="I14" s="153">
        <f>IFERROR(VLOOKUP(E14, 'Database Resto'!C:P, 13, FALSE),"")</f>
        <v>21.91712674</v>
      </c>
      <c r="J14" s="154">
        <f t="shared" si="1"/>
        <v>21917.12674</v>
      </c>
      <c r="K14" s="154">
        <f>IFERROR(VLOOKUP(E14, 'Database Resto'!C:P, 13, FALSE)* G14, 0)</f>
        <v>1753.370139</v>
      </c>
      <c r="L14" s="137"/>
      <c r="M14" s="137"/>
      <c r="N14" s="137"/>
      <c r="O14" s="159">
        <v>26.300552090483155</v>
      </c>
      <c r="P14" s="156">
        <f t="shared" si="2"/>
        <v>2104.044167</v>
      </c>
      <c r="Q14" s="143"/>
      <c r="R14" s="137"/>
      <c r="S14" s="157"/>
    </row>
    <row r="15">
      <c r="A15" s="150"/>
      <c r="B15" s="151" t="s">
        <v>159</v>
      </c>
      <c r="C15" s="136"/>
      <c r="D15" s="137"/>
      <c r="E15" s="160" t="str">
        <f>IFERROR(__xludf.DUMMYFUNCTION("IF(C3, FILTER(Pembungkus!B:E, Pembungkus!A:A=""Ice Campur""), """")"),"")</f>
        <v/>
      </c>
      <c r="F15" s="161"/>
      <c r="G15" s="162"/>
      <c r="H15" s="161"/>
      <c r="I15" s="163" t="str">
        <f>IFERROR(VLOOKUP(E15, 'Database Resto'!C:P, 13, FALSE),"")</f>
        <v/>
      </c>
      <c r="J15" s="164" t="str">
        <f>I15</f>
        <v/>
      </c>
      <c r="K15" s="164">
        <f>IFERROR(VLOOKUP(E15, 'Database Resto'!C:P, 13, FALSE)* G15, 0)</f>
        <v>0</v>
      </c>
      <c r="L15" s="137"/>
      <c r="M15" s="137"/>
      <c r="N15" s="137"/>
      <c r="O15" s="165" t="s">
        <v>733</v>
      </c>
      <c r="P15" s="166">
        <f t="shared" si="2"/>
        <v>0</v>
      </c>
      <c r="Q15" s="143"/>
      <c r="R15" s="137"/>
      <c r="S15" s="157"/>
    </row>
    <row r="16">
      <c r="A16" s="150"/>
      <c r="B16" s="151"/>
      <c r="C16" s="136"/>
      <c r="D16" s="137"/>
      <c r="E16" s="160"/>
      <c r="F16" s="161"/>
      <c r="G16" s="162"/>
      <c r="H16" s="161"/>
      <c r="I16" s="163"/>
      <c r="J16" s="164"/>
      <c r="K16" s="164"/>
      <c r="L16" s="137"/>
      <c r="M16" s="137"/>
      <c r="N16" s="137"/>
      <c r="O16" s="167" t="s">
        <v>733</v>
      </c>
      <c r="P16" s="166"/>
      <c r="Q16" s="143"/>
      <c r="R16" s="137"/>
      <c r="S16" s="157"/>
    </row>
    <row r="17">
      <c r="A17" s="150"/>
      <c r="B17" s="151" t="s">
        <v>159</v>
      </c>
      <c r="C17" s="66"/>
      <c r="D17" s="67"/>
      <c r="E17" s="160"/>
      <c r="F17" s="161"/>
      <c r="G17" s="162"/>
      <c r="H17" s="161"/>
      <c r="I17" s="163" t="str">
        <f>IFERROR(VLOOKUP(E17, 'Database Resto'!C:P, 13, FALSE),"")</f>
        <v/>
      </c>
      <c r="J17" s="164" t="str">
        <f>I17</f>
        <v/>
      </c>
      <c r="K17" s="164">
        <f>IFERROR(VLOOKUP(E17, 'Database Resto'!C:P, 13, FALSE)* G17, 0)</f>
        <v>0</v>
      </c>
      <c r="L17" s="67"/>
      <c r="M17" s="67"/>
      <c r="N17" s="67"/>
      <c r="O17" s="167" t="s">
        <v>733</v>
      </c>
      <c r="P17" s="166">
        <f>IF(O17=0, G17*I17, G17*O17)</f>
        <v>0</v>
      </c>
      <c r="Q17" s="75"/>
      <c r="R17" s="67"/>
      <c r="S17" s="168"/>
    </row>
    <row r="18" ht="18.0" customHeight="1">
      <c r="A18" s="150"/>
      <c r="B18" s="169"/>
      <c r="C18" s="170"/>
      <c r="D18" s="171">
        <f>SUM(D9:D17)</f>
        <v>19900</v>
      </c>
      <c r="E18" s="172"/>
      <c r="F18" s="173"/>
      <c r="G18" s="174"/>
      <c r="H18" s="172"/>
      <c r="I18" s="175" t="str">
        <f>IFERROR(VLOOKUP(E18, 'Database Resto'!C:P, 13, FALSE),"")</f>
        <v/>
      </c>
      <c r="J18" s="176"/>
      <c r="K18" s="176">
        <f>SUM(K9:K17)</f>
        <v>11988.67116</v>
      </c>
      <c r="L18" s="177">
        <f>IFERROR(K18/D9, 0)</f>
        <v>0.6024457871</v>
      </c>
      <c r="M18" s="178">
        <f>D9-K18</f>
        <v>7911.328837</v>
      </c>
      <c r="N18" s="179">
        <f t="shared" ref="N18:N19" si="3">IFERROR(M18/D18, )</f>
        <v>0.3975542129</v>
      </c>
      <c r="O18" s="180" t="s">
        <v>733</v>
      </c>
      <c r="P18" s="181">
        <f>SUM(P9:P17)</f>
        <v>13223.4054</v>
      </c>
      <c r="Q18" s="182">
        <f>IFERROR(P18/D9, 0)</f>
        <v>0.6644927334</v>
      </c>
      <c r="R18" s="184">
        <f>D9-P18</f>
        <v>6676.594605</v>
      </c>
      <c r="S18" s="186">
        <f t="shared" ref="S18:S19" si="4">IFERROR(R18/D18, )</f>
        <v>0.3355072666</v>
      </c>
    </row>
    <row r="19" hidden="1">
      <c r="A19" s="150"/>
      <c r="B19" s="151" t="s">
        <v>924</v>
      </c>
      <c r="C19" s="188" t="s">
        <v>927</v>
      </c>
      <c r="D19" s="190">
        <f>IFERROR(VLOOKUP(B19, 'Database Resto'!C:P, 9, FALSE),"")</f>
        <v>37000</v>
      </c>
      <c r="E19" s="152" t="s">
        <v>196</v>
      </c>
      <c r="F19" s="152" t="s">
        <v>199</v>
      </c>
      <c r="G19" s="4">
        <v>160.0</v>
      </c>
      <c r="H19" s="152" t="s">
        <v>56</v>
      </c>
      <c r="I19" s="153">
        <f>IFERROR(VLOOKUP(E19, 'Database Resto'!C:P, 13, FALSE),"")</f>
        <v>30.01848285</v>
      </c>
      <c r="J19" s="154">
        <f t="shared" ref="J19:J24" si="5">I19*1000</f>
        <v>30018.48285</v>
      </c>
      <c r="K19" s="154">
        <f>IFERROR(VLOOKUP(E19, 'Database Resto'!C:P, 13, FALSE)* G19, 0)</f>
        <v>4802.957256</v>
      </c>
      <c r="L19" s="193">
        <f>IF(D19="","", IFERROR(IF(B19="", K19/D19, SUMIFS($K:$K, $B:$B, B19)/D19), ""))</f>
        <v>0.6480362791</v>
      </c>
      <c r="M19" s="195">
        <f>D19-SUM(K19:K24)</f>
        <v>13022.65767</v>
      </c>
      <c r="N19" s="196">
        <f t="shared" si="3"/>
        <v>0.3519637209</v>
      </c>
      <c r="O19" s="159">
        <v>36.02217942069783</v>
      </c>
      <c r="Q19" s="200">
        <f>IF(D19="","", IFERROR(SUMIFS($P:$P, $B:$B, B19)/D19, 0))</f>
        <v>0.5590070833</v>
      </c>
      <c r="R19" s="206">
        <f>IF(D19="","", D19 - SUMIFS($P:$P, $B:$B, B19))</f>
        <v>16316.73792</v>
      </c>
      <c r="S19" s="207">
        <f t="shared" si="4"/>
        <v>0.4409929167</v>
      </c>
    </row>
    <row r="20" hidden="1">
      <c r="A20" s="150"/>
      <c r="B20" s="151" t="s">
        <v>924</v>
      </c>
      <c r="C20" s="136"/>
      <c r="D20" s="137"/>
      <c r="E20" s="152" t="s">
        <v>438</v>
      </c>
      <c r="F20" s="152" t="s">
        <v>440</v>
      </c>
      <c r="G20" s="4">
        <v>190.0</v>
      </c>
      <c r="H20" s="152" t="s">
        <v>56</v>
      </c>
      <c r="I20" s="153">
        <f>IFERROR(VLOOKUP(E20, 'Database Resto'!C:P, 13, FALSE),"")</f>
        <v>25</v>
      </c>
      <c r="J20" s="154">
        <f t="shared" si="5"/>
        <v>25000</v>
      </c>
      <c r="K20" s="154">
        <f>IFERROR(VLOOKUP(E20, 'Database Resto'!C:P, 13, FALSE)* G20, 0)</f>
        <v>4750</v>
      </c>
      <c r="L20" s="137"/>
      <c r="M20" s="137"/>
      <c r="N20" s="137"/>
      <c r="O20" s="159"/>
      <c r="P20" s="156">
        <f t="shared" ref="P20:P24" si="6">IF(O20=0, G20*I20, G20*O20)</f>
        <v>4750</v>
      </c>
      <c r="Q20" s="157"/>
      <c r="R20" s="137"/>
      <c r="S20" s="157"/>
    </row>
    <row r="21" hidden="1">
      <c r="A21" s="150"/>
      <c r="B21" s="151" t="s">
        <v>924</v>
      </c>
      <c r="C21" s="136"/>
      <c r="D21" s="137"/>
      <c r="E21" s="152" t="s">
        <v>503</v>
      </c>
      <c r="F21" s="152" t="s">
        <v>506</v>
      </c>
      <c r="G21" s="4">
        <v>160.0</v>
      </c>
      <c r="H21" s="152" t="s">
        <v>56</v>
      </c>
      <c r="I21" s="153">
        <f>IFERROR(VLOOKUP(E21, 'Database Resto'!C:P, 13, FALSE),"")</f>
        <v>18</v>
      </c>
      <c r="J21" s="154">
        <f t="shared" si="5"/>
        <v>18000</v>
      </c>
      <c r="K21" s="154">
        <f>IFERROR(VLOOKUP(E21, 'Database Resto'!C:P, 13, FALSE)* G21, 0)</f>
        <v>2880</v>
      </c>
      <c r="L21" s="137"/>
      <c r="M21" s="137"/>
      <c r="N21" s="137"/>
      <c r="O21" s="209"/>
      <c r="P21" s="156">
        <f t="shared" si="6"/>
        <v>2880</v>
      </c>
      <c r="Q21" s="157"/>
      <c r="R21" s="137"/>
      <c r="S21" s="157"/>
    </row>
    <row r="22" hidden="1">
      <c r="A22" s="150"/>
      <c r="B22" s="151" t="s">
        <v>924</v>
      </c>
      <c r="C22" s="136"/>
      <c r="D22" s="137"/>
      <c r="E22" s="152" t="s">
        <v>551</v>
      </c>
      <c r="F22" s="152" t="s">
        <v>554</v>
      </c>
      <c r="G22" s="4">
        <v>160.0</v>
      </c>
      <c r="H22" s="152" t="s">
        <v>56</v>
      </c>
      <c r="I22" s="153">
        <f>IFERROR(VLOOKUP(E22, 'Database Resto'!C:P, 13, FALSE),"")</f>
        <v>25</v>
      </c>
      <c r="J22" s="154">
        <f t="shared" si="5"/>
        <v>25000</v>
      </c>
      <c r="K22" s="154">
        <f>IFERROR(VLOOKUP(E22, 'Database Resto'!C:P, 13, FALSE)* G22, 0)</f>
        <v>4000</v>
      </c>
      <c r="L22" s="137"/>
      <c r="M22" s="137"/>
      <c r="N22" s="137"/>
      <c r="O22" s="159"/>
      <c r="P22" s="156">
        <f t="shared" si="6"/>
        <v>4000</v>
      </c>
      <c r="Q22" s="157"/>
      <c r="R22" s="137"/>
      <c r="S22" s="157"/>
    </row>
    <row r="23" hidden="1">
      <c r="A23" s="150"/>
      <c r="B23" s="151" t="s">
        <v>924</v>
      </c>
      <c r="C23" s="136"/>
      <c r="D23" s="137"/>
      <c r="E23" s="152" t="s">
        <v>584</v>
      </c>
      <c r="F23" s="152" t="s">
        <v>585</v>
      </c>
      <c r="G23" s="4">
        <v>160.0</v>
      </c>
      <c r="H23" s="152" t="s">
        <v>56</v>
      </c>
      <c r="I23" s="153">
        <f>IFERROR(VLOOKUP(E23, 'Database Resto'!C:P, 13, FALSE),"")</f>
        <v>25.23527994</v>
      </c>
      <c r="J23" s="154">
        <f t="shared" si="5"/>
        <v>25235.27994</v>
      </c>
      <c r="K23" s="154">
        <f>IFERROR(VLOOKUP(E23, 'Database Resto'!C:P, 13, FALSE)* G23, 0)</f>
        <v>4037.644791</v>
      </c>
      <c r="L23" s="137"/>
      <c r="M23" s="137"/>
      <c r="N23" s="137"/>
      <c r="O23" s="159">
        <v>30.282335931457133</v>
      </c>
      <c r="P23" s="156">
        <f t="shared" si="6"/>
        <v>4845.173749</v>
      </c>
      <c r="Q23" s="157"/>
      <c r="R23" s="137"/>
      <c r="S23" s="157"/>
    </row>
    <row r="24" hidden="1">
      <c r="A24" s="150"/>
      <c r="B24" s="151" t="s">
        <v>924</v>
      </c>
      <c r="C24" s="66"/>
      <c r="D24" s="67"/>
      <c r="E24" s="152" t="s">
        <v>627</v>
      </c>
      <c r="F24" s="152" t="s">
        <v>628</v>
      </c>
      <c r="G24" s="4">
        <v>160.0</v>
      </c>
      <c r="H24" s="152" t="s">
        <v>56</v>
      </c>
      <c r="I24" s="153">
        <f>IFERROR(VLOOKUP(E24, 'Database Resto'!C:P, 13, FALSE),"")</f>
        <v>21.91712674</v>
      </c>
      <c r="J24" s="154">
        <f t="shared" si="5"/>
        <v>21917.12674</v>
      </c>
      <c r="K24" s="154">
        <f>IFERROR(VLOOKUP(E24, 'Database Resto'!C:P, 13, FALSE)* G24, 0)</f>
        <v>3506.740279</v>
      </c>
      <c r="L24" s="67"/>
      <c r="M24" s="67"/>
      <c r="N24" s="67"/>
      <c r="O24" s="159">
        <v>26.300552090483155</v>
      </c>
      <c r="P24" s="156">
        <f t="shared" si="6"/>
        <v>4208.088334</v>
      </c>
      <c r="Q24" s="168"/>
      <c r="R24" s="67"/>
      <c r="S24" s="168"/>
    </row>
    <row r="25" ht="18.0" hidden="1" customHeight="1">
      <c r="A25" s="150"/>
      <c r="B25" s="169"/>
      <c r="C25" s="170" t="s">
        <v>927</v>
      </c>
      <c r="D25" s="171">
        <f>SUM(D19:D24)</f>
        <v>37000</v>
      </c>
      <c r="E25" s="172"/>
      <c r="F25" s="172"/>
      <c r="G25" s="174"/>
      <c r="H25" s="172"/>
      <c r="I25" s="175" t="str">
        <f>IFERROR(VLOOKUP(E25, 'Database Resto'!C:P, 13, FALSE),"")</f>
        <v/>
      </c>
      <c r="J25" s="176"/>
      <c r="K25" s="176">
        <f>SUM(K19:K24)</f>
        <v>23977.34233</v>
      </c>
      <c r="L25" s="177">
        <f>IFERROR(K25/D19, 0)</f>
        <v>0.6480362791</v>
      </c>
      <c r="M25" s="178">
        <f>D19-K25</f>
        <v>13022.65767</v>
      </c>
      <c r="N25" s="179">
        <f t="shared" ref="N25:N26" si="7">IFERROR(M25/D25, )</f>
        <v>0.3519637209</v>
      </c>
      <c r="O25" s="180" t="s">
        <v>733</v>
      </c>
      <c r="P25" s="181">
        <f>SUM(P19:P24)</f>
        <v>20683.26208</v>
      </c>
      <c r="Q25" s="211">
        <f>IFERROR(P25/D19, 0)</f>
        <v>0.5590070833</v>
      </c>
      <c r="R25" s="184">
        <f>D19-P25</f>
        <v>16316.73792</v>
      </c>
      <c r="S25" s="186">
        <f t="shared" ref="S25:S26" si="8">IFERROR(R25/D25, )</f>
        <v>0.4409929167</v>
      </c>
    </row>
    <row r="26" hidden="1">
      <c r="A26" s="150"/>
      <c r="B26" s="151" t="s">
        <v>1380</v>
      </c>
      <c r="C26" s="188" t="s">
        <v>1381</v>
      </c>
      <c r="D26" s="190">
        <f>IFERROR(VLOOKUP(B26, 'Database Resto'!C:P, 9, FALSE),"")</f>
        <v>71900</v>
      </c>
      <c r="E26" s="152" t="s">
        <v>196</v>
      </c>
      <c r="F26" s="152" t="s">
        <v>199</v>
      </c>
      <c r="G26" s="4">
        <v>320.0</v>
      </c>
      <c r="H26" s="152" t="s">
        <v>56</v>
      </c>
      <c r="I26" s="153">
        <f>IFERROR(VLOOKUP(E26, 'Database Resto'!C:P, 13, FALSE),"")</f>
        <v>30.01848285</v>
      </c>
      <c r="J26" s="154">
        <f t="shared" ref="J26:J31" si="9">I26*1000</f>
        <v>30018.48285</v>
      </c>
      <c r="K26" s="154">
        <f>IFERROR(VLOOKUP(E26, 'Database Resto'!C:P, 13, FALSE)* G26, 0)</f>
        <v>9605.914512</v>
      </c>
      <c r="L26" s="193">
        <f>IF(D26="","", IFERROR(IF(B26="", K26/D26, SUMIFS($K:$K, $B:$B, B26)/D26), ""))</f>
        <v>0.6669636252</v>
      </c>
      <c r="M26" s="212">
        <f>D26-SUM(K26:K31)</f>
        <v>23945.31535</v>
      </c>
      <c r="N26" s="196">
        <f t="shared" si="7"/>
        <v>0.3330363748</v>
      </c>
      <c r="O26" s="159">
        <v>36.02217942069783</v>
      </c>
      <c r="P26" s="156">
        <f t="shared" ref="P26:P31" si="10">IF(O26=0, G26*I26, G26*O26)</f>
        <v>11527.09741</v>
      </c>
      <c r="Q26" s="200">
        <f>IF(D26="","", IFERROR(SUMIFS($P:$P, $B:$B, B26)/D26, 0))</f>
        <v>0.7356553767</v>
      </c>
      <c r="R26" s="206">
        <f>IF(D26="","", D26 - SUMIFS($P:$P, $B:$B, B26))</f>
        <v>19006.37842</v>
      </c>
      <c r="S26" s="207">
        <f t="shared" si="8"/>
        <v>0.2643446233</v>
      </c>
    </row>
    <row r="27" hidden="1">
      <c r="A27" s="150"/>
      <c r="B27" s="151" t="s">
        <v>1380</v>
      </c>
      <c r="C27" s="136"/>
      <c r="D27" s="137"/>
      <c r="E27" s="152" t="s">
        <v>438</v>
      </c>
      <c r="F27" s="152" t="s">
        <v>440</v>
      </c>
      <c r="G27" s="4">
        <v>380.0</v>
      </c>
      <c r="H27" s="152" t="s">
        <v>56</v>
      </c>
      <c r="I27" s="153">
        <f>IFERROR(VLOOKUP(E27, 'Database Resto'!C:P, 13, FALSE),"")</f>
        <v>25</v>
      </c>
      <c r="J27" s="154">
        <f t="shared" si="9"/>
        <v>25000</v>
      </c>
      <c r="K27" s="154">
        <f>IFERROR(VLOOKUP(E27, 'Database Resto'!C:P, 13, FALSE)* G27, 0)</f>
        <v>9500</v>
      </c>
      <c r="L27" s="137"/>
      <c r="M27" s="137"/>
      <c r="N27" s="137"/>
      <c r="O27" s="159"/>
      <c r="P27" s="156">
        <f t="shared" si="10"/>
        <v>9500</v>
      </c>
      <c r="Q27" s="157"/>
      <c r="R27" s="137"/>
      <c r="S27" s="157"/>
    </row>
    <row r="28" hidden="1">
      <c r="A28" s="150"/>
      <c r="B28" s="151" t="s">
        <v>1380</v>
      </c>
      <c r="C28" s="136"/>
      <c r="D28" s="137"/>
      <c r="E28" s="152" t="s">
        <v>503</v>
      </c>
      <c r="F28" s="152" t="s">
        <v>506</v>
      </c>
      <c r="G28" s="4">
        <v>320.0</v>
      </c>
      <c r="H28" s="152" t="s">
        <v>56</v>
      </c>
      <c r="I28" s="153">
        <f>IFERROR(VLOOKUP(E28, 'Database Resto'!C:P, 13, FALSE),"")</f>
        <v>18</v>
      </c>
      <c r="J28" s="154">
        <f t="shared" si="9"/>
        <v>18000</v>
      </c>
      <c r="K28" s="154">
        <f>IFERROR(VLOOKUP(E28, 'Database Resto'!C:P, 13, FALSE)* G28, 0)</f>
        <v>5760</v>
      </c>
      <c r="L28" s="137"/>
      <c r="M28" s="137"/>
      <c r="N28" s="137"/>
      <c r="O28" s="159"/>
      <c r="P28" s="156">
        <f t="shared" si="10"/>
        <v>5760</v>
      </c>
      <c r="Q28" s="157"/>
      <c r="R28" s="137"/>
      <c r="S28" s="157"/>
    </row>
    <row r="29" hidden="1">
      <c r="A29" s="150"/>
      <c r="B29" s="151" t="s">
        <v>1380</v>
      </c>
      <c r="C29" s="136"/>
      <c r="D29" s="137"/>
      <c r="E29" s="152" t="s">
        <v>551</v>
      </c>
      <c r="F29" s="152" t="s">
        <v>554</v>
      </c>
      <c r="G29" s="4">
        <v>320.0</v>
      </c>
      <c r="H29" s="152" t="s">
        <v>56</v>
      </c>
      <c r="I29" s="153">
        <f>IFERROR(VLOOKUP(E29, 'Database Resto'!C:P, 13, FALSE),"")</f>
        <v>25</v>
      </c>
      <c r="J29" s="154">
        <f t="shared" si="9"/>
        <v>25000</v>
      </c>
      <c r="K29" s="154">
        <f>IFERROR(VLOOKUP(E29, 'Database Resto'!C:P, 13, FALSE)* G29, 0)</f>
        <v>8000</v>
      </c>
      <c r="L29" s="137"/>
      <c r="M29" s="137"/>
      <c r="N29" s="137"/>
      <c r="O29" s="159"/>
      <c r="P29" s="156">
        <f t="shared" si="10"/>
        <v>8000</v>
      </c>
      <c r="Q29" s="157"/>
      <c r="R29" s="137"/>
      <c r="S29" s="157"/>
    </row>
    <row r="30" hidden="1">
      <c r="A30" s="150"/>
      <c r="B30" s="151" t="s">
        <v>1380</v>
      </c>
      <c r="C30" s="136"/>
      <c r="D30" s="137"/>
      <c r="E30" s="152" t="s">
        <v>584</v>
      </c>
      <c r="F30" s="152" t="s">
        <v>585</v>
      </c>
      <c r="G30" s="4">
        <v>320.0</v>
      </c>
      <c r="H30" s="152" t="s">
        <v>56</v>
      </c>
      <c r="I30" s="153">
        <f>IFERROR(VLOOKUP(E30, 'Database Resto'!C:P, 13, FALSE),"")</f>
        <v>25.23527994</v>
      </c>
      <c r="J30" s="154">
        <f t="shared" si="9"/>
        <v>25235.27994</v>
      </c>
      <c r="K30" s="154">
        <f>IFERROR(VLOOKUP(E30, 'Database Resto'!C:P, 13, FALSE)* G30, 0)</f>
        <v>8075.289582</v>
      </c>
      <c r="L30" s="137"/>
      <c r="M30" s="137"/>
      <c r="N30" s="137"/>
      <c r="O30" s="159">
        <v>30.282335931457133</v>
      </c>
      <c r="P30" s="156">
        <f t="shared" si="10"/>
        <v>9690.347498</v>
      </c>
      <c r="Q30" s="157"/>
      <c r="R30" s="137"/>
      <c r="S30" s="157"/>
    </row>
    <row r="31" hidden="1">
      <c r="A31" s="150"/>
      <c r="B31" s="151" t="s">
        <v>1380</v>
      </c>
      <c r="C31" s="66"/>
      <c r="D31" s="67"/>
      <c r="E31" s="152" t="s">
        <v>627</v>
      </c>
      <c r="F31" s="152" t="s">
        <v>628</v>
      </c>
      <c r="G31" s="4">
        <v>320.0</v>
      </c>
      <c r="H31" s="152" t="s">
        <v>56</v>
      </c>
      <c r="I31" s="153">
        <f>IFERROR(VLOOKUP(E31, 'Database Resto'!C:P, 13, FALSE),"")</f>
        <v>21.91712674</v>
      </c>
      <c r="J31" s="154">
        <f t="shared" si="9"/>
        <v>21917.12674</v>
      </c>
      <c r="K31" s="154">
        <f>IFERROR(VLOOKUP(E31, 'Database Resto'!C:P, 13, FALSE)* G31, 0)</f>
        <v>7013.480557</v>
      </c>
      <c r="L31" s="67"/>
      <c r="M31" s="67"/>
      <c r="N31" s="67"/>
      <c r="O31" s="159">
        <v>26.300552090483155</v>
      </c>
      <c r="P31" s="156">
        <f t="shared" si="10"/>
        <v>8416.176669</v>
      </c>
      <c r="Q31" s="168"/>
      <c r="R31" s="67"/>
      <c r="S31" s="168"/>
    </row>
    <row r="32" ht="18.0" hidden="1" customHeight="1">
      <c r="A32" s="150"/>
      <c r="B32" s="169"/>
      <c r="C32" s="170" t="s">
        <v>1381</v>
      </c>
      <c r="D32" s="171">
        <f>SUM(D26:D31)</f>
        <v>71900</v>
      </c>
      <c r="E32" s="172"/>
      <c r="F32" s="172"/>
      <c r="G32" s="174"/>
      <c r="H32" s="172"/>
      <c r="I32" s="175" t="str">
        <f>IFERROR(VLOOKUP(E32, 'Database Resto'!C:P, 13, FALSE),"")</f>
        <v/>
      </c>
      <c r="J32" s="176">
        <v>0.0</v>
      </c>
      <c r="K32" s="176">
        <f>SUM(K26:K31)</f>
        <v>47954.68465</v>
      </c>
      <c r="L32" s="177">
        <f>IFERROR(K32/D26, 0)</f>
        <v>0.6669636252</v>
      </c>
      <c r="M32" s="178">
        <f>D26-K32</f>
        <v>23945.31535</v>
      </c>
      <c r="N32" s="179">
        <f t="shared" ref="N32:N33" si="11">IFERROR(M32/D32, )</f>
        <v>0.3330363748</v>
      </c>
      <c r="O32" s="180" t="s">
        <v>733</v>
      </c>
      <c r="P32" s="181">
        <f>SUM(P26:P31)</f>
        <v>52893.62158</v>
      </c>
      <c r="Q32" s="211">
        <f>IFERROR(P32/D26, 0)</f>
        <v>0.7356553767</v>
      </c>
      <c r="R32" s="184">
        <f>D26-P32</f>
        <v>19006.37842</v>
      </c>
      <c r="S32" s="186">
        <f t="shared" ref="S32:S33" si="12">IFERROR(R32/D32, )</f>
        <v>0.2643446233</v>
      </c>
    </row>
    <row r="33" hidden="1">
      <c r="A33" s="150"/>
      <c r="B33" s="151" t="s">
        <v>1748</v>
      </c>
      <c r="C33" s="188" t="s">
        <v>1750</v>
      </c>
      <c r="D33" s="190">
        <f>IFERROR(VLOOKUP(B33, 'Database Resto'!C:P, 9, FALSE),"")</f>
        <v>135900</v>
      </c>
      <c r="E33" s="152" t="s">
        <v>196</v>
      </c>
      <c r="F33" s="152" t="s">
        <v>199</v>
      </c>
      <c r="G33" s="4">
        <v>640.0</v>
      </c>
      <c r="H33" s="152" t="s">
        <v>56</v>
      </c>
      <c r="I33" s="153">
        <f>IFERROR(VLOOKUP(E33, 'Database Resto'!C:P, 13, FALSE),"")</f>
        <v>30.01848285</v>
      </c>
      <c r="J33" s="154">
        <f t="shared" ref="J33:J53" si="13">I33*1000</f>
        <v>30018.48285</v>
      </c>
      <c r="K33" s="154">
        <f>IFERROR(VLOOKUP(E33, 'Database Resto'!C:P, 13, FALSE)* G33, 0)</f>
        <v>19211.82902</v>
      </c>
      <c r="L33" s="193">
        <f>IF(D33="","", IFERROR(IF(B33="", K33/D33, SUMIFS($K:$K, $B:$B, B33)/D33), ""))</f>
        <v>0.7057348735</v>
      </c>
      <c r="M33" s="212">
        <f>D33-SUM(K33:K38)</f>
        <v>39990.6307</v>
      </c>
      <c r="N33" s="196">
        <f t="shared" si="11"/>
        <v>0.2942651265</v>
      </c>
      <c r="O33" s="159">
        <v>36.02217942069783</v>
      </c>
      <c r="P33" s="156">
        <f t="shared" ref="P33:P38" si="14">IF(O33=0, G33*I33, G33*O33)</f>
        <v>23054.19483</v>
      </c>
      <c r="Q33" s="200">
        <f>IF(D33="","", IFERROR(SUMIFS($P:$P, $B:$B, B33)/D33, 0))</f>
        <v>0.7784197437</v>
      </c>
      <c r="R33" s="206">
        <f>IF(D33="","", D33 - SUMIFS($P:$P, $B:$B, B33))</f>
        <v>30112.75684</v>
      </c>
      <c r="S33" s="207">
        <f t="shared" si="12"/>
        <v>0.2215802563</v>
      </c>
    </row>
    <row r="34" hidden="1">
      <c r="A34" s="150"/>
      <c r="B34" s="151" t="s">
        <v>1748</v>
      </c>
      <c r="C34" s="136"/>
      <c r="D34" s="137"/>
      <c r="E34" s="152" t="s">
        <v>438</v>
      </c>
      <c r="F34" s="152" t="s">
        <v>440</v>
      </c>
      <c r="G34" s="4">
        <v>760.0</v>
      </c>
      <c r="H34" s="152" t="s">
        <v>56</v>
      </c>
      <c r="I34" s="153">
        <f>IFERROR(VLOOKUP(E34, 'Database Resto'!C:P, 13, FALSE),"")</f>
        <v>25</v>
      </c>
      <c r="J34" s="154">
        <f t="shared" si="13"/>
        <v>25000</v>
      </c>
      <c r="K34" s="154">
        <f>IFERROR(VLOOKUP(E34, 'Database Resto'!C:P, 13, FALSE)* G34, 0)</f>
        <v>19000</v>
      </c>
      <c r="L34" s="137"/>
      <c r="M34" s="137"/>
      <c r="N34" s="137"/>
      <c r="O34" s="159"/>
      <c r="P34" s="156">
        <f t="shared" si="14"/>
        <v>19000</v>
      </c>
      <c r="Q34" s="157"/>
      <c r="R34" s="137"/>
      <c r="S34" s="157"/>
    </row>
    <row r="35" hidden="1">
      <c r="A35" s="150"/>
      <c r="B35" s="151" t="s">
        <v>1748</v>
      </c>
      <c r="C35" s="136"/>
      <c r="D35" s="137"/>
      <c r="E35" s="152" t="s">
        <v>503</v>
      </c>
      <c r="F35" s="152" t="s">
        <v>506</v>
      </c>
      <c r="G35" s="4">
        <v>640.0</v>
      </c>
      <c r="H35" s="152" t="s">
        <v>56</v>
      </c>
      <c r="I35" s="153">
        <f>IFERROR(VLOOKUP(E35, 'Database Resto'!C:P, 13, FALSE),"")</f>
        <v>18</v>
      </c>
      <c r="J35" s="154">
        <f t="shared" si="13"/>
        <v>18000</v>
      </c>
      <c r="K35" s="154">
        <f>IFERROR(VLOOKUP(E35, 'Database Resto'!C:P, 13, FALSE)* G35, 0)</f>
        <v>11520</v>
      </c>
      <c r="L35" s="137"/>
      <c r="M35" s="137"/>
      <c r="N35" s="137"/>
      <c r="O35" s="159"/>
      <c r="P35" s="156">
        <f t="shared" si="14"/>
        <v>11520</v>
      </c>
      <c r="Q35" s="157"/>
      <c r="R35" s="137"/>
      <c r="S35" s="157"/>
    </row>
    <row r="36" hidden="1">
      <c r="A36" s="150"/>
      <c r="B36" s="151" t="s">
        <v>1748</v>
      </c>
      <c r="C36" s="136"/>
      <c r="D36" s="137"/>
      <c r="E36" s="152" t="s">
        <v>551</v>
      </c>
      <c r="F36" s="152" t="s">
        <v>554</v>
      </c>
      <c r="G36" s="4">
        <v>640.0</v>
      </c>
      <c r="H36" s="152" t="s">
        <v>56</v>
      </c>
      <c r="I36" s="153">
        <f>IFERROR(VLOOKUP(E36, 'Database Resto'!C:P, 13, FALSE),"")</f>
        <v>25</v>
      </c>
      <c r="J36" s="154">
        <f t="shared" si="13"/>
        <v>25000</v>
      </c>
      <c r="K36" s="154">
        <f>IFERROR(VLOOKUP(E36, 'Database Resto'!C:P, 13, FALSE)* G36, 0)</f>
        <v>16000</v>
      </c>
      <c r="L36" s="137"/>
      <c r="M36" s="137"/>
      <c r="N36" s="137"/>
      <c r="O36" s="159"/>
      <c r="P36" s="156">
        <f t="shared" si="14"/>
        <v>16000</v>
      </c>
      <c r="Q36" s="157"/>
      <c r="R36" s="137"/>
      <c r="S36" s="157"/>
    </row>
    <row r="37" hidden="1">
      <c r="A37" s="150"/>
      <c r="B37" s="151" t="s">
        <v>1748</v>
      </c>
      <c r="C37" s="136"/>
      <c r="D37" s="137"/>
      <c r="E37" s="152" t="s">
        <v>584</v>
      </c>
      <c r="F37" s="152" t="s">
        <v>585</v>
      </c>
      <c r="G37" s="4">
        <v>640.0</v>
      </c>
      <c r="H37" s="152" t="s">
        <v>56</v>
      </c>
      <c r="I37" s="153">
        <f>IFERROR(VLOOKUP(E37, 'Database Resto'!C:P, 13, FALSE),"")</f>
        <v>25.23527994</v>
      </c>
      <c r="J37" s="154">
        <f t="shared" si="13"/>
        <v>25235.27994</v>
      </c>
      <c r="K37" s="154">
        <f>IFERROR(VLOOKUP(E37, 'Database Resto'!C:P, 13, FALSE)* G37, 0)</f>
        <v>16150.57916</v>
      </c>
      <c r="L37" s="137"/>
      <c r="M37" s="137"/>
      <c r="N37" s="137"/>
      <c r="O37" s="159">
        <v>30.282335931457133</v>
      </c>
      <c r="P37" s="156">
        <f t="shared" si="14"/>
        <v>19380.695</v>
      </c>
      <c r="Q37" s="157"/>
      <c r="R37" s="137"/>
      <c r="S37" s="157"/>
    </row>
    <row r="38" hidden="1">
      <c r="A38" s="150"/>
      <c r="B38" s="151" t="s">
        <v>1748</v>
      </c>
      <c r="C38" s="66"/>
      <c r="D38" s="67"/>
      <c r="E38" s="152" t="s">
        <v>627</v>
      </c>
      <c r="F38" s="152" t="s">
        <v>628</v>
      </c>
      <c r="G38" s="4">
        <v>640.0</v>
      </c>
      <c r="H38" s="152" t="s">
        <v>56</v>
      </c>
      <c r="I38" s="153">
        <f>IFERROR(VLOOKUP(E38, 'Database Resto'!C:P, 13, FALSE),"")</f>
        <v>21.91712674</v>
      </c>
      <c r="J38" s="154">
        <f t="shared" si="13"/>
        <v>21917.12674</v>
      </c>
      <c r="K38" s="154">
        <f>IFERROR(VLOOKUP(E38, 'Database Resto'!C:P, 13, FALSE)* G38, 0)</f>
        <v>14026.96111</v>
      </c>
      <c r="L38" s="67"/>
      <c r="M38" s="67"/>
      <c r="N38" s="67"/>
      <c r="O38" s="159">
        <v>26.300552090483155</v>
      </c>
      <c r="P38" s="156">
        <f t="shared" si="14"/>
        <v>16832.35334</v>
      </c>
      <c r="Q38" s="168"/>
      <c r="R38" s="67"/>
      <c r="S38" s="168"/>
    </row>
    <row r="39" ht="18.0" hidden="1" customHeight="1">
      <c r="A39" s="150"/>
      <c r="B39" s="169"/>
      <c r="C39" s="226"/>
      <c r="D39" s="171" t="str">
        <f>IFERROR(VLOOKUP(B39, 'Database Resto'!C:P, 9, FALSE),"")</f>
        <v/>
      </c>
      <c r="E39" s="172"/>
      <c r="F39" s="172"/>
      <c r="G39" s="174"/>
      <c r="H39" s="172"/>
      <c r="I39" s="175" t="str">
        <f>IFERROR(VLOOKUP(E39, 'Database Resto'!C:P, 13, FALSE),"")</f>
        <v/>
      </c>
      <c r="J39" s="227">
        <f t="shared" si="13"/>
        <v>0</v>
      </c>
      <c r="K39" s="176">
        <f>SUM(K33:K38)</f>
        <v>95909.3693</v>
      </c>
      <c r="L39" s="177">
        <f>IFERROR(K39/D33, 0)</f>
        <v>0.7057348735</v>
      </c>
      <c r="M39" s="178">
        <f>D33-K39</f>
        <v>39990.6307</v>
      </c>
      <c r="N39" s="179" t="str">
        <f t="shared" ref="N39:N40" si="15">IFERROR(M39/D39, )</f>
        <v/>
      </c>
      <c r="O39" s="180" t="s">
        <v>733</v>
      </c>
      <c r="P39" s="181">
        <f>SUM(P33:P38)</f>
        <v>105787.2432</v>
      </c>
      <c r="Q39" s="211">
        <f>IFERROR(P39/D33, 0)</f>
        <v>0.7784197437</v>
      </c>
      <c r="R39" s="184">
        <f>D33-P39</f>
        <v>30112.75684</v>
      </c>
      <c r="S39" s="186" t="str">
        <f t="shared" ref="S39:S40" si="16">IFERROR(R39/D39, )</f>
        <v/>
      </c>
    </row>
    <row r="40" hidden="1">
      <c r="A40" s="150"/>
      <c r="B40" s="151" t="s">
        <v>2200</v>
      </c>
      <c r="C40" s="188" t="s">
        <v>2201</v>
      </c>
      <c r="D40" s="190">
        <f>IFERROR(VLOOKUP(B40, 'Database Resto'!C:P, 9, FALSE),"")</f>
        <v>160000</v>
      </c>
      <c r="E40" s="152" t="s">
        <v>196</v>
      </c>
      <c r="F40" s="152" t="s">
        <v>199</v>
      </c>
      <c r="G40" s="4">
        <v>800.0</v>
      </c>
      <c r="H40" s="152" t="s">
        <v>56</v>
      </c>
      <c r="I40" s="153">
        <f>IFERROR(VLOOKUP(E40, 'Database Resto'!C:P, 13, FALSE),"")</f>
        <v>30.01848285</v>
      </c>
      <c r="J40" s="154">
        <f t="shared" si="13"/>
        <v>30018.48285</v>
      </c>
      <c r="K40" s="154">
        <f>IFERROR(VLOOKUP(E40, 'Database Resto'!C:P, 13, FALSE)* G40, 0)</f>
        <v>24014.78628</v>
      </c>
      <c r="L40" s="193">
        <f>IF(D40="","", IFERROR(IF(B40="", K40/D40, SUMIFS($K:$K, $B:$B, B40)/D40), ""))</f>
        <v>0.7492919477</v>
      </c>
      <c r="M40" s="212">
        <f>D40-SUM(K40:K45)</f>
        <v>40113.28837</v>
      </c>
      <c r="N40" s="196">
        <f t="shared" si="15"/>
        <v>0.2507080523</v>
      </c>
      <c r="O40" s="159">
        <v>36.02217942069783</v>
      </c>
      <c r="P40" s="156">
        <f t="shared" ref="P40:P45" si="17">IF(O40=0, G40*I40, G40*O40)</f>
        <v>28817.74354</v>
      </c>
      <c r="Q40" s="200">
        <f>IF(D40="","", IFERROR(SUMIFS($P:$P, $B:$B, B40)/D40, 0))</f>
        <v>0.8264628372</v>
      </c>
      <c r="R40" s="206">
        <f>IF(D40="","", D40 - SUMIFS($P:$P, $B:$B, B40))</f>
        <v>27765.94605</v>
      </c>
      <c r="S40" s="207">
        <f t="shared" si="16"/>
        <v>0.1735371628</v>
      </c>
    </row>
    <row r="41" hidden="1">
      <c r="A41" s="150"/>
      <c r="B41" s="151" t="s">
        <v>2200</v>
      </c>
      <c r="C41" s="136"/>
      <c r="D41" s="137"/>
      <c r="E41" s="152" t="s">
        <v>438</v>
      </c>
      <c r="F41" s="152" t="s">
        <v>440</v>
      </c>
      <c r="G41" s="4">
        <v>950.0</v>
      </c>
      <c r="H41" s="152" t="s">
        <v>56</v>
      </c>
      <c r="I41" s="153">
        <f>IFERROR(VLOOKUP(E41, 'Database Resto'!C:P, 13, FALSE),"")</f>
        <v>25</v>
      </c>
      <c r="J41" s="154">
        <f t="shared" si="13"/>
        <v>25000</v>
      </c>
      <c r="K41" s="154">
        <f>IFERROR(VLOOKUP(E41, 'Database Resto'!C:P, 13, FALSE)* G41, 0)</f>
        <v>23750</v>
      </c>
      <c r="L41" s="137"/>
      <c r="M41" s="137"/>
      <c r="N41" s="137"/>
      <c r="O41" s="159"/>
      <c r="P41" s="156">
        <f t="shared" si="17"/>
        <v>23750</v>
      </c>
      <c r="Q41" s="157"/>
      <c r="R41" s="137"/>
      <c r="S41" s="157"/>
    </row>
    <row r="42" hidden="1">
      <c r="A42" s="150"/>
      <c r="B42" s="151" t="s">
        <v>2200</v>
      </c>
      <c r="C42" s="136"/>
      <c r="D42" s="137"/>
      <c r="E42" s="152" t="s">
        <v>503</v>
      </c>
      <c r="F42" s="152" t="s">
        <v>506</v>
      </c>
      <c r="G42" s="4">
        <v>800.0</v>
      </c>
      <c r="H42" s="152" t="s">
        <v>56</v>
      </c>
      <c r="I42" s="153">
        <f>IFERROR(VLOOKUP(E42, 'Database Resto'!C:P, 13, FALSE),"")</f>
        <v>18</v>
      </c>
      <c r="J42" s="154">
        <f t="shared" si="13"/>
        <v>18000</v>
      </c>
      <c r="K42" s="154">
        <f>IFERROR(VLOOKUP(E42, 'Database Resto'!C:P, 13, FALSE)* G42, 0)</f>
        <v>14400</v>
      </c>
      <c r="L42" s="137"/>
      <c r="M42" s="137"/>
      <c r="N42" s="137"/>
      <c r="O42" s="159"/>
      <c r="P42" s="156">
        <f t="shared" si="17"/>
        <v>14400</v>
      </c>
      <c r="Q42" s="157"/>
      <c r="R42" s="137"/>
      <c r="S42" s="157"/>
    </row>
    <row r="43" hidden="1">
      <c r="A43" s="150"/>
      <c r="B43" s="151" t="s">
        <v>2200</v>
      </c>
      <c r="C43" s="136"/>
      <c r="D43" s="137"/>
      <c r="E43" s="152" t="s">
        <v>551</v>
      </c>
      <c r="F43" s="152" t="s">
        <v>554</v>
      </c>
      <c r="G43" s="4">
        <v>800.0</v>
      </c>
      <c r="H43" s="152" t="s">
        <v>56</v>
      </c>
      <c r="I43" s="153">
        <f>IFERROR(VLOOKUP(E43, 'Database Resto'!C:P, 13, FALSE),"")</f>
        <v>25</v>
      </c>
      <c r="J43" s="154">
        <f t="shared" si="13"/>
        <v>25000</v>
      </c>
      <c r="K43" s="154">
        <f>IFERROR(VLOOKUP(E43, 'Database Resto'!C:P, 13, FALSE)* G43, 0)</f>
        <v>20000</v>
      </c>
      <c r="L43" s="137"/>
      <c r="M43" s="137"/>
      <c r="N43" s="137"/>
      <c r="O43" s="159"/>
      <c r="P43" s="156">
        <f t="shared" si="17"/>
        <v>20000</v>
      </c>
      <c r="Q43" s="157"/>
      <c r="R43" s="137"/>
      <c r="S43" s="157"/>
    </row>
    <row r="44" hidden="1">
      <c r="A44" s="150"/>
      <c r="B44" s="151" t="s">
        <v>2200</v>
      </c>
      <c r="C44" s="136"/>
      <c r="D44" s="137"/>
      <c r="E44" s="152" t="s">
        <v>584</v>
      </c>
      <c r="F44" s="152" t="s">
        <v>585</v>
      </c>
      <c r="G44" s="4">
        <v>800.0</v>
      </c>
      <c r="H44" s="152" t="s">
        <v>56</v>
      </c>
      <c r="I44" s="153">
        <f>IFERROR(VLOOKUP(E44, 'Database Resto'!C:P, 13, FALSE),"")</f>
        <v>25.23527994</v>
      </c>
      <c r="J44" s="154">
        <f t="shared" si="13"/>
        <v>25235.27994</v>
      </c>
      <c r="K44" s="154">
        <f>IFERROR(VLOOKUP(E44, 'Database Resto'!C:P, 13, FALSE)* G44, 0)</f>
        <v>20188.22395</v>
      </c>
      <c r="L44" s="137"/>
      <c r="M44" s="137"/>
      <c r="N44" s="137"/>
      <c r="O44" s="159">
        <v>30.282335931457133</v>
      </c>
      <c r="P44" s="156">
        <f t="shared" si="17"/>
        <v>24225.86875</v>
      </c>
      <c r="Q44" s="157"/>
      <c r="R44" s="137"/>
      <c r="S44" s="157"/>
    </row>
    <row r="45" hidden="1">
      <c r="A45" s="150"/>
      <c r="B45" s="151" t="s">
        <v>2200</v>
      </c>
      <c r="C45" s="66"/>
      <c r="D45" s="67"/>
      <c r="E45" s="152" t="s">
        <v>627</v>
      </c>
      <c r="F45" s="152" t="s">
        <v>628</v>
      </c>
      <c r="G45" s="4">
        <v>800.0</v>
      </c>
      <c r="H45" s="152" t="s">
        <v>56</v>
      </c>
      <c r="I45" s="153">
        <f>IFERROR(VLOOKUP(E45, 'Database Resto'!C:P, 13, FALSE),"")</f>
        <v>21.91712674</v>
      </c>
      <c r="J45" s="154">
        <f t="shared" si="13"/>
        <v>21917.12674</v>
      </c>
      <c r="K45" s="154">
        <f>IFERROR(VLOOKUP(E45, 'Database Resto'!C:P, 13, FALSE)* G45, 0)</f>
        <v>17533.70139</v>
      </c>
      <c r="L45" s="67"/>
      <c r="M45" s="67"/>
      <c r="N45" s="67"/>
      <c r="O45" s="159">
        <v>26.300552090483155</v>
      </c>
      <c r="P45" s="156">
        <f t="shared" si="17"/>
        <v>21040.44167</v>
      </c>
      <c r="Q45" s="168"/>
      <c r="R45" s="67"/>
      <c r="S45" s="168"/>
    </row>
    <row r="46" ht="18.0" hidden="1" customHeight="1">
      <c r="A46" s="150"/>
      <c r="B46" s="169"/>
      <c r="C46" s="226"/>
      <c r="D46" s="171" t="str">
        <f>IFERROR(VLOOKUP(B46, 'Database Resto'!C:P, 9, FALSE),"")</f>
        <v/>
      </c>
      <c r="E46" s="172"/>
      <c r="F46" s="172"/>
      <c r="G46" s="174"/>
      <c r="H46" s="172"/>
      <c r="I46" s="175" t="str">
        <f>IFERROR(VLOOKUP(E46, 'Database Resto'!C:P, 13, FALSE),"")</f>
        <v/>
      </c>
      <c r="J46" s="227">
        <f t="shared" si="13"/>
        <v>0</v>
      </c>
      <c r="K46" s="176">
        <f>SUM(K40:K45)</f>
        <v>119886.7116</v>
      </c>
      <c r="L46" s="177">
        <f>IFERROR(K46/D40, 0)</f>
        <v>0.7492919477</v>
      </c>
      <c r="M46" s="178">
        <f>D40-K46</f>
        <v>40113.28837</v>
      </c>
      <c r="N46" s="179" t="str">
        <f t="shared" ref="N46:N47" si="18">IFERROR(M46/D46, )</f>
        <v/>
      </c>
      <c r="O46" s="180" t="s">
        <v>733</v>
      </c>
      <c r="P46" s="181">
        <f>SUM(P40:P45)</f>
        <v>132234.054</v>
      </c>
      <c r="Q46" s="211">
        <f>IFERROR(P46/D40, 0)</f>
        <v>0.8264628372</v>
      </c>
      <c r="R46" s="184">
        <f>D40-P46</f>
        <v>27765.94605</v>
      </c>
      <c r="S46" s="186" t="str">
        <f t="shared" ref="S46:S47" si="19">IFERROR(R46/D46, )</f>
        <v/>
      </c>
    </row>
    <row r="47" hidden="1">
      <c r="A47" s="150"/>
      <c r="B47" s="151" t="s">
        <v>2580</v>
      </c>
      <c r="C47" s="188" t="s">
        <v>2582</v>
      </c>
      <c r="D47" s="190">
        <f>IFERROR(VLOOKUP(B47, 'Database Resto'!C:P, 9, FALSE),"")</f>
        <v>450000</v>
      </c>
      <c r="E47" s="152" t="s">
        <v>196</v>
      </c>
      <c r="F47" s="152" t="s">
        <v>199</v>
      </c>
      <c r="G47" s="4">
        <v>2400.0</v>
      </c>
      <c r="H47" s="152" t="s">
        <v>56</v>
      </c>
      <c r="I47" s="153">
        <f>IFERROR(VLOOKUP(E47, 'Database Resto'!C:P, 13, FALSE),"")</f>
        <v>30.01848285</v>
      </c>
      <c r="J47" s="154">
        <f t="shared" si="13"/>
        <v>30018.48285</v>
      </c>
      <c r="K47" s="154">
        <f>IFERROR(VLOOKUP(E47, 'Database Resto'!C:P, 13, FALSE)* G47, 0)</f>
        <v>72044.35884</v>
      </c>
      <c r="L47" s="193">
        <f>IF(D47="","", IFERROR(IF(B47="", K47/D47, SUMIFS($K:$K, $B:$B, B47)/D47), ""))</f>
        <v>0.7992447442</v>
      </c>
      <c r="M47" s="212">
        <f>D47-SUM(K47:K52)</f>
        <v>90339.86511</v>
      </c>
      <c r="N47" s="196">
        <f t="shared" si="18"/>
        <v>0.2007552558</v>
      </c>
      <c r="O47" s="159">
        <v>36.02217942069783</v>
      </c>
      <c r="P47" s="156">
        <f t="shared" ref="P47:P52" si="20">IF(O47=0, G47*I47, G47*O47)</f>
        <v>86453.23061</v>
      </c>
      <c r="Q47" s="200">
        <f>IF(D47="","", IFERROR(SUMIFS($P:$P, $B:$B, B47)/D47, 0))</f>
        <v>0.8815603597</v>
      </c>
      <c r="R47" s="206">
        <f>IF(D47="","", D47 - SUMIFS($P:$P, $B:$B, B47))</f>
        <v>53297.83814</v>
      </c>
      <c r="S47" s="207">
        <f t="shared" si="19"/>
        <v>0.1184396403</v>
      </c>
    </row>
    <row r="48" hidden="1">
      <c r="A48" s="150"/>
      <c r="B48" s="151" t="s">
        <v>2580</v>
      </c>
      <c r="C48" s="136"/>
      <c r="D48" s="137"/>
      <c r="E48" s="152" t="s">
        <v>438</v>
      </c>
      <c r="F48" s="152" t="s">
        <v>440</v>
      </c>
      <c r="G48" s="4">
        <v>2850.0</v>
      </c>
      <c r="H48" s="152" t="s">
        <v>56</v>
      </c>
      <c r="I48" s="153">
        <f>IFERROR(VLOOKUP(E48, 'Database Resto'!C:P, 13, FALSE),"")</f>
        <v>25</v>
      </c>
      <c r="J48" s="154">
        <f t="shared" si="13"/>
        <v>25000</v>
      </c>
      <c r="K48" s="154">
        <f>IFERROR(VLOOKUP(E48, 'Database Resto'!C:P, 13, FALSE)* G48, 0)</f>
        <v>71250</v>
      </c>
      <c r="L48" s="137"/>
      <c r="M48" s="137"/>
      <c r="N48" s="137"/>
      <c r="O48" s="159"/>
      <c r="P48" s="156">
        <f t="shared" si="20"/>
        <v>71250</v>
      </c>
      <c r="Q48" s="157"/>
      <c r="R48" s="137"/>
      <c r="S48" s="157"/>
    </row>
    <row r="49" hidden="1">
      <c r="A49" s="150"/>
      <c r="B49" s="151" t="s">
        <v>2580</v>
      </c>
      <c r="C49" s="136"/>
      <c r="D49" s="137"/>
      <c r="E49" s="152" t="s">
        <v>503</v>
      </c>
      <c r="F49" s="152" t="s">
        <v>506</v>
      </c>
      <c r="G49" s="4">
        <v>2400.0</v>
      </c>
      <c r="H49" s="152" t="s">
        <v>56</v>
      </c>
      <c r="I49" s="153">
        <f>IFERROR(VLOOKUP(E49, 'Database Resto'!C:P, 13, FALSE),"")</f>
        <v>18</v>
      </c>
      <c r="J49" s="154">
        <f t="shared" si="13"/>
        <v>18000</v>
      </c>
      <c r="K49" s="154">
        <f>IFERROR(VLOOKUP(E49, 'Database Resto'!C:P, 13, FALSE)* G49, 0)</f>
        <v>43200</v>
      </c>
      <c r="L49" s="137"/>
      <c r="M49" s="137"/>
      <c r="N49" s="137"/>
      <c r="O49" s="159"/>
      <c r="P49" s="156">
        <f t="shared" si="20"/>
        <v>43200</v>
      </c>
      <c r="Q49" s="157"/>
      <c r="R49" s="137"/>
      <c r="S49" s="157"/>
    </row>
    <row r="50" hidden="1">
      <c r="A50" s="150"/>
      <c r="B50" s="151" t="s">
        <v>2580</v>
      </c>
      <c r="C50" s="136"/>
      <c r="D50" s="137"/>
      <c r="E50" s="152" t="s">
        <v>551</v>
      </c>
      <c r="F50" s="152" t="s">
        <v>554</v>
      </c>
      <c r="G50" s="4">
        <v>2400.0</v>
      </c>
      <c r="H50" s="152" t="s">
        <v>56</v>
      </c>
      <c r="I50" s="153">
        <f>IFERROR(VLOOKUP(E50, 'Database Resto'!C:P, 13, FALSE),"")</f>
        <v>25</v>
      </c>
      <c r="J50" s="154">
        <f t="shared" si="13"/>
        <v>25000</v>
      </c>
      <c r="K50" s="154">
        <f>IFERROR(VLOOKUP(E50, 'Database Resto'!C:P, 13, FALSE)* G50, 0)</f>
        <v>60000</v>
      </c>
      <c r="L50" s="137"/>
      <c r="M50" s="137"/>
      <c r="N50" s="137"/>
      <c r="O50" s="159"/>
      <c r="P50" s="156">
        <f t="shared" si="20"/>
        <v>60000</v>
      </c>
      <c r="Q50" s="157"/>
      <c r="R50" s="137"/>
      <c r="S50" s="157"/>
    </row>
    <row r="51" hidden="1">
      <c r="A51" s="150"/>
      <c r="B51" s="151" t="s">
        <v>2580</v>
      </c>
      <c r="C51" s="136"/>
      <c r="D51" s="137"/>
      <c r="E51" s="152" t="s">
        <v>584</v>
      </c>
      <c r="F51" s="152" t="s">
        <v>585</v>
      </c>
      <c r="G51" s="4">
        <v>2400.0</v>
      </c>
      <c r="H51" s="152" t="s">
        <v>56</v>
      </c>
      <c r="I51" s="153">
        <f>IFERROR(VLOOKUP(E51, 'Database Resto'!C:P, 13, FALSE),"")</f>
        <v>25.23527994</v>
      </c>
      <c r="J51" s="154">
        <f t="shared" si="13"/>
        <v>25235.27994</v>
      </c>
      <c r="K51" s="154">
        <f>IFERROR(VLOOKUP(E51, 'Database Resto'!C:P, 13, FALSE)* G51, 0)</f>
        <v>60564.67186</v>
      </c>
      <c r="L51" s="137"/>
      <c r="M51" s="137"/>
      <c r="N51" s="137"/>
      <c r="O51" s="159">
        <v>30.282335931457133</v>
      </c>
      <c r="P51" s="156">
        <f t="shared" si="20"/>
        <v>72677.60624</v>
      </c>
      <c r="Q51" s="157"/>
      <c r="R51" s="137"/>
      <c r="S51" s="157"/>
    </row>
    <row r="52" hidden="1">
      <c r="A52" s="150"/>
      <c r="B52" s="151" t="s">
        <v>2580</v>
      </c>
      <c r="C52" s="66"/>
      <c r="D52" s="67"/>
      <c r="E52" s="152" t="s">
        <v>627</v>
      </c>
      <c r="F52" s="152" t="s">
        <v>628</v>
      </c>
      <c r="G52" s="4">
        <v>2400.0</v>
      </c>
      <c r="H52" s="152" t="s">
        <v>56</v>
      </c>
      <c r="I52" s="153">
        <f>IFERROR(VLOOKUP(E52, 'Database Resto'!C:P, 13, FALSE),"")</f>
        <v>21.91712674</v>
      </c>
      <c r="J52" s="154">
        <f t="shared" si="13"/>
        <v>21917.12674</v>
      </c>
      <c r="K52" s="154">
        <f>IFERROR(VLOOKUP(E52, 'Database Resto'!C:P, 13, FALSE)* G52, 0)</f>
        <v>52601.10418</v>
      </c>
      <c r="L52" s="67"/>
      <c r="M52" s="67"/>
      <c r="N52" s="67"/>
      <c r="O52" s="159">
        <v>26.300552090483155</v>
      </c>
      <c r="P52" s="156">
        <f t="shared" si="20"/>
        <v>63121.32502</v>
      </c>
      <c r="Q52" s="168"/>
      <c r="R52" s="67"/>
      <c r="S52" s="168"/>
    </row>
    <row r="53" ht="18.0" hidden="1" customHeight="1">
      <c r="A53" s="109"/>
      <c r="B53" s="169"/>
      <c r="C53" s="226"/>
      <c r="D53" s="171" t="str">
        <f>IFERROR(VLOOKUP(B53, 'Database Resto'!C:P, 9, FALSE),"")</f>
        <v/>
      </c>
      <c r="E53" s="172"/>
      <c r="F53" s="172"/>
      <c r="G53" s="174"/>
      <c r="H53" s="172"/>
      <c r="I53" s="175" t="str">
        <f>IFERROR(VLOOKUP(E53, 'Database Resto'!C:P, 13, FALSE),"")</f>
        <v/>
      </c>
      <c r="J53" s="227">
        <f t="shared" si="13"/>
        <v>0</v>
      </c>
      <c r="K53" s="176">
        <f>SUM(K47:K52)</f>
        <v>359660.1349</v>
      </c>
      <c r="L53" s="177">
        <f>IFERROR(K53/D47, 0)</f>
        <v>0.7992447442</v>
      </c>
      <c r="M53" s="178">
        <f>D47-K53</f>
        <v>90339.86511</v>
      </c>
      <c r="N53" s="179" t="str">
        <f t="shared" ref="N53:N54" si="21">IFERROR(M53/D53, )</f>
        <v/>
      </c>
      <c r="O53" s="180" t="s">
        <v>733</v>
      </c>
      <c r="P53" s="181">
        <f>SUM(P47:P52)</f>
        <v>396702.1619</v>
      </c>
      <c r="Q53" s="211">
        <f>IFERROR(P53/D47, 0)</f>
        <v>0.8815603597</v>
      </c>
      <c r="R53" s="184">
        <f>D47-P53</f>
        <v>53297.83814</v>
      </c>
      <c r="S53" s="186" t="str">
        <f t="shared" ref="S53:S54" si="22">IFERROR(R53/D53, )</f>
        <v/>
      </c>
    </row>
    <row r="54">
      <c r="A54" s="235" t="s">
        <v>2979</v>
      </c>
      <c r="B54" s="236" t="s">
        <v>3001</v>
      </c>
      <c r="C54" s="237" t="s">
        <v>3008</v>
      </c>
      <c r="D54" s="190">
        <f>IFERROR(VLOOKUP(B54, 'Database Resto'!C:P, 9, FALSE),"")</f>
        <v>25900</v>
      </c>
      <c r="E54" s="152" t="s">
        <v>3036</v>
      </c>
      <c r="F54" s="152" t="s">
        <v>3038</v>
      </c>
      <c r="G54" s="238">
        <v>1.0</v>
      </c>
      <c r="H54" s="239" t="s">
        <v>7</v>
      </c>
      <c r="I54" s="153">
        <f>IFERROR(VLOOKUP(E54, 'Database Resto'!C:P, 13, FALSE),"")</f>
        <v>279.9629385</v>
      </c>
      <c r="J54" s="154">
        <f t="shared" ref="J54:J55" si="23">I54</f>
        <v>279.9629385</v>
      </c>
      <c r="K54" s="154">
        <f>IFERROR(VLOOKUP(E54, 'Database Resto'!C:P, 13, FALSE)* G54, 0)</f>
        <v>279.9629385</v>
      </c>
      <c r="L54" s="193">
        <f>IF(D54="","", IFERROR(SUM(K54:K62)/D54, ""))</f>
        <v>0.3717311954</v>
      </c>
      <c r="M54" s="212">
        <f>IF(D54="","", D54-SUM(K54:K62))</f>
        <v>16272.16204</v>
      </c>
      <c r="N54" s="196">
        <f t="shared" si="21"/>
        <v>0.6282688046</v>
      </c>
      <c r="O54" s="159"/>
      <c r="P54" s="156">
        <f t="shared" ref="P54:P62" si="24">IF(O54=0, G54*I54, G54*O54)</f>
        <v>279.9629385</v>
      </c>
      <c r="Q54" s="240">
        <f>IF(D54="","", IFERROR(SUM(P54:P62)/D54, ""))</f>
        <v>0.3741600888</v>
      </c>
      <c r="R54" s="206">
        <f>IF(D54="","", D54-SUM(P54:P62))</f>
        <v>16209.2537</v>
      </c>
      <c r="S54" s="207">
        <f t="shared" si="22"/>
        <v>0.6258399112</v>
      </c>
    </row>
    <row r="55">
      <c r="A55" s="150"/>
      <c r="C55" s="136"/>
      <c r="D55" s="137"/>
      <c r="E55" s="152" t="s">
        <v>3119</v>
      </c>
      <c r="F55" s="152" t="s">
        <v>1914</v>
      </c>
      <c r="G55" s="4">
        <v>1.0</v>
      </c>
      <c r="H55" s="152" t="s">
        <v>7</v>
      </c>
      <c r="I55" s="153">
        <f>IFERROR(VLOOKUP(E55, 'Database Resto'!C:P, 13, FALSE),"")</f>
        <v>3000</v>
      </c>
      <c r="J55" s="154">
        <f t="shared" si="23"/>
        <v>3000</v>
      </c>
      <c r="K55" s="154">
        <f>IFERROR(VLOOKUP(E55, 'Database Resto'!C:P, 13, FALSE)* G55, 0)</f>
        <v>3000</v>
      </c>
      <c r="L55" s="137"/>
      <c r="M55" s="137"/>
      <c r="N55" s="137"/>
      <c r="O55" s="159"/>
      <c r="P55" s="156">
        <f t="shared" si="24"/>
        <v>3000</v>
      </c>
      <c r="Q55" s="143"/>
      <c r="R55" s="137"/>
      <c r="S55" s="157"/>
    </row>
    <row r="56">
      <c r="A56" s="150"/>
      <c r="C56" s="136"/>
      <c r="D56" s="137"/>
      <c r="E56" s="152" t="s">
        <v>3178</v>
      </c>
      <c r="F56" s="152" t="s">
        <v>3179</v>
      </c>
      <c r="G56" s="4">
        <v>25.0</v>
      </c>
      <c r="H56" s="152" t="s">
        <v>56</v>
      </c>
      <c r="I56" s="153">
        <f>IFERROR(VLOOKUP(E56, 'Database Resto'!C:P, 13, FALSE),"")</f>
        <v>12.58166762</v>
      </c>
      <c r="J56" s="154">
        <f t="shared" ref="J56:J60" si="25">I56*1000</f>
        <v>12581.66762</v>
      </c>
      <c r="K56" s="154">
        <f>IFERROR(VLOOKUP(E56, 'Database Resto'!C:P, 13, FALSE)* G56, 0)</f>
        <v>314.5416905</v>
      </c>
      <c r="L56" s="137"/>
      <c r="M56" s="137"/>
      <c r="N56" s="137"/>
      <c r="O56" s="159">
        <v>15.098001142204454</v>
      </c>
      <c r="P56" s="156">
        <f t="shared" si="24"/>
        <v>377.4500286</v>
      </c>
      <c r="Q56" s="143"/>
      <c r="R56" s="137"/>
      <c r="S56" s="157"/>
    </row>
    <row r="57">
      <c r="A57" s="150"/>
      <c r="C57" s="136"/>
      <c r="D57" s="137"/>
      <c r="E57" s="152" t="s">
        <v>3230</v>
      </c>
      <c r="F57" s="152" t="s">
        <v>3231</v>
      </c>
      <c r="G57" s="4">
        <v>60.0</v>
      </c>
      <c r="H57" s="152" t="s">
        <v>56</v>
      </c>
      <c r="I57" s="153">
        <f>IFERROR(VLOOKUP(E57, 'Database Resto'!C:P, 13, FALSE),"")</f>
        <v>70</v>
      </c>
      <c r="J57" s="154">
        <f t="shared" si="25"/>
        <v>70000</v>
      </c>
      <c r="K57" s="154">
        <f>IFERROR(VLOOKUP(E57, 'Database Resto'!C:P, 13, FALSE)* G57, 0)</f>
        <v>4200</v>
      </c>
      <c r="L57" s="137"/>
      <c r="M57" s="137"/>
      <c r="N57" s="137"/>
      <c r="O57" s="159"/>
      <c r="P57" s="156">
        <f t="shared" si="24"/>
        <v>4200</v>
      </c>
      <c r="Q57" s="143"/>
      <c r="R57" s="137"/>
      <c r="S57" s="157"/>
    </row>
    <row r="58">
      <c r="A58" s="150"/>
      <c r="C58" s="136"/>
      <c r="D58" s="137"/>
      <c r="E58" s="241" t="str">
        <f>IFERROR(__xludf.DUMMYFUNCTION("IF(C4, FILTER(Pembungkus!B:E, Pembungkus!A:A=""Mie""), """")
"),"")</f>
        <v/>
      </c>
      <c r="F58" s="241"/>
      <c r="G58" s="241"/>
      <c r="H58" s="241"/>
      <c r="I58" s="242" t="str">
        <f>IFERROR(VLOOKUP(E58, 'Database Resto'!C:P, 13, FALSE),"")</f>
        <v/>
      </c>
      <c r="J58" s="243">
        <f t="shared" si="25"/>
        <v>0</v>
      </c>
      <c r="K58" s="243">
        <f>IFERROR(VLOOKUP(E58, 'Database Resto'!C:P, 13, FALSE)* G58, 0)</f>
        <v>0</v>
      </c>
      <c r="L58" s="137"/>
      <c r="M58" s="137"/>
      <c r="N58" s="137"/>
      <c r="O58" s="244" t="s">
        <v>733</v>
      </c>
      <c r="P58" s="166">
        <f t="shared" si="24"/>
        <v>0</v>
      </c>
      <c r="Q58" s="143"/>
      <c r="R58" s="137"/>
      <c r="S58" s="157"/>
    </row>
    <row r="59">
      <c r="A59" s="150"/>
      <c r="C59" s="136"/>
      <c r="D59" s="137"/>
      <c r="E59" s="241"/>
      <c r="F59" s="241"/>
      <c r="G59" s="241"/>
      <c r="H59" s="241"/>
      <c r="I59" s="242" t="str">
        <f>IFERROR(VLOOKUP(E59, 'Database Resto'!C:P, 13, FALSE),"")</f>
        <v/>
      </c>
      <c r="J59" s="243">
        <f t="shared" si="25"/>
        <v>0</v>
      </c>
      <c r="K59" s="243">
        <f>IFERROR(VLOOKUP(E59, 'Database Resto'!C:P, 13, FALSE)* G59, 0)</f>
        <v>0</v>
      </c>
      <c r="L59" s="137"/>
      <c r="M59" s="137"/>
      <c r="N59" s="137"/>
      <c r="O59" s="244" t="s">
        <v>733</v>
      </c>
      <c r="P59" s="166">
        <f t="shared" si="24"/>
        <v>0</v>
      </c>
      <c r="Q59" s="143"/>
      <c r="R59" s="137"/>
      <c r="S59" s="157"/>
    </row>
    <row r="60">
      <c r="A60" s="150"/>
      <c r="C60" s="136"/>
      <c r="D60" s="137"/>
      <c r="E60" s="241"/>
      <c r="F60" s="241"/>
      <c r="G60" s="241"/>
      <c r="H60" s="241"/>
      <c r="I60" s="242" t="str">
        <f>IFERROR(VLOOKUP(E60, 'Database Resto'!C:P, 13, FALSE),"")</f>
        <v/>
      </c>
      <c r="J60" s="243">
        <f t="shared" si="25"/>
        <v>0</v>
      </c>
      <c r="K60" s="243">
        <f>IFERROR(VLOOKUP(E60, 'Database Resto'!C:P, 13, FALSE)* G60, 0)</f>
        <v>0</v>
      </c>
      <c r="L60" s="137"/>
      <c r="M60" s="137"/>
      <c r="N60" s="137"/>
      <c r="O60" s="244" t="s">
        <v>733</v>
      </c>
      <c r="P60" s="166">
        <f t="shared" si="24"/>
        <v>0</v>
      </c>
      <c r="Q60" s="143"/>
      <c r="R60" s="137"/>
      <c r="S60" s="157"/>
    </row>
    <row r="61">
      <c r="A61" s="150"/>
      <c r="C61" s="136"/>
      <c r="D61" s="137"/>
      <c r="E61" s="241"/>
      <c r="F61" s="241"/>
      <c r="G61" s="241"/>
      <c r="H61" s="241"/>
      <c r="I61" s="242" t="str">
        <f>IFERROR(VLOOKUP(E61, 'Database Resto'!C:P, 13, FALSE),"")</f>
        <v/>
      </c>
      <c r="J61" s="243" t="str">
        <f t="shared" ref="J61:J62" si="26">I61</f>
        <v/>
      </c>
      <c r="K61" s="243">
        <f>IFERROR(VLOOKUP(E61, 'Database Resto'!C:P, 13, FALSE)* G61, 0)</f>
        <v>0</v>
      </c>
      <c r="L61" s="137"/>
      <c r="M61" s="137"/>
      <c r="N61" s="137"/>
      <c r="O61" s="244" t="s">
        <v>733</v>
      </c>
      <c r="P61" s="166">
        <f t="shared" si="24"/>
        <v>0</v>
      </c>
      <c r="Q61" s="143"/>
      <c r="R61" s="137"/>
      <c r="S61" s="157"/>
    </row>
    <row r="62">
      <c r="A62" s="150"/>
      <c r="B62" s="99"/>
      <c r="C62" s="66"/>
      <c r="D62" s="67"/>
      <c r="E62" s="246" t="str">
        <f>IFERROR(__xludf.DUMMYFUNCTION("IF($E$3="""","""",IFERROR(FILTER(Pembungkus!B:E, Pembungkus!C:C=$E$3),""""))"),"MNMN.30100")</f>
        <v>MNMN.30100</v>
      </c>
      <c r="F62" s="246" t="str">
        <f>IFERROR(__xludf.DUMMYFUNCTION("""COMPUTED_VALUE"""),"Air Mineral")</f>
        <v>Air Mineral</v>
      </c>
      <c r="G62" s="246">
        <f>IFERROR(__xludf.DUMMYFUNCTION("""COMPUTED_VALUE"""),1.0)</f>
        <v>1</v>
      </c>
      <c r="H62" s="246" t="str">
        <f>IFERROR(__xludf.DUMMYFUNCTION("""COMPUTED_VALUE"""),"Btl")</f>
        <v>Btl</v>
      </c>
      <c r="I62" s="250">
        <f>IFERROR(VLOOKUP(E62, 'Database Resto'!C:P, 13, FALSE),"")</f>
        <v>1833.333333</v>
      </c>
      <c r="J62" s="252">
        <f t="shared" si="26"/>
        <v>1833.333333</v>
      </c>
      <c r="K62" s="252">
        <f>IFERROR(VLOOKUP(E62, 'Database Resto'!C:P, 13, FALSE)* G62, 0)</f>
        <v>1833.333333</v>
      </c>
      <c r="L62" s="67"/>
      <c r="M62" s="67"/>
      <c r="N62" s="67"/>
      <c r="O62" s="253"/>
      <c r="P62" s="254">
        <f t="shared" si="24"/>
        <v>1833.333333</v>
      </c>
      <c r="Q62" s="75"/>
      <c r="R62" s="67"/>
      <c r="S62" s="168"/>
    </row>
    <row r="63" ht="18.0" customHeight="1">
      <c r="A63" s="150"/>
      <c r="B63" s="169"/>
      <c r="C63" s="226"/>
      <c r="D63" s="171">
        <f>D54</f>
        <v>25900</v>
      </c>
      <c r="E63" s="172"/>
      <c r="F63" s="172"/>
      <c r="G63" s="174"/>
      <c r="H63" s="172"/>
      <c r="I63" s="175" t="str">
        <f>IFERROR(VLOOKUP(E63, 'Database Resto'!C:P, 13, FALSE),"")</f>
        <v/>
      </c>
      <c r="J63" s="227">
        <f>I63*1000</f>
        <v>0</v>
      </c>
      <c r="K63" s="176">
        <f>SUM(K54:K62)</f>
        <v>9627.837962</v>
      </c>
      <c r="L63" s="177">
        <f>IFERROR(K63/D54, 0)</f>
        <v>0.3717311954</v>
      </c>
      <c r="M63" s="178">
        <f>D54-K63</f>
        <v>16272.16204</v>
      </c>
      <c r="N63" s="179">
        <f t="shared" ref="N63:N64" si="27">IFERROR(M63/D63, )</f>
        <v>0.6282688046</v>
      </c>
      <c r="O63" s="180" t="s">
        <v>733</v>
      </c>
      <c r="P63" s="181">
        <f>SUM(P54:P62)</f>
        <v>9690.7463</v>
      </c>
      <c r="Q63" s="182">
        <f>IFERROR(P63/D54, 0)</f>
        <v>0.3741600888</v>
      </c>
      <c r="R63" s="184">
        <f>D54-P63</f>
        <v>16209.2537</v>
      </c>
      <c r="S63" s="186">
        <f t="shared" ref="S63:S64" si="28">IFERROR(R63/D63, )</f>
        <v>0.6258399112</v>
      </c>
    </row>
    <row r="64">
      <c r="A64" s="150"/>
      <c r="B64" s="236" t="s">
        <v>3471</v>
      </c>
      <c r="C64" s="188" t="s">
        <v>3472</v>
      </c>
      <c r="D64" s="255">
        <f>IFERROR(VLOOKUP(B64, 'Database Resto'!C:P, 9, FALSE),"")</f>
        <v>25900</v>
      </c>
      <c r="E64" s="152" t="s">
        <v>3036</v>
      </c>
      <c r="F64" s="152" t="s">
        <v>3038</v>
      </c>
      <c r="G64" s="238">
        <v>1.0</v>
      </c>
      <c r="H64" s="239" t="s">
        <v>7</v>
      </c>
      <c r="I64" s="153">
        <f>IFERROR(VLOOKUP(E64, 'Database Resto'!C:P, 13, FALSE),"")</f>
        <v>279.9629385</v>
      </c>
      <c r="J64" s="154">
        <f t="shared" ref="J64:J65" si="29">I64</f>
        <v>279.9629385</v>
      </c>
      <c r="K64" s="154">
        <f>IFERROR(VLOOKUP(E64, 'Database Resto'!C:P, 13, FALSE)* G64, 0)</f>
        <v>279.9629385</v>
      </c>
      <c r="L64" s="193">
        <f>IF(D64="","", IFERROR(SUM(K64:K72)/D64, ""))</f>
        <v>0.4018470256</v>
      </c>
      <c r="M64" s="212">
        <f>IF(D64="","", D64-SUM(K64:K72))</f>
        <v>15492.16204</v>
      </c>
      <c r="N64" s="196">
        <f t="shared" si="27"/>
        <v>0.5981529744</v>
      </c>
      <c r="O64" s="159"/>
      <c r="P64" s="156">
        <f t="shared" ref="P64:P72" si="30">IF(O64=0, G64*I64, G64*O64)</f>
        <v>279.9629385</v>
      </c>
      <c r="Q64" s="240">
        <f>IF(D64="","", IFERROR(SUM(P64:P72)/D64, ""))</f>
        <v>0.4042759189</v>
      </c>
      <c r="R64" s="206">
        <f>IF(D64="","", D64-SUM(P64:P72))</f>
        <v>15429.2537</v>
      </c>
      <c r="S64" s="207">
        <f t="shared" si="28"/>
        <v>0.5957240811</v>
      </c>
    </row>
    <row r="65">
      <c r="A65" s="150"/>
      <c r="C65" s="136"/>
      <c r="E65" s="152" t="s">
        <v>3119</v>
      </c>
      <c r="F65" s="152" t="s">
        <v>1914</v>
      </c>
      <c r="G65" s="4">
        <v>1.0</v>
      </c>
      <c r="H65" s="152" t="s">
        <v>7</v>
      </c>
      <c r="I65" s="153">
        <f>IFERROR(VLOOKUP(E65, 'Database Resto'!C:P, 13, FALSE),"")</f>
        <v>3000</v>
      </c>
      <c r="J65" s="154">
        <f t="shared" si="29"/>
        <v>3000</v>
      </c>
      <c r="K65" s="154">
        <f>IFERROR(VLOOKUP(E65, 'Database Resto'!C:P, 13, FALSE)* G65, 0)</f>
        <v>3000</v>
      </c>
      <c r="L65" s="137"/>
      <c r="M65" s="137"/>
      <c r="N65" s="137"/>
      <c r="O65" s="159"/>
      <c r="P65" s="156">
        <f t="shared" si="30"/>
        <v>3000</v>
      </c>
      <c r="Q65" s="143"/>
      <c r="R65" s="137"/>
      <c r="S65" s="157"/>
    </row>
    <row r="66">
      <c r="A66" s="150"/>
      <c r="C66" s="136"/>
      <c r="E66" s="152" t="s">
        <v>3178</v>
      </c>
      <c r="F66" s="152" t="s">
        <v>3179</v>
      </c>
      <c r="G66" s="4">
        <v>25.0</v>
      </c>
      <c r="H66" s="152" t="s">
        <v>56</v>
      </c>
      <c r="I66" s="153">
        <f>IFERROR(VLOOKUP(E66, 'Database Resto'!C:P, 13, FALSE),"")</f>
        <v>12.58166762</v>
      </c>
      <c r="J66" s="154">
        <f t="shared" ref="J66:J70" si="31">I66*1000</f>
        <v>12581.66762</v>
      </c>
      <c r="K66" s="154">
        <f>IFERROR(VLOOKUP(E66, 'Database Resto'!C:P, 13, FALSE)* G66, 0)</f>
        <v>314.5416905</v>
      </c>
      <c r="L66" s="137"/>
      <c r="M66" s="137"/>
      <c r="N66" s="137"/>
      <c r="O66" s="159">
        <v>15.098001142204454</v>
      </c>
      <c r="P66" s="156">
        <f t="shared" si="30"/>
        <v>377.4500286</v>
      </c>
      <c r="Q66" s="143"/>
      <c r="R66" s="137"/>
      <c r="S66" s="157"/>
    </row>
    <row r="67">
      <c r="A67" s="150"/>
      <c r="C67" s="136"/>
      <c r="E67" s="152" t="s">
        <v>3473</v>
      </c>
      <c r="F67" s="152" t="s">
        <v>3474</v>
      </c>
      <c r="G67" s="4">
        <v>60.0</v>
      </c>
      <c r="H67" s="152" t="s">
        <v>56</v>
      </c>
      <c r="I67" s="153">
        <f>IFERROR(VLOOKUP(E67, 'Database Resto'!C:P, 13, FALSE),"")</f>
        <v>83</v>
      </c>
      <c r="J67" s="154">
        <f t="shared" si="31"/>
        <v>83000</v>
      </c>
      <c r="K67" s="154">
        <f>IFERROR(VLOOKUP(E67, 'Database Resto'!C:P, 13, FALSE)* G67, 0)</f>
        <v>4980</v>
      </c>
      <c r="L67" s="137"/>
      <c r="M67" s="137"/>
      <c r="N67" s="137"/>
      <c r="O67" s="159"/>
      <c r="P67" s="156">
        <f t="shared" si="30"/>
        <v>4980</v>
      </c>
      <c r="Q67" s="143"/>
      <c r="R67" s="137"/>
      <c r="S67" s="157"/>
      <c r="T67" s="158"/>
    </row>
    <row r="68">
      <c r="A68" s="150"/>
      <c r="C68" s="136"/>
      <c r="E68" s="241" t="str">
        <f>IFERROR(__xludf.DUMMYFUNCTION("IF($C$4, FILTER(Pembungkus!B:E, Pembungkus!A:A=""Mie""), """")
"),"")</f>
        <v/>
      </c>
      <c r="F68" s="241"/>
      <c r="G68" s="241"/>
      <c r="H68" s="241"/>
      <c r="I68" s="242" t="str">
        <f>IFERROR(VLOOKUP(E68, 'Database Resto'!C:P, 13, FALSE),"")</f>
        <v/>
      </c>
      <c r="J68" s="243">
        <f t="shared" si="31"/>
        <v>0</v>
      </c>
      <c r="K68" s="243">
        <f>IFERROR(VLOOKUP(E68, 'Database Resto'!C:P, 13, FALSE)* G68, 0)</f>
        <v>0</v>
      </c>
      <c r="L68" s="137"/>
      <c r="M68" s="137"/>
      <c r="N68" s="137"/>
      <c r="O68" s="244" t="s">
        <v>733</v>
      </c>
      <c r="P68" s="166">
        <f t="shared" si="30"/>
        <v>0</v>
      </c>
      <c r="Q68" s="143"/>
      <c r="R68" s="137"/>
      <c r="S68" s="157"/>
      <c r="T68" s="158"/>
    </row>
    <row r="69">
      <c r="A69" s="150"/>
      <c r="C69" s="136"/>
      <c r="E69" s="241"/>
      <c r="F69" s="241"/>
      <c r="G69" s="241"/>
      <c r="H69" s="241"/>
      <c r="I69" s="242" t="str">
        <f>IFERROR(VLOOKUP(E69, 'Database Resto'!C:P, 13, FALSE),"")</f>
        <v/>
      </c>
      <c r="J69" s="243">
        <f t="shared" si="31"/>
        <v>0</v>
      </c>
      <c r="K69" s="243">
        <f>IFERROR(VLOOKUP(E69, 'Database Resto'!C:P, 13, FALSE)* G69, 0)</f>
        <v>0</v>
      </c>
      <c r="L69" s="137"/>
      <c r="M69" s="137"/>
      <c r="N69" s="137"/>
      <c r="O69" s="244" t="s">
        <v>733</v>
      </c>
      <c r="P69" s="166">
        <f t="shared" si="30"/>
        <v>0</v>
      </c>
      <c r="Q69" s="143"/>
      <c r="R69" s="137"/>
      <c r="S69" s="157"/>
      <c r="T69" s="158"/>
    </row>
    <row r="70">
      <c r="A70" s="150"/>
      <c r="C70" s="136"/>
      <c r="E70" s="241"/>
      <c r="F70" s="241"/>
      <c r="G70" s="241"/>
      <c r="H70" s="241"/>
      <c r="I70" s="242" t="str">
        <f>IFERROR(VLOOKUP(E70, 'Database Resto'!C:P, 13, FALSE),"")</f>
        <v/>
      </c>
      <c r="J70" s="243">
        <f t="shared" si="31"/>
        <v>0</v>
      </c>
      <c r="K70" s="243">
        <f>IFERROR(VLOOKUP(E70, 'Database Resto'!C:P, 13, FALSE)* G70, 0)</f>
        <v>0</v>
      </c>
      <c r="L70" s="137"/>
      <c r="M70" s="137"/>
      <c r="N70" s="137"/>
      <c r="O70" s="244" t="s">
        <v>733</v>
      </c>
      <c r="P70" s="166">
        <f t="shared" si="30"/>
        <v>0</v>
      </c>
      <c r="Q70" s="143"/>
      <c r="R70" s="137"/>
      <c r="S70" s="157"/>
      <c r="T70" s="158"/>
    </row>
    <row r="71">
      <c r="A71" s="150"/>
      <c r="C71" s="136"/>
      <c r="E71" s="241"/>
      <c r="F71" s="241"/>
      <c r="G71" s="241"/>
      <c r="H71" s="241"/>
      <c r="I71" s="242" t="str">
        <f>IFERROR(VLOOKUP(E71, 'Database Resto'!C:P, 13, FALSE),"")</f>
        <v/>
      </c>
      <c r="J71" s="243" t="str">
        <f t="shared" ref="J71:J72" si="32">I71</f>
        <v/>
      </c>
      <c r="K71" s="243">
        <f>IFERROR(VLOOKUP(E71, 'Database Resto'!C:P, 13, FALSE)* G71, 0)</f>
        <v>0</v>
      </c>
      <c r="L71" s="137"/>
      <c r="M71" s="137"/>
      <c r="N71" s="137"/>
      <c r="O71" s="244" t="s">
        <v>733</v>
      </c>
      <c r="P71" s="166">
        <f t="shared" si="30"/>
        <v>0</v>
      </c>
      <c r="Q71" s="143"/>
      <c r="R71" s="137"/>
      <c r="S71" s="157"/>
      <c r="T71" s="158"/>
    </row>
    <row r="72">
      <c r="A72" s="150"/>
      <c r="B72" s="99"/>
      <c r="C72" s="66"/>
      <c r="E72" s="246" t="str">
        <f>IFERROR(__xludf.DUMMYFUNCTION("IF($E$3="""","""",IFERROR(FILTER(Pembungkus!B:E, Pembungkus!C:C=$E$3),""""))"),"MNMN.30100")</f>
        <v>MNMN.30100</v>
      </c>
      <c r="F72" s="246" t="str">
        <f>IFERROR(__xludf.DUMMYFUNCTION("""COMPUTED_VALUE"""),"Air Mineral")</f>
        <v>Air Mineral</v>
      </c>
      <c r="G72" s="246">
        <f>IFERROR(__xludf.DUMMYFUNCTION("""COMPUTED_VALUE"""),1.0)</f>
        <v>1</v>
      </c>
      <c r="H72" s="246" t="str">
        <f>IFERROR(__xludf.DUMMYFUNCTION("""COMPUTED_VALUE"""),"Btl")</f>
        <v>Btl</v>
      </c>
      <c r="I72" s="250">
        <f>IFERROR(VLOOKUP(E72, 'Database Resto'!C:P, 13, FALSE),"")</f>
        <v>1833.333333</v>
      </c>
      <c r="J72" s="252">
        <f t="shared" si="32"/>
        <v>1833.333333</v>
      </c>
      <c r="K72" s="252">
        <f>IFERROR(VLOOKUP(E72, 'Database Resto'!C:P, 13, FALSE)* G72, 0)</f>
        <v>1833.333333</v>
      </c>
      <c r="L72" s="67"/>
      <c r="M72" s="67"/>
      <c r="N72" s="67"/>
      <c r="O72" s="253"/>
      <c r="P72" s="254">
        <f t="shared" si="30"/>
        <v>1833.333333</v>
      </c>
      <c r="Q72" s="75"/>
      <c r="R72" s="67"/>
      <c r="S72" s="168"/>
      <c r="T72" s="158"/>
    </row>
    <row r="73" ht="18.0" customHeight="1">
      <c r="A73" s="150"/>
      <c r="B73" s="169"/>
      <c r="C73" s="226"/>
      <c r="D73" s="171">
        <f>D64</f>
        <v>25900</v>
      </c>
      <c r="E73" s="172"/>
      <c r="F73" s="172"/>
      <c r="G73" s="174"/>
      <c r="H73" s="172"/>
      <c r="I73" s="175" t="str">
        <f>IFERROR(VLOOKUP(E73, 'Database Resto'!C:P, 13, FALSE),"")</f>
        <v/>
      </c>
      <c r="J73" s="227">
        <f t="shared" ref="J73:J74" si="33">I73*1000</f>
        <v>0</v>
      </c>
      <c r="K73" s="176">
        <f>SUM(K64:K72)</f>
        <v>10407.83796</v>
      </c>
      <c r="L73" s="177">
        <f>IFERROR(K73/D64, 0)</f>
        <v>0.4018470256</v>
      </c>
      <c r="M73" s="178">
        <f>D64-K73</f>
        <v>15492.16204</v>
      </c>
      <c r="N73" s="179">
        <f t="shared" ref="N73:N74" si="34">IFERROR(M73/D73, )</f>
        <v>0.5981529744</v>
      </c>
      <c r="O73" s="180" t="s">
        <v>733</v>
      </c>
      <c r="P73" s="181">
        <f>SUM(P64:P72)</f>
        <v>10470.7463</v>
      </c>
      <c r="Q73" s="182">
        <f>IFERROR(P73/D64, 0)</f>
        <v>0.4042759189</v>
      </c>
      <c r="R73" s="184">
        <f>D64-P73</f>
        <v>15429.2537</v>
      </c>
      <c r="S73" s="186">
        <f t="shared" ref="S73:S74" si="35">IFERROR(R73/D73, )</f>
        <v>0.5957240811</v>
      </c>
    </row>
    <row r="74">
      <c r="A74" s="150"/>
      <c r="B74" s="236" t="s">
        <v>3494</v>
      </c>
      <c r="C74" s="188" t="s">
        <v>3495</v>
      </c>
      <c r="D74" s="190">
        <f>IFERROR(VLOOKUP(B74, 'Database Resto'!C:P, 9, FALSE),"")</f>
        <v>25900</v>
      </c>
      <c r="E74" s="152" t="s">
        <v>3496</v>
      </c>
      <c r="F74" s="152" t="s">
        <v>3497</v>
      </c>
      <c r="G74" s="4">
        <v>60.0</v>
      </c>
      <c r="H74" s="152" t="s">
        <v>56</v>
      </c>
      <c r="I74" s="153">
        <f>IFERROR(VLOOKUP(E74, 'Database Resto'!C:P, 13, FALSE),"")</f>
        <v>83</v>
      </c>
      <c r="J74" s="154">
        <f t="shared" si="33"/>
        <v>83000</v>
      </c>
      <c r="K74" s="154">
        <f>IFERROR(VLOOKUP(E74, 'Database Resto'!C:P, 13, FALSE)* G74, 0)</f>
        <v>4980</v>
      </c>
      <c r="L74" s="193">
        <f>IF(D74="","", IFERROR(SUM(K74:K82)/D74, ""))</f>
        <v>0.4018470256</v>
      </c>
      <c r="M74" s="212">
        <f>IF(D74="","", D74-SUM(K74:K82))</f>
        <v>15492.16204</v>
      </c>
      <c r="N74" s="196">
        <f t="shared" si="34"/>
        <v>0.5981529744</v>
      </c>
      <c r="O74" s="159"/>
      <c r="P74" s="156">
        <f t="shared" ref="P74:P82" si="36">IF(O74=0, G74*I74, G74*O74)</f>
        <v>4980</v>
      </c>
      <c r="Q74" s="240">
        <f>IF(D74="","", IFERROR(SUM(P74:P82)/D74, ""))</f>
        <v>0.4042759189</v>
      </c>
      <c r="R74" s="206">
        <f>IF(D74="","", D74-SUM(P74:P82))</f>
        <v>15429.2537</v>
      </c>
      <c r="S74" s="207">
        <f t="shared" si="35"/>
        <v>0.5957240811</v>
      </c>
    </row>
    <row r="75">
      <c r="A75" s="150"/>
      <c r="C75" s="136"/>
      <c r="D75" s="137"/>
      <c r="E75" s="152" t="s">
        <v>3036</v>
      </c>
      <c r="F75" s="152" t="s">
        <v>3038</v>
      </c>
      <c r="G75" s="238">
        <v>1.0</v>
      </c>
      <c r="H75" s="239" t="s">
        <v>7</v>
      </c>
      <c r="I75" s="153">
        <f>IFERROR(VLOOKUP(E75, 'Database Resto'!C:P, 13, FALSE),"")</f>
        <v>279.9629385</v>
      </c>
      <c r="J75" s="154">
        <f t="shared" ref="J75:J76" si="37">I75</f>
        <v>279.9629385</v>
      </c>
      <c r="K75" s="154">
        <f>IFERROR(VLOOKUP(E75, 'Database Resto'!C:P, 13, FALSE)* G75, 0)</f>
        <v>279.9629385</v>
      </c>
      <c r="L75" s="137"/>
      <c r="M75" s="137"/>
      <c r="N75" s="137"/>
      <c r="O75" s="159"/>
      <c r="P75" s="156">
        <f t="shared" si="36"/>
        <v>279.9629385</v>
      </c>
      <c r="Q75" s="143"/>
      <c r="R75" s="137"/>
      <c r="S75" s="157"/>
    </row>
    <row r="76">
      <c r="A76" s="150"/>
      <c r="C76" s="136"/>
      <c r="D76" s="137"/>
      <c r="E76" s="152" t="s">
        <v>3119</v>
      </c>
      <c r="F76" s="152" t="s">
        <v>1914</v>
      </c>
      <c r="G76" s="4">
        <v>1.0</v>
      </c>
      <c r="H76" s="152" t="s">
        <v>7</v>
      </c>
      <c r="I76" s="153">
        <f>IFERROR(VLOOKUP(E76, 'Database Resto'!C:P, 13, FALSE),"")</f>
        <v>3000</v>
      </c>
      <c r="J76" s="154">
        <f t="shared" si="37"/>
        <v>3000</v>
      </c>
      <c r="K76" s="154">
        <f>IFERROR(VLOOKUP(E76, 'Database Resto'!C:P, 13, FALSE)* G76, 0)</f>
        <v>3000</v>
      </c>
      <c r="L76" s="137"/>
      <c r="M76" s="137"/>
      <c r="N76" s="137"/>
      <c r="O76" s="159"/>
      <c r="P76" s="156">
        <f t="shared" si="36"/>
        <v>3000</v>
      </c>
      <c r="Q76" s="143"/>
      <c r="R76" s="137"/>
      <c r="S76" s="157"/>
    </row>
    <row r="77">
      <c r="A77" s="150"/>
      <c r="C77" s="136"/>
      <c r="D77" s="137"/>
      <c r="E77" s="152" t="s">
        <v>3178</v>
      </c>
      <c r="F77" s="152" t="s">
        <v>3179</v>
      </c>
      <c r="G77" s="4">
        <v>25.0</v>
      </c>
      <c r="H77" s="152" t="s">
        <v>56</v>
      </c>
      <c r="I77" s="153">
        <f>IFERROR(VLOOKUP(E77, 'Database Resto'!C:P, 13, FALSE),"")</f>
        <v>12.58166762</v>
      </c>
      <c r="J77" s="154">
        <f t="shared" ref="J77:J80" si="38">I77*1000</f>
        <v>12581.66762</v>
      </c>
      <c r="K77" s="154">
        <f>IFERROR(VLOOKUP(E77, 'Database Resto'!C:P, 13, FALSE)* G77, 0)</f>
        <v>314.5416905</v>
      </c>
      <c r="L77" s="137"/>
      <c r="M77" s="137"/>
      <c r="N77" s="137"/>
      <c r="O77" s="159">
        <v>15.098001142204454</v>
      </c>
      <c r="P77" s="156">
        <f t="shared" si="36"/>
        <v>377.4500286</v>
      </c>
      <c r="Q77" s="143"/>
      <c r="R77" s="137"/>
      <c r="S77" s="157"/>
    </row>
    <row r="78">
      <c r="A78" s="150"/>
      <c r="C78" s="136"/>
      <c r="D78" s="137"/>
      <c r="E78" s="241" t="str">
        <f>IFERROR(__xludf.DUMMYFUNCTION("IF($C$4, FILTER(Pembungkus!B:E, Pembungkus!A:A=""Mie""), """")
"),"")</f>
        <v/>
      </c>
      <c r="F78" s="241"/>
      <c r="G78" s="241"/>
      <c r="H78" s="241"/>
      <c r="I78" s="242" t="str">
        <f>IFERROR(VLOOKUP(E78, 'Database Resto'!C:P, 13, FALSE),"")</f>
        <v/>
      </c>
      <c r="J78" s="243">
        <f t="shared" si="38"/>
        <v>0</v>
      </c>
      <c r="K78" s="243">
        <f>IFERROR(VLOOKUP(E78, 'Database Resto'!C:P, 13, FALSE)* G78, 0)</f>
        <v>0</v>
      </c>
      <c r="L78" s="137"/>
      <c r="M78" s="137"/>
      <c r="N78" s="137"/>
      <c r="O78" s="244" t="s">
        <v>733</v>
      </c>
      <c r="P78" s="166">
        <f t="shared" si="36"/>
        <v>0</v>
      </c>
      <c r="Q78" s="143"/>
      <c r="R78" s="137"/>
      <c r="S78" s="157"/>
    </row>
    <row r="79">
      <c r="A79" s="150"/>
      <c r="C79" s="136"/>
      <c r="D79" s="137"/>
      <c r="E79" s="241"/>
      <c r="F79" s="241"/>
      <c r="G79" s="241"/>
      <c r="H79" s="241"/>
      <c r="I79" s="242" t="str">
        <f>IFERROR(VLOOKUP(E79, 'Database Resto'!C:P, 13, FALSE),"")</f>
        <v/>
      </c>
      <c r="J79" s="243">
        <f t="shared" si="38"/>
        <v>0</v>
      </c>
      <c r="K79" s="243">
        <f>IFERROR(VLOOKUP(E79, 'Database Resto'!C:P, 13, FALSE)* G79, 0)</f>
        <v>0</v>
      </c>
      <c r="L79" s="137"/>
      <c r="M79" s="137"/>
      <c r="N79" s="137"/>
      <c r="O79" s="244" t="s">
        <v>733</v>
      </c>
      <c r="P79" s="166">
        <f t="shared" si="36"/>
        <v>0</v>
      </c>
      <c r="Q79" s="143"/>
      <c r="R79" s="137"/>
      <c r="S79" s="157"/>
    </row>
    <row r="80">
      <c r="A80" s="150"/>
      <c r="C80" s="136"/>
      <c r="D80" s="137"/>
      <c r="E80" s="241"/>
      <c r="F80" s="241"/>
      <c r="G80" s="241"/>
      <c r="H80" s="241"/>
      <c r="I80" s="242" t="str">
        <f>IFERROR(VLOOKUP(E80, 'Database Resto'!C:P, 13, FALSE),"")</f>
        <v/>
      </c>
      <c r="J80" s="243">
        <f t="shared" si="38"/>
        <v>0</v>
      </c>
      <c r="K80" s="243">
        <f>IFERROR(VLOOKUP(E80, 'Database Resto'!C:P, 13, FALSE)* G80, 0)</f>
        <v>0</v>
      </c>
      <c r="L80" s="137"/>
      <c r="M80" s="137"/>
      <c r="N80" s="137"/>
      <c r="O80" s="244" t="s">
        <v>733</v>
      </c>
      <c r="P80" s="166">
        <f t="shared" si="36"/>
        <v>0</v>
      </c>
      <c r="Q80" s="143"/>
      <c r="R80" s="137"/>
      <c r="S80" s="157"/>
    </row>
    <row r="81">
      <c r="A81" s="150"/>
      <c r="C81" s="136"/>
      <c r="D81" s="137"/>
      <c r="E81" s="241"/>
      <c r="F81" s="241"/>
      <c r="G81" s="241"/>
      <c r="H81" s="241"/>
      <c r="I81" s="242" t="str">
        <f>IFERROR(VLOOKUP(E81, 'Database Resto'!C:P, 13, FALSE),"")</f>
        <v/>
      </c>
      <c r="J81" s="243" t="str">
        <f t="shared" ref="J81:J82" si="39">I81</f>
        <v/>
      </c>
      <c r="K81" s="243">
        <f>IFERROR(VLOOKUP(E81, 'Database Resto'!C:P, 13, FALSE)* G81, 0)</f>
        <v>0</v>
      </c>
      <c r="L81" s="137"/>
      <c r="M81" s="137"/>
      <c r="N81" s="137"/>
      <c r="O81" s="244" t="s">
        <v>733</v>
      </c>
      <c r="P81" s="166">
        <f t="shared" si="36"/>
        <v>0</v>
      </c>
      <c r="Q81" s="143"/>
      <c r="R81" s="137"/>
      <c r="S81" s="157"/>
    </row>
    <row r="82">
      <c r="A82" s="150"/>
      <c r="B82" s="99"/>
      <c r="C82" s="66"/>
      <c r="D82" s="67"/>
      <c r="E82" s="246" t="str">
        <f>IFERROR(__xludf.DUMMYFUNCTION("IF($E$3="""","""",IFERROR(FILTER(Pembungkus!B:E, Pembungkus!C:C=$E$3),""""))"),"MNMN.30100")</f>
        <v>MNMN.30100</v>
      </c>
      <c r="F82" s="246" t="str">
        <f>IFERROR(__xludf.DUMMYFUNCTION("""COMPUTED_VALUE"""),"Air Mineral")</f>
        <v>Air Mineral</v>
      </c>
      <c r="G82" s="246">
        <f>IFERROR(__xludf.DUMMYFUNCTION("""COMPUTED_VALUE"""),1.0)</f>
        <v>1</v>
      </c>
      <c r="H82" s="246" t="str">
        <f>IFERROR(__xludf.DUMMYFUNCTION("""COMPUTED_VALUE"""),"Btl")</f>
        <v>Btl</v>
      </c>
      <c r="I82" s="250">
        <f>IFERROR(VLOOKUP(E82, 'Database Resto'!C:P, 13, FALSE),"")</f>
        <v>1833.333333</v>
      </c>
      <c r="J82" s="252">
        <f t="shared" si="39"/>
        <v>1833.333333</v>
      </c>
      <c r="K82" s="252">
        <f>IFERROR(VLOOKUP(E82, 'Database Resto'!C:P, 13, FALSE)* G82, 0)</f>
        <v>1833.333333</v>
      </c>
      <c r="L82" s="67"/>
      <c r="M82" s="67"/>
      <c r="N82" s="67"/>
      <c r="O82" s="253"/>
      <c r="P82" s="254">
        <f t="shared" si="36"/>
        <v>1833.333333</v>
      </c>
      <c r="Q82" s="75"/>
      <c r="R82" s="67"/>
      <c r="S82" s="168"/>
    </row>
    <row r="83" ht="18.0" customHeight="1">
      <c r="A83" s="150"/>
      <c r="B83" s="169"/>
      <c r="C83" s="226"/>
      <c r="D83" s="171">
        <f>D74</f>
        <v>25900</v>
      </c>
      <c r="E83" s="172"/>
      <c r="F83" s="172"/>
      <c r="G83" s="174"/>
      <c r="H83" s="172"/>
      <c r="I83" s="175" t="str">
        <f>IFERROR(VLOOKUP(E83, 'Database Resto'!C:P, 13, FALSE),"")</f>
        <v/>
      </c>
      <c r="J83" s="227">
        <f>I83*1000</f>
        <v>0</v>
      </c>
      <c r="K83" s="176">
        <f>SUM(K74:K82)</f>
        <v>10407.83796</v>
      </c>
      <c r="L83" s="177">
        <f>IFERROR(K83/D74, 0)</f>
        <v>0.4018470256</v>
      </c>
      <c r="M83" s="178">
        <f>D74-K83</f>
        <v>15492.16204</v>
      </c>
      <c r="N83" s="179">
        <f t="shared" ref="N83:N84" si="40">IFERROR(M83/D83, )</f>
        <v>0.5981529744</v>
      </c>
      <c r="O83" s="180" t="s">
        <v>733</v>
      </c>
      <c r="P83" s="181">
        <f>SUM(P74:P82)</f>
        <v>10470.7463</v>
      </c>
      <c r="Q83" s="182">
        <f>IFERROR(P83/D74, 0)</f>
        <v>0.4042759189</v>
      </c>
      <c r="R83" s="184">
        <f>D74-P83</f>
        <v>15429.2537</v>
      </c>
      <c r="S83" s="186">
        <f t="shared" ref="S83:S84" si="41">IFERROR(R83/D83, )</f>
        <v>0.5957240811</v>
      </c>
    </row>
    <row r="84">
      <c r="A84" s="150"/>
      <c r="B84" s="236" t="s">
        <v>3525</v>
      </c>
      <c r="C84" s="188" t="s">
        <v>3526</v>
      </c>
      <c r="D84" s="190">
        <f>IFERROR(VLOOKUP(B84, 'Database Resto'!C:P, 9, FALSE),"")</f>
        <v>25900</v>
      </c>
      <c r="E84" s="152" t="s">
        <v>3485</v>
      </c>
      <c r="F84" s="152" t="s">
        <v>3486</v>
      </c>
      <c r="G84" s="4">
        <v>1.0</v>
      </c>
      <c r="H84" s="152" t="s">
        <v>7</v>
      </c>
      <c r="I84" s="153">
        <f>IFERROR(VLOOKUP(E84, 'Database Resto'!C:P, 13, FALSE),"")</f>
        <v>3150</v>
      </c>
      <c r="J84" s="154">
        <f t="shared" ref="J84:J87" si="42">I84</f>
        <v>3150</v>
      </c>
      <c r="K84" s="154">
        <f>IFERROR(VLOOKUP(E84, 'Database Resto'!C:P, 13, FALSE)* G84, 0)</f>
        <v>3150</v>
      </c>
      <c r="L84" s="193">
        <f>IF(D84="","", IFERROR(SUM(K84:K92)/D84, ""))</f>
        <v>0.3311906549</v>
      </c>
      <c r="M84" s="212">
        <f>IF(D84="","", D84-SUM(K84:K92))</f>
        <v>17322.16204</v>
      </c>
      <c r="N84" s="196">
        <f t="shared" si="40"/>
        <v>0.6688093451</v>
      </c>
      <c r="O84" s="159"/>
      <c r="P84" s="156">
        <f t="shared" ref="P84:P92" si="43">IF(O84=0, G84*I84, G84*O84)</f>
        <v>3150</v>
      </c>
      <c r="Q84" s="240">
        <f>IF(D84="","", IFERROR(SUM(P84:P92)/D84, ""))</f>
        <v>0.3336195483</v>
      </c>
      <c r="R84" s="206">
        <f>IF(D84="","", D84-SUM(P84:P92))</f>
        <v>17259.2537</v>
      </c>
      <c r="S84" s="207">
        <f t="shared" si="41"/>
        <v>0.6663804517</v>
      </c>
    </row>
    <row r="85">
      <c r="A85" s="150"/>
      <c r="C85" s="136"/>
      <c r="D85" s="137"/>
      <c r="E85" s="152" t="s">
        <v>3036</v>
      </c>
      <c r="F85" s="152" t="s">
        <v>3038</v>
      </c>
      <c r="G85" s="238">
        <v>1.0</v>
      </c>
      <c r="H85" s="239" t="s">
        <v>7</v>
      </c>
      <c r="I85" s="153">
        <f>IFERROR(VLOOKUP(E85, 'Database Resto'!C:P, 13, FALSE),"")</f>
        <v>279.9629385</v>
      </c>
      <c r="J85" s="154">
        <f t="shared" si="42"/>
        <v>279.9629385</v>
      </c>
      <c r="K85" s="154">
        <f>IFERROR(VLOOKUP(E85, 'Database Resto'!C:P, 13, FALSE)* G85, 0)</f>
        <v>279.9629385</v>
      </c>
      <c r="L85" s="137"/>
      <c r="M85" s="137"/>
      <c r="N85" s="137"/>
      <c r="O85" s="159"/>
      <c r="P85" s="156">
        <f t="shared" si="43"/>
        <v>279.9629385</v>
      </c>
      <c r="Q85" s="143"/>
      <c r="R85" s="137"/>
      <c r="S85" s="157"/>
    </row>
    <row r="86">
      <c r="A86" s="150"/>
      <c r="C86" s="136"/>
      <c r="D86" s="137"/>
      <c r="E86" s="152" t="s">
        <v>3119</v>
      </c>
      <c r="F86" s="152" t="s">
        <v>1914</v>
      </c>
      <c r="G86" s="4">
        <v>1.0</v>
      </c>
      <c r="H86" s="152" t="s">
        <v>7</v>
      </c>
      <c r="I86" s="153">
        <f>IFERROR(VLOOKUP(E86, 'Database Resto'!C:P, 13, FALSE),"")</f>
        <v>3000</v>
      </c>
      <c r="J86" s="154">
        <f t="shared" si="42"/>
        <v>3000</v>
      </c>
      <c r="K86" s="154">
        <f>IFERROR(VLOOKUP(E86, 'Database Resto'!C:P, 13, FALSE)* G86, 0)</f>
        <v>3000</v>
      </c>
      <c r="L86" s="137"/>
      <c r="M86" s="137"/>
      <c r="N86" s="137"/>
      <c r="O86" s="159"/>
      <c r="P86" s="156">
        <f t="shared" si="43"/>
        <v>3000</v>
      </c>
      <c r="Q86" s="143"/>
      <c r="R86" s="137"/>
      <c r="S86" s="157"/>
    </row>
    <row r="87">
      <c r="A87" s="150"/>
      <c r="C87" s="136"/>
      <c r="D87" s="137"/>
      <c r="E87" s="152" t="s">
        <v>3178</v>
      </c>
      <c r="F87" s="152" t="s">
        <v>3179</v>
      </c>
      <c r="G87" s="4">
        <v>25.0</v>
      </c>
      <c r="H87" s="152" t="s">
        <v>56</v>
      </c>
      <c r="I87" s="153">
        <f>IFERROR(VLOOKUP(E87, 'Database Resto'!C:P, 13, FALSE),"")</f>
        <v>12.58166762</v>
      </c>
      <c r="J87" s="154">
        <f t="shared" si="42"/>
        <v>12.58166762</v>
      </c>
      <c r="K87" s="154">
        <f>IFERROR(VLOOKUP(E87, 'Database Resto'!C:P, 13, FALSE)* G87, 0)</f>
        <v>314.5416905</v>
      </c>
      <c r="L87" s="137"/>
      <c r="M87" s="137"/>
      <c r="N87" s="137"/>
      <c r="O87" s="159">
        <v>15.098001142204454</v>
      </c>
      <c r="P87" s="156">
        <f t="shared" si="43"/>
        <v>377.4500286</v>
      </c>
      <c r="Q87" s="143"/>
      <c r="R87" s="137"/>
      <c r="S87" s="157"/>
    </row>
    <row r="88">
      <c r="A88" s="150"/>
      <c r="C88" s="136"/>
      <c r="D88" s="137"/>
      <c r="E88" s="241" t="str">
        <f>IFERROR(__xludf.DUMMYFUNCTION("IF($C$4, FILTER(Pembungkus!B:E, Pembungkus!A:A=""Mie""), """")
"),"")</f>
        <v/>
      </c>
      <c r="F88" s="241"/>
      <c r="G88" s="241"/>
      <c r="H88" s="241"/>
      <c r="I88" s="242" t="str">
        <f>IFERROR(VLOOKUP(E88, 'Database Resto'!C:P, 13, FALSE),"")</f>
        <v/>
      </c>
      <c r="J88" s="243">
        <f t="shared" ref="J88:J90" si="44">I88*1000</f>
        <v>0</v>
      </c>
      <c r="K88" s="243">
        <f>IFERROR(VLOOKUP(E88, 'Database Resto'!C:P, 13, FALSE)* G88, 0)</f>
        <v>0</v>
      </c>
      <c r="L88" s="137"/>
      <c r="M88" s="137"/>
      <c r="N88" s="137"/>
      <c r="O88" s="244" t="s">
        <v>733</v>
      </c>
      <c r="P88" s="166">
        <f t="shared" si="43"/>
        <v>0</v>
      </c>
      <c r="Q88" s="143"/>
      <c r="R88" s="137"/>
      <c r="S88" s="157"/>
    </row>
    <row r="89">
      <c r="A89" s="150"/>
      <c r="C89" s="136"/>
      <c r="D89" s="137"/>
      <c r="E89" s="241"/>
      <c r="F89" s="241"/>
      <c r="G89" s="241"/>
      <c r="H89" s="241"/>
      <c r="I89" s="242" t="str">
        <f>IFERROR(VLOOKUP(E89, 'Database Resto'!C:P, 13, FALSE),"")</f>
        <v/>
      </c>
      <c r="J89" s="243">
        <f t="shared" si="44"/>
        <v>0</v>
      </c>
      <c r="K89" s="243">
        <f>IFERROR(VLOOKUP(E89, 'Database Resto'!C:P, 13, FALSE)* G89, 0)</f>
        <v>0</v>
      </c>
      <c r="L89" s="137"/>
      <c r="M89" s="137"/>
      <c r="N89" s="137"/>
      <c r="O89" s="244" t="s">
        <v>733</v>
      </c>
      <c r="P89" s="166">
        <f t="shared" si="43"/>
        <v>0</v>
      </c>
      <c r="Q89" s="143"/>
      <c r="R89" s="137"/>
      <c r="S89" s="157"/>
    </row>
    <row r="90">
      <c r="A90" s="150"/>
      <c r="C90" s="136"/>
      <c r="D90" s="137"/>
      <c r="E90" s="241"/>
      <c r="F90" s="241"/>
      <c r="G90" s="241"/>
      <c r="H90" s="241"/>
      <c r="I90" s="242" t="str">
        <f>IFERROR(VLOOKUP(E90, 'Database Resto'!C:P, 13, FALSE),"")</f>
        <v/>
      </c>
      <c r="J90" s="243">
        <f t="shared" si="44"/>
        <v>0</v>
      </c>
      <c r="K90" s="243">
        <f>IFERROR(VLOOKUP(E90, 'Database Resto'!C:P, 13, FALSE)* G90, 0)</f>
        <v>0</v>
      </c>
      <c r="L90" s="137"/>
      <c r="M90" s="137"/>
      <c r="N90" s="137"/>
      <c r="O90" s="244" t="s">
        <v>733</v>
      </c>
      <c r="P90" s="166">
        <f t="shared" si="43"/>
        <v>0</v>
      </c>
      <c r="Q90" s="143"/>
      <c r="R90" s="137"/>
      <c r="S90" s="157"/>
    </row>
    <row r="91">
      <c r="A91" s="150"/>
      <c r="C91" s="136"/>
      <c r="D91" s="137"/>
      <c r="E91" s="241"/>
      <c r="F91" s="241"/>
      <c r="G91" s="241"/>
      <c r="H91" s="241"/>
      <c r="I91" s="242" t="str">
        <f>IFERROR(VLOOKUP(E91, 'Database Resto'!C:P, 13, FALSE),"")</f>
        <v/>
      </c>
      <c r="J91" s="243" t="str">
        <f t="shared" ref="J91:J92" si="45">I91</f>
        <v/>
      </c>
      <c r="K91" s="243">
        <f>IFERROR(VLOOKUP(E91, 'Database Resto'!C:P, 13, FALSE)* G91, 0)</f>
        <v>0</v>
      </c>
      <c r="L91" s="137"/>
      <c r="M91" s="137"/>
      <c r="N91" s="137"/>
      <c r="O91" s="244" t="s">
        <v>733</v>
      </c>
      <c r="P91" s="166">
        <f t="shared" si="43"/>
        <v>0</v>
      </c>
      <c r="Q91" s="143"/>
      <c r="R91" s="137"/>
      <c r="S91" s="157"/>
    </row>
    <row r="92">
      <c r="A92" s="150"/>
      <c r="B92" s="99"/>
      <c r="C92" s="66"/>
      <c r="D92" s="67"/>
      <c r="E92" s="246" t="str">
        <f>IFERROR(__xludf.DUMMYFUNCTION("IF($E$3="""","""",IFERROR(FILTER(Pembungkus!B:E, Pembungkus!C:C=$E$3),""""))"),"MNMN.30100")</f>
        <v>MNMN.30100</v>
      </c>
      <c r="F92" s="246" t="str">
        <f>IFERROR(__xludf.DUMMYFUNCTION("""COMPUTED_VALUE"""),"Air Mineral")</f>
        <v>Air Mineral</v>
      </c>
      <c r="G92" s="246">
        <f>IFERROR(__xludf.DUMMYFUNCTION("""COMPUTED_VALUE"""),1.0)</f>
        <v>1</v>
      </c>
      <c r="H92" s="246" t="str">
        <f>IFERROR(__xludf.DUMMYFUNCTION("""COMPUTED_VALUE"""),"Btl")</f>
        <v>Btl</v>
      </c>
      <c r="I92" s="250">
        <f>IFERROR(VLOOKUP(E92, 'Database Resto'!C:P, 13, FALSE),"")</f>
        <v>1833.333333</v>
      </c>
      <c r="J92" s="252">
        <f t="shared" si="45"/>
        <v>1833.333333</v>
      </c>
      <c r="K92" s="252">
        <f>IFERROR(VLOOKUP(E92, 'Database Resto'!C:P, 13, FALSE)* G92, 0)</f>
        <v>1833.333333</v>
      </c>
      <c r="L92" s="67"/>
      <c r="M92" s="67"/>
      <c r="N92" s="67"/>
      <c r="O92" s="253"/>
      <c r="P92" s="254">
        <f t="shared" si="43"/>
        <v>1833.333333</v>
      </c>
      <c r="Q92" s="75"/>
      <c r="R92" s="67"/>
      <c r="S92" s="168"/>
    </row>
    <row r="93" ht="18.0" customHeight="1">
      <c r="A93" s="150"/>
      <c r="B93" s="169"/>
      <c r="C93" s="226"/>
      <c r="D93" s="171">
        <f>D84</f>
        <v>25900</v>
      </c>
      <c r="E93" s="172"/>
      <c r="F93" s="172"/>
      <c r="G93" s="174"/>
      <c r="H93" s="172"/>
      <c r="I93" s="175" t="str">
        <f>IFERROR(VLOOKUP(E93, 'Database Resto'!C:P, 13, FALSE),"")</f>
        <v/>
      </c>
      <c r="J93" s="227">
        <f t="shared" ref="J93:J95" si="46">I93*1000</f>
        <v>0</v>
      </c>
      <c r="K93" s="176">
        <f>SUM(K84:K92)</f>
        <v>8577.837962</v>
      </c>
      <c r="L93" s="177">
        <f>IFERROR(K93/D84, 0)</f>
        <v>0.3311906549</v>
      </c>
      <c r="M93" s="178">
        <f>D84-K93</f>
        <v>17322.16204</v>
      </c>
      <c r="N93" s="179">
        <f t="shared" ref="N93:N94" si="47">IFERROR(M93/D93, )</f>
        <v>0.6688093451</v>
      </c>
      <c r="O93" s="180" t="s">
        <v>733</v>
      </c>
      <c r="P93" s="181">
        <f>SUM(P84:P92)</f>
        <v>8640.7463</v>
      </c>
      <c r="Q93" s="182">
        <f>IFERROR(P93/D84, 0)</f>
        <v>0.3336195483</v>
      </c>
      <c r="R93" s="184">
        <f>D84-P93</f>
        <v>17259.2537</v>
      </c>
      <c r="S93" s="186">
        <f t="shared" ref="S93:S94" si="48">IFERROR(R93/D93, )</f>
        <v>0.6663804517</v>
      </c>
    </row>
    <row r="94">
      <c r="A94" s="150"/>
      <c r="B94" s="236" t="s">
        <v>3552</v>
      </c>
      <c r="C94" s="188" t="s">
        <v>3553</v>
      </c>
      <c r="D94" s="287">
        <v>32900.0</v>
      </c>
      <c r="E94" s="152" t="s">
        <v>3520</v>
      </c>
      <c r="F94" s="152" t="s">
        <v>3521</v>
      </c>
      <c r="G94" s="4">
        <v>52.0</v>
      </c>
      <c r="H94" s="152" t="s">
        <v>56</v>
      </c>
      <c r="I94" s="153">
        <f>IFERROR(VLOOKUP(E94, 'Database Resto'!C:P, 13, FALSE),"")</f>
        <v>19.51270651</v>
      </c>
      <c r="J94" s="154">
        <f t="shared" si="46"/>
        <v>19512.70651</v>
      </c>
      <c r="K94" s="154">
        <f>IFERROR(VLOOKUP(E94, 'Database Resto'!C:P, 13, FALSE)* G94, 0)</f>
        <v>1014.660738</v>
      </c>
      <c r="L94" s="193">
        <f>IF(D94="","", IFERROR(SUM(K94:K104)/D94, ""))</f>
        <v>0.4910963946</v>
      </c>
      <c r="M94" s="212">
        <f>IF(D94="","", D94-SUM(K94:K104))</f>
        <v>16742.92862</v>
      </c>
      <c r="N94" s="196">
        <f t="shared" si="47"/>
        <v>0.5089036054</v>
      </c>
      <c r="O94" s="159">
        <v>23.41524780681319</v>
      </c>
      <c r="P94" s="156">
        <f t="shared" ref="P94:P104" si="49">IF(O94=0, G94*I94, G94*O94)</f>
        <v>1217.592886</v>
      </c>
      <c r="Q94" s="240">
        <f>IF(D94="","", IFERROR(SUM(P94:P104)/D94, ""))</f>
        <v>0.5239372197</v>
      </c>
      <c r="R94" s="206">
        <f>IF(D94="","", D94-SUM(P94:P104))</f>
        <v>15662.46547</v>
      </c>
      <c r="S94" s="207">
        <f t="shared" si="48"/>
        <v>0.4760627803</v>
      </c>
    </row>
    <row r="95">
      <c r="A95" s="150"/>
      <c r="C95" s="136"/>
      <c r="D95" s="137"/>
      <c r="E95" s="152" t="s">
        <v>3522</v>
      </c>
      <c r="F95" s="152" t="s">
        <v>3523</v>
      </c>
      <c r="G95" s="4">
        <v>70.0</v>
      </c>
      <c r="H95" s="152" t="s">
        <v>56</v>
      </c>
      <c r="I95" s="153">
        <f>IFERROR(VLOOKUP(E95, 'Database Resto'!C:P, 13, FALSE),"")</f>
        <v>116.3746655</v>
      </c>
      <c r="J95" s="154">
        <f t="shared" si="46"/>
        <v>116374.6655</v>
      </c>
      <c r="K95" s="154">
        <f>IFERROR(VLOOKUP(E95, 'Database Resto'!C:P, 13, FALSE)* G95, 0)</f>
        <v>8146.226583</v>
      </c>
      <c r="L95" s="137"/>
      <c r="M95" s="137"/>
      <c r="N95" s="137"/>
      <c r="O95" s="159">
        <v>128.0121320249777</v>
      </c>
      <c r="P95" s="156">
        <f t="shared" si="49"/>
        <v>8960.849242</v>
      </c>
      <c r="Q95" s="143"/>
      <c r="R95" s="137"/>
      <c r="S95" s="157"/>
    </row>
    <row r="96">
      <c r="A96" s="150"/>
      <c r="C96" s="136"/>
      <c r="D96" s="137"/>
      <c r="E96" s="152" t="s">
        <v>3036</v>
      </c>
      <c r="F96" s="152" t="s">
        <v>3038</v>
      </c>
      <c r="G96" s="238">
        <v>1.0</v>
      </c>
      <c r="H96" s="239" t="s">
        <v>7</v>
      </c>
      <c r="I96" s="153">
        <f>IFERROR(VLOOKUP(E96, 'Database Resto'!C:P, 13, FALSE),"")</f>
        <v>279.9629385</v>
      </c>
      <c r="J96" s="154">
        <f t="shared" ref="J96:J97" si="50">I96</f>
        <v>279.9629385</v>
      </c>
      <c r="K96" s="154">
        <f>IFERROR(VLOOKUP(E96, 'Database Resto'!C:P, 13, FALSE)* G96, 0)</f>
        <v>279.9629385</v>
      </c>
      <c r="L96" s="137"/>
      <c r="M96" s="137"/>
      <c r="N96" s="137"/>
      <c r="O96" s="159"/>
      <c r="P96" s="156">
        <f t="shared" si="49"/>
        <v>279.9629385</v>
      </c>
      <c r="Q96" s="143"/>
      <c r="R96" s="137"/>
      <c r="S96" s="157"/>
    </row>
    <row r="97">
      <c r="A97" s="150"/>
      <c r="C97" s="136"/>
      <c r="D97" s="137"/>
      <c r="E97" s="152" t="s">
        <v>3119</v>
      </c>
      <c r="F97" s="152" t="s">
        <v>1914</v>
      </c>
      <c r="G97" s="4">
        <v>1.0</v>
      </c>
      <c r="H97" s="152" t="s">
        <v>7</v>
      </c>
      <c r="I97" s="153">
        <f>IFERROR(VLOOKUP(E97, 'Database Resto'!C:P, 13, FALSE),"")</f>
        <v>3000</v>
      </c>
      <c r="J97" s="154">
        <f t="shared" si="50"/>
        <v>3000</v>
      </c>
      <c r="K97" s="154">
        <f>IFERROR(VLOOKUP(E97, 'Database Resto'!C:P, 13, FALSE)* G97, 0)</f>
        <v>3000</v>
      </c>
      <c r="L97" s="137"/>
      <c r="M97" s="137"/>
      <c r="N97" s="137"/>
      <c r="O97" s="159"/>
      <c r="P97" s="156">
        <f t="shared" si="49"/>
        <v>3000</v>
      </c>
      <c r="Q97" s="143"/>
      <c r="R97" s="137"/>
      <c r="S97" s="157"/>
    </row>
    <row r="98">
      <c r="A98" s="150"/>
      <c r="C98" s="136"/>
      <c r="D98" s="137"/>
      <c r="E98" s="152" t="s">
        <v>3178</v>
      </c>
      <c r="F98" s="152" t="s">
        <v>3179</v>
      </c>
      <c r="G98" s="4">
        <v>25.0</v>
      </c>
      <c r="H98" s="152" t="s">
        <v>56</v>
      </c>
      <c r="I98" s="153">
        <f>IFERROR(VLOOKUP(E98, 'Database Resto'!C:P, 13, FALSE),"")</f>
        <v>12.58166762</v>
      </c>
      <c r="J98" s="154">
        <f t="shared" ref="J98:J102" si="51">I98*1000</f>
        <v>12581.66762</v>
      </c>
      <c r="K98" s="154">
        <f>IFERROR(VLOOKUP(E98, 'Database Resto'!C:P, 13, FALSE)* G98, 0)</f>
        <v>314.5416905</v>
      </c>
      <c r="L98" s="137"/>
      <c r="M98" s="137"/>
      <c r="N98" s="137"/>
      <c r="O98" s="159">
        <v>15.098001142204454</v>
      </c>
      <c r="P98" s="156">
        <f t="shared" si="49"/>
        <v>377.4500286</v>
      </c>
      <c r="Q98" s="143"/>
      <c r="R98" s="137"/>
      <c r="S98" s="157"/>
    </row>
    <row r="99">
      <c r="A99" s="150"/>
      <c r="C99" s="136"/>
      <c r="D99" s="137"/>
      <c r="E99" s="152" t="s">
        <v>3500</v>
      </c>
      <c r="F99" s="152" t="s">
        <v>3501</v>
      </c>
      <c r="G99" s="4">
        <v>50.0</v>
      </c>
      <c r="H99" s="152" t="s">
        <v>56</v>
      </c>
      <c r="I99" s="153">
        <f>IFERROR(VLOOKUP(E99, 'Database Resto'!C:P, 13, FALSE),"")</f>
        <v>31.36692198</v>
      </c>
      <c r="J99" s="154">
        <f t="shared" si="51"/>
        <v>31366.92198</v>
      </c>
      <c r="K99" s="154">
        <f>IFERROR(VLOOKUP(E99, 'Database Resto'!C:P, 13, FALSE)* G99, 0)</f>
        <v>1568.346099</v>
      </c>
      <c r="L99" s="137"/>
      <c r="M99" s="137"/>
      <c r="N99" s="137"/>
      <c r="O99" s="159"/>
      <c r="P99" s="156">
        <f t="shared" si="49"/>
        <v>1568.346099</v>
      </c>
      <c r="Q99" s="143"/>
      <c r="R99" s="137"/>
      <c r="S99" s="157"/>
    </row>
    <row r="100">
      <c r="A100" s="150"/>
      <c r="C100" s="136"/>
      <c r="D100" s="137"/>
      <c r="E100" s="241" t="str">
        <f>IFERROR(__xludf.DUMMYFUNCTION("IF($C$4, FILTER(Pembungkus!B:E, Pembungkus!A:A=""Mie""), """")
"),"")</f>
        <v/>
      </c>
      <c r="F100" s="241"/>
      <c r="G100" s="241"/>
      <c r="H100" s="241"/>
      <c r="I100" s="242" t="str">
        <f>IFERROR(VLOOKUP(E100, 'Database Resto'!C:P, 13, FALSE),"")</f>
        <v/>
      </c>
      <c r="J100" s="243">
        <f t="shared" si="51"/>
        <v>0</v>
      </c>
      <c r="K100" s="243">
        <f>IFERROR(VLOOKUP(E100, 'Database Resto'!C:P, 13, FALSE)* G100, 0)</f>
        <v>0</v>
      </c>
      <c r="L100" s="137"/>
      <c r="M100" s="137"/>
      <c r="N100" s="137"/>
      <c r="O100" s="244" t="s">
        <v>733</v>
      </c>
      <c r="P100" s="166">
        <f t="shared" si="49"/>
        <v>0</v>
      </c>
      <c r="Q100" s="143"/>
      <c r="R100" s="137"/>
      <c r="S100" s="157"/>
    </row>
    <row r="101">
      <c r="A101" s="150"/>
      <c r="C101" s="136"/>
      <c r="D101" s="137"/>
      <c r="E101" s="241"/>
      <c r="F101" s="241"/>
      <c r="G101" s="241"/>
      <c r="H101" s="241"/>
      <c r="I101" s="242" t="str">
        <f>IFERROR(VLOOKUP(E101, 'Database Resto'!C:P, 13, FALSE),"")</f>
        <v/>
      </c>
      <c r="J101" s="243">
        <f t="shared" si="51"/>
        <v>0</v>
      </c>
      <c r="K101" s="243">
        <f>IFERROR(VLOOKUP(E101, 'Database Resto'!C:P, 13, FALSE)* G101, 0)</f>
        <v>0</v>
      </c>
      <c r="L101" s="137"/>
      <c r="M101" s="137"/>
      <c r="N101" s="137"/>
      <c r="O101" s="244" t="s">
        <v>733</v>
      </c>
      <c r="P101" s="166">
        <f t="shared" si="49"/>
        <v>0</v>
      </c>
      <c r="Q101" s="143"/>
      <c r="R101" s="137"/>
      <c r="S101" s="157"/>
    </row>
    <row r="102">
      <c r="A102" s="150"/>
      <c r="C102" s="136"/>
      <c r="D102" s="137"/>
      <c r="E102" s="241"/>
      <c r="F102" s="241"/>
      <c r="G102" s="241"/>
      <c r="H102" s="241"/>
      <c r="I102" s="242" t="str">
        <f>IFERROR(VLOOKUP(E102, 'Database Resto'!C:P, 13, FALSE),"")</f>
        <v/>
      </c>
      <c r="J102" s="243">
        <f t="shared" si="51"/>
        <v>0</v>
      </c>
      <c r="K102" s="243">
        <f>IFERROR(VLOOKUP(E102, 'Database Resto'!C:P, 13, FALSE)* G102, 0)</f>
        <v>0</v>
      </c>
      <c r="L102" s="137"/>
      <c r="M102" s="137"/>
      <c r="N102" s="137"/>
      <c r="O102" s="244" t="s">
        <v>733</v>
      </c>
      <c r="P102" s="166">
        <f t="shared" si="49"/>
        <v>0</v>
      </c>
      <c r="Q102" s="143"/>
      <c r="R102" s="137"/>
      <c r="S102" s="157"/>
    </row>
    <row r="103">
      <c r="A103" s="150"/>
      <c r="C103" s="136"/>
      <c r="D103" s="137"/>
      <c r="E103" s="241"/>
      <c r="F103" s="241"/>
      <c r="G103" s="241"/>
      <c r="H103" s="241"/>
      <c r="I103" s="242" t="str">
        <f>IFERROR(VLOOKUP(E103, 'Database Resto'!C:P, 13, FALSE),"")</f>
        <v/>
      </c>
      <c r="J103" s="243" t="str">
        <f t="shared" ref="J103:J104" si="52">I103</f>
        <v/>
      </c>
      <c r="K103" s="243">
        <f>IFERROR(VLOOKUP(E103, 'Database Resto'!C:P, 13, FALSE)* G103, 0)</f>
        <v>0</v>
      </c>
      <c r="L103" s="137"/>
      <c r="M103" s="137"/>
      <c r="N103" s="137"/>
      <c r="O103" s="244" t="s">
        <v>733</v>
      </c>
      <c r="P103" s="166">
        <f t="shared" si="49"/>
        <v>0</v>
      </c>
      <c r="Q103" s="143"/>
      <c r="R103" s="137"/>
      <c r="S103" s="157"/>
    </row>
    <row r="104">
      <c r="A104" s="150"/>
      <c r="B104" s="99"/>
      <c r="C104" s="66"/>
      <c r="D104" s="67"/>
      <c r="E104" s="246" t="str">
        <f>IFERROR(__xludf.DUMMYFUNCTION("IF($E$3="""","""",IFERROR(FILTER(Pembungkus!B:E, Pembungkus!C:C=$E$3),""""))"),"MNMN.30100")</f>
        <v>MNMN.30100</v>
      </c>
      <c r="F104" s="246" t="str">
        <f>IFERROR(__xludf.DUMMYFUNCTION("""COMPUTED_VALUE"""),"Air Mineral")</f>
        <v>Air Mineral</v>
      </c>
      <c r="G104" s="246">
        <f>IFERROR(__xludf.DUMMYFUNCTION("""COMPUTED_VALUE"""),1.0)</f>
        <v>1</v>
      </c>
      <c r="H104" s="246" t="str">
        <f>IFERROR(__xludf.DUMMYFUNCTION("""COMPUTED_VALUE"""),"Btl")</f>
        <v>Btl</v>
      </c>
      <c r="I104" s="250">
        <f>IFERROR(VLOOKUP(E104, 'Database Resto'!C:P, 13, FALSE),"")</f>
        <v>1833.333333</v>
      </c>
      <c r="J104" s="252">
        <f t="shared" si="52"/>
        <v>1833.333333</v>
      </c>
      <c r="K104" s="252">
        <f>IFERROR(VLOOKUP(E104, 'Database Resto'!C:P, 13, FALSE)* G104, 0)</f>
        <v>1833.333333</v>
      </c>
      <c r="L104" s="67"/>
      <c r="M104" s="67"/>
      <c r="N104" s="67"/>
      <c r="O104" s="253"/>
      <c r="P104" s="254">
        <f t="shared" si="49"/>
        <v>1833.333333</v>
      </c>
      <c r="Q104" s="75"/>
      <c r="R104" s="67"/>
      <c r="S104" s="168"/>
    </row>
    <row r="105" ht="18.0" customHeight="1">
      <c r="A105" s="150"/>
      <c r="B105" s="169"/>
      <c r="C105" s="226"/>
      <c r="D105" s="171">
        <f>D94</f>
        <v>32900</v>
      </c>
      <c r="E105" s="172"/>
      <c r="F105" s="172"/>
      <c r="G105" s="288"/>
      <c r="H105" s="289"/>
      <c r="I105" s="175" t="str">
        <f>IFERROR(VLOOKUP(E105, 'Database Resto'!C:P, 13, FALSE),"")</f>
        <v/>
      </c>
      <c r="J105" s="227">
        <f>I105*1000</f>
        <v>0</v>
      </c>
      <c r="K105" s="176">
        <f>SUM(K94:K104)</f>
        <v>16157.07138</v>
      </c>
      <c r="L105" s="177">
        <f>IFERROR(K105/D94, 0)</f>
        <v>0.4910963946</v>
      </c>
      <c r="M105" s="178">
        <f>D94-K105</f>
        <v>16742.92862</v>
      </c>
      <c r="N105" s="179">
        <f t="shared" ref="N105:N106" si="53">IFERROR(M105/D105, )</f>
        <v>0.5089036054</v>
      </c>
      <c r="O105" s="180" t="s">
        <v>733</v>
      </c>
      <c r="P105" s="181">
        <f>SUM(P94:P104)</f>
        <v>17237.53453</v>
      </c>
      <c r="Q105" s="182">
        <f>IFERROR(P105/D94, 0)</f>
        <v>0.5239372197</v>
      </c>
      <c r="R105" s="184">
        <f>D94-P105</f>
        <v>15662.46547</v>
      </c>
      <c r="S105" s="186">
        <f t="shared" ref="S105:S106" si="54">IFERROR(R105/D105, )</f>
        <v>0.4760627803</v>
      </c>
    </row>
    <row r="106">
      <c r="A106" s="150"/>
      <c r="B106" s="236" t="s">
        <v>3554</v>
      </c>
      <c r="C106" s="188" t="s">
        <v>3555</v>
      </c>
      <c r="D106" s="190">
        <f>IFERROR(VLOOKUP(B106, 'Database Resto'!C:P, 9, FALSE),"")</f>
        <v>9900</v>
      </c>
      <c r="E106" s="152" t="s">
        <v>3036</v>
      </c>
      <c r="F106" s="152" t="s">
        <v>3038</v>
      </c>
      <c r="G106" s="238">
        <v>1.0</v>
      </c>
      <c r="H106" s="239" t="s">
        <v>7</v>
      </c>
      <c r="I106" s="153">
        <f>IFERROR(VLOOKUP(E106, 'Database Resto'!C:P, 13, FALSE),"")</f>
        <v>279.9629385</v>
      </c>
      <c r="J106" s="154">
        <f t="shared" ref="J106:J107" si="55">I106</f>
        <v>279.9629385</v>
      </c>
      <c r="K106" s="154">
        <f>IFERROR(VLOOKUP(E106, 'Database Resto'!C:P, 13, FALSE)* G106, 0)</f>
        <v>279.9629385</v>
      </c>
      <c r="L106" s="193">
        <f>IF(D106="","", IFERROR(SUM(K106:K113)/D106, ""))</f>
        <v>0.5482664608</v>
      </c>
      <c r="M106" s="212">
        <f>IF(D106="","", D106-SUM(K106:K113))</f>
        <v>4472.162038</v>
      </c>
      <c r="N106" s="196">
        <f t="shared" si="53"/>
        <v>0.4517335392</v>
      </c>
      <c r="O106" s="159"/>
      <c r="P106" s="156">
        <f t="shared" ref="P106:P113" si="56">IF(O106=0, G106*I106, G106*O106)</f>
        <v>279.9629385</v>
      </c>
      <c r="Q106" s="240">
        <f>IF(D106="","", IFERROR(SUM(P106:P113)/D106, ""))</f>
        <v>0.5546208384</v>
      </c>
      <c r="R106" s="206">
        <f>IF(D106="","", D106-SUM(P106:P113))</f>
        <v>4409.2537</v>
      </c>
      <c r="S106" s="207">
        <f t="shared" si="54"/>
        <v>0.4453791616</v>
      </c>
    </row>
    <row r="107">
      <c r="A107" s="150"/>
      <c r="C107" s="136"/>
      <c r="D107" s="137"/>
      <c r="E107" s="152" t="s">
        <v>3119</v>
      </c>
      <c r="F107" s="152" t="s">
        <v>1914</v>
      </c>
      <c r="G107" s="4">
        <v>1.0</v>
      </c>
      <c r="H107" s="152" t="s">
        <v>7</v>
      </c>
      <c r="I107" s="153">
        <f>IFERROR(VLOOKUP(E107, 'Database Resto'!C:P, 13, FALSE),"")</f>
        <v>3000</v>
      </c>
      <c r="J107" s="154">
        <f t="shared" si="55"/>
        <v>3000</v>
      </c>
      <c r="K107" s="154">
        <f>IFERROR(VLOOKUP(E107, 'Database Resto'!C:P, 13, FALSE)* G107, 0)</f>
        <v>3000</v>
      </c>
      <c r="L107" s="137"/>
      <c r="M107" s="137"/>
      <c r="N107" s="137"/>
      <c r="O107" s="159"/>
      <c r="P107" s="156">
        <f t="shared" si="56"/>
        <v>3000</v>
      </c>
      <c r="Q107" s="143"/>
      <c r="R107" s="137"/>
      <c r="S107" s="157"/>
    </row>
    <row r="108">
      <c r="A108" s="150"/>
      <c r="C108" s="136"/>
      <c r="D108" s="137"/>
      <c r="E108" s="152" t="s">
        <v>3178</v>
      </c>
      <c r="F108" s="152" t="s">
        <v>3179</v>
      </c>
      <c r="G108" s="4">
        <v>25.0</v>
      </c>
      <c r="H108" s="152" t="s">
        <v>56</v>
      </c>
      <c r="I108" s="153">
        <f>IFERROR(VLOOKUP(E108, 'Database Resto'!C:P, 13, FALSE),"")</f>
        <v>12.58166762</v>
      </c>
      <c r="J108" s="154">
        <f t="shared" ref="J108:J111" si="57">I108*1000</f>
        <v>12581.66762</v>
      </c>
      <c r="K108" s="154">
        <f>IFERROR(VLOOKUP(E108, 'Database Resto'!C:P, 13, FALSE)* G108, 0)</f>
        <v>314.5416905</v>
      </c>
      <c r="L108" s="137"/>
      <c r="M108" s="137"/>
      <c r="N108" s="137"/>
      <c r="O108" s="159">
        <v>15.098001142204454</v>
      </c>
      <c r="P108" s="156">
        <f t="shared" si="56"/>
        <v>377.4500286</v>
      </c>
      <c r="Q108" s="143"/>
      <c r="R108" s="137"/>
      <c r="S108" s="157"/>
    </row>
    <row r="109">
      <c r="A109" s="150"/>
      <c r="C109" s="136"/>
      <c r="D109" s="137"/>
      <c r="E109" s="241" t="str">
        <f>IFERROR(__xludf.DUMMYFUNCTION("IF($C$4, FILTER(Pembungkus!B:E, Pembungkus!A:A=""Mie""), """")
"),"")</f>
        <v/>
      </c>
      <c r="F109" s="241"/>
      <c r="G109" s="241"/>
      <c r="H109" s="241"/>
      <c r="I109" s="242" t="str">
        <f>IFERROR(VLOOKUP(E109, 'Database Resto'!C:P, 13, FALSE),"")</f>
        <v/>
      </c>
      <c r="J109" s="243">
        <f t="shared" si="57"/>
        <v>0</v>
      </c>
      <c r="K109" s="243">
        <f>IFERROR(VLOOKUP(E109, 'Database Resto'!C:P, 13, FALSE)* G109, 0)</f>
        <v>0</v>
      </c>
      <c r="L109" s="137"/>
      <c r="M109" s="137"/>
      <c r="N109" s="137"/>
      <c r="O109" s="244" t="s">
        <v>733</v>
      </c>
      <c r="P109" s="166">
        <f t="shared" si="56"/>
        <v>0</v>
      </c>
      <c r="Q109" s="143"/>
      <c r="R109" s="137"/>
      <c r="S109" s="157"/>
    </row>
    <row r="110">
      <c r="A110" s="150"/>
      <c r="C110" s="136"/>
      <c r="D110" s="137"/>
      <c r="E110" s="241"/>
      <c r="F110" s="241"/>
      <c r="G110" s="241"/>
      <c r="H110" s="241"/>
      <c r="I110" s="242" t="str">
        <f>IFERROR(VLOOKUP(E110, 'Database Resto'!C:P, 13, FALSE),"")</f>
        <v/>
      </c>
      <c r="J110" s="243">
        <f t="shared" si="57"/>
        <v>0</v>
      </c>
      <c r="K110" s="243">
        <f>IFERROR(VLOOKUP(E110, 'Database Resto'!C:P, 13, FALSE)* G110, 0)</f>
        <v>0</v>
      </c>
      <c r="L110" s="137"/>
      <c r="M110" s="137"/>
      <c r="N110" s="137"/>
      <c r="O110" s="244" t="s">
        <v>733</v>
      </c>
      <c r="P110" s="166">
        <f t="shared" si="56"/>
        <v>0</v>
      </c>
      <c r="Q110" s="143"/>
      <c r="R110" s="137"/>
      <c r="S110" s="157"/>
    </row>
    <row r="111">
      <c r="A111" s="150"/>
      <c r="C111" s="136"/>
      <c r="D111" s="137"/>
      <c r="E111" s="241"/>
      <c r="F111" s="241"/>
      <c r="G111" s="241"/>
      <c r="H111" s="241"/>
      <c r="I111" s="242" t="str">
        <f>IFERROR(VLOOKUP(E111, 'Database Resto'!C:P, 13, FALSE),"")</f>
        <v/>
      </c>
      <c r="J111" s="243">
        <f t="shared" si="57"/>
        <v>0</v>
      </c>
      <c r="K111" s="243">
        <f>IFERROR(VLOOKUP(E111, 'Database Resto'!C:P, 13, FALSE)* G111, 0)</f>
        <v>0</v>
      </c>
      <c r="L111" s="137"/>
      <c r="M111" s="137"/>
      <c r="N111" s="137"/>
      <c r="O111" s="244" t="s">
        <v>733</v>
      </c>
      <c r="P111" s="166">
        <f t="shared" si="56"/>
        <v>0</v>
      </c>
      <c r="Q111" s="143"/>
      <c r="R111" s="137"/>
      <c r="S111" s="157"/>
    </row>
    <row r="112">
      <c r="A112" s="150"/>
      <c r="C112" s="136"/>
      <c r="D112" s="137"/>
      <c r="E112" s="241"/>
      <c r="F112" s="241"/>
      <c r="G112" s="241"/>
      <c r="H112" s="241"/>
      <c r="I112" s="242" t="str">
        <f>IFERROR(VLOOKUP(E112, 'Database Resto'!C:P, 13, FALSE),"")</f>
        <v/>
      </c>
      <c r="J112" s="243" t="str">
        <f t="shared" ref="J112:J113" si="58">I112</f>
        <v/>
      </c>
      <c r="K112" s="243">
        <f>IFERROR(VLOOKUP(E112, 'Database Resto'!C:P, 13, FALSE)* G112, 0)</f>
        <v>0</v>
      </c>
      <c r="L112" s="137"/>
      <c r="M112" s="137"/>
      <c r="N112" s="137"/>
      <c r="O112" s="244" t="s">
        <v>733</v>
      </c>
      <c r="P112" s="166">
        <f t="shared" si="56"/>
        <v>0</v>
      </c>
      <c r="Q112" s="143"/>
      <c r="R112" s="137"/>
      <c r="S112" s="157"/>
    </row>
    <row r="113">
      <c r="A113" s="150"/>
      <c r="B113" s="99"/>
      <c r="C113" s="66"/>
      <c r="D113" s="67"/>
      <c r="E113" s="246" t="str">
        <f>IFERROR(__xludf.DUMMYFUNCTION("IF($E$3="""","""",IFERROR(FILTER(Pembungkus!B:E, Pembungkus!C:C=$E$3),""""))"),"MNMN.30100")</f>
        <v>MNMN.30100</v>
      </c>
      <c r="F113" s="246" t="str">
        <f>IFERROR(__xludf.DUMMYFUNCTION("""COMPUTED_VALUE"""),"Air Mineral")</f>
        <v>Air Mineral</v>
      </c>
      <c r="G113" s="246">
        <f>IFERROR(__xludf.DUMMYFUNCTION("""COMPUTED_VALUE"""),1.0)</f>
        <v>1</v>
      </c>
      <c r="H113" s="246" t="str">
        <f>IFERROR(__xludf.DUMMYFUNCTION("""COMPUTED_VALUE"""),"Btl")</f>
        <v>Btl</v>
      </c>
      <c r="I113" s="250">
        <f>IFERROR(VLOOKUP(E113, 'Database Resto'!C:P, 13, FALSE),"")</f>
        <v>1833.333333</v>
      </c>
      <c r="J113" s="252">
        <f t="shared" si="58"/>
        <v>1833.333333</v>
      </c>
      <c r="K113" s="252">
        <f>IFERROR(VLOOKUP(E113, 'Database Resto'!C:P, 13, FALSE)* G113, 0)</f>
        <v>1833.333333</v>
      </c>
      <c r="L113" s="67"/>
      <c r="M113" s="67"/>
      <c r="N113" s="67"/>
      <c r="O113" s="253"/>
      <c r="P113" s="254">
        <f t="shared" si="56"/>
        <v>1833.333333</v>
      </c>
      <c r="Q113" s="75"/>
      <c r="R113" s="67"/>
      <c r="S113" s="168"/>
    </row>
    <row r="114" ht="18.0" customHeight="1">
      <c r="A114" s="150"/>
      <c r="B114" s="169"/>
      <c r="C114" s="226"/>
      <c r="D114" s="171">
        <f>D106</f>
        <v>9900</v>
      </c>
      <c r="E114" s="172"/>
      <c r="F114" s="172"/>
      <c r="G114" s="174"/>
      <c r="H114" s="172"/>
      <c r="I114" s="175" t="str">
        <f>IFERROR(VLOOKUP(E114, 'Database Resto'!C:P, 13, FALSE),"")</f>
        <v/>
      </c>
      <c r="J114" s="227">
        <f>I114*1000</f>
        <v>0</v>
      </c>
      <c r="K114" s="176">
        <f>SUM(K106:K113)</f>
        <v>5427.837962</v>
      </c>
      <c r="L114" s="177">
        <f>IFERROR(K114/D106, 0)</f>
        <v>0.5482664608</v>
      </c>
      <c r="M114" s="178">
        <f>D106-K114</f>
        <v>4472.162038</v>
      </c>
      <c r="N114" s="179">
        <f t="shared" ref="N114:N116" si="59">IFERROR(M114/D114, )</f>
        <v>0.4517335392</v>
      </c>
      <c r="O114" s="180" t="s">
        <v>733</v>
      </c>
      <c r="P114" s="181">
        <f>SUM(P106:P113)</f>
        <v>5490.7463</v>
      </c>
      <c r="Q114" s="182">
        <f>IFERROR(P114/D106, 0)</f>
        <v>0.5546208384</v>
      </c>
      <c r="R114" s="184">
        <f>D106-P114</f>
        <v>4409.2537</v>
      </c>
      <c r="S114" s="186">
        <f t="shared" ref="S114:S116" si="60">IFERROR(R114/D114, )</f>
        <v>0.4453791616</v>
      </c>
    </row>
    <row r="115" hidden="1">
      <c r="A115" s="109"/>
      <c r="B115" s="151" t="s">
        <v>3556</v>
      </c>
      <c r="C115" s="290" t="s">
        <v>3557</v>
      </c>
      <c r="D115" s="291">
        <f>IFERROR(VLOOKUP(B115, 'Database Resto'!C:P, 9, FALSE),"")</f>
        <v>31900</v>
      </c>
      <c r="E115" s="152" t="s">
        <v>3484</v>
      </c>
      <c r="F115" s="152" t="s">
        <v>1919</v>
      </c>
      <c r="G115" s="4">
        <v>1.0</v>
      </c>
      <c r="H115" s="152" t="s">
        <v>7</v>
      </c>
      <c r="I115" s="153">
        <f>IFERROR(VLOOKUP(E115, 'Database Resto'!C:P, 13, FALSE),"")</f>
        <v>3000</v>
      </c>
      <c r="J115" s="154">
        <f t="shared" ref="J115:J117" si="61">I115</f>
        <v>3000</v>
      </c>
      <c r="K115" s="154">
        <f>IFERROR(VLOOKUP(E115, 'Database Resto'!C:P, 13, FALSE)* G115, 0)</f>
        <v>3000</v>
      </c>
      <c r="L115" s="292">
        <f>IF(D115="","", IFERROR(IF(B115="", K115/D115, SUMIFS($K:$K, $B:$B, B115)/D115), ""))</f>
        <v>0.09404388715</v>
      </c>
      <c r="M115" s="293">
        <f>D115-K115</f>
        <v>28900</v>
      </c>
      <c r="N115" s="294">
        <f t="shared" si="59"/>
        <v>0.9059561129</v>
      </c>
      <c r="O115" s="159"/>
      <c r="P115" s="156">
        <f t="shared" ref="P115:P124" si="62">IF(O115=0, G115*I115, G115*O115)</f>
        <v>3000</v>
      </c>
      <c r="Q115" s="295">
        <f>IF(D115="","", IFERROR(SUMIFS($P:$P, $B:$B, B115)/D115, 0))</f>
        <v>0.09404388715</v>
      </c>
      <c r="R115" s="296">
        <f>IF(D115="","", D115 - SUMIFS($P:$P, $B:$B, B115))</f>
        <v>28900</v>
      </c>
      <c r="S115" s="297">
        <f t="shared" si="60"/>
        <v>0.9059561129</v>
      </c>
    </row>
    <row r="116" hidden="1">
      <c r="A116" s="298" t="s">
        <v>3558</v>
      </c>
      <c r="B116" s="299" t="s">
        <v>3559</v>
      </c>
      <c r="C116" s="300" t="s">
        <v>3560</v>
      </c>
      <c r="D116" s="301">
        <f>IFERROR(VLOOKUP(B116, 'Database Resto'!C:P, 9, FALSE),"")</f>
        <v>25900</v>
      </c>
      <c r="E116" s="302" t="s">
        <v>3036</v>
      </c>
      <c r="F116" s="302" t="s">
        <v>3038</v>
      </c>
      <c r="G116" s="303">
        <v>1.0</v>
      </c>
      <c r="H116" s="304" t="s">
        <v>7</v>
      </c>
      <c r="I116" s="305">
        <f>IFERROR(VLOOKUP(E116, 'Database Resto'!C:P, 13, FALSE),"")</f>
        <v>279.9629385</v>
      </c>
      <c r="J116" s="306">
        <f t="shared" si="61"/>
        <v>279.9629385</v>
      </c>
      <c r="K116" s="306">
        <f>IFERROR(VLOOKUP(E116, 'Database Resto'!C:P, 13, FALSE)* G116, 0)</f>
        <v>279.9629385</v>
      </c>
      <c r="L116" s="307">
        <f>IF(D116="","", IFERROR(SUM(K116:K124)/D116, ""))</f>
        <v>0.4018470256</v>
      </c>
      <c r="M116" s="308">
        <f>IF(D116="","", D116-SUM(K116:K124))</f>
        <v>15492.16204</v>
      </c>
      <c r="N116" s="309">
        <f t="shared" si="59"/>
        <v>0.5981529744</v>
      </c>
      <c r="O116" s="310"/>
      <c r="P116" s="311">
        <f t="shared" si="62"/>
        <v>279.9629385</v>
      </c>
      <c r="Q116" s="312">
        <f>IF(D116="","", IFERROR(SUM(P116:P124)/D116, ""))</f>
        <v>0.4042759189</v>
      </c>
      <c r="R116" s="313">
        <f>IF(D116="","", D116-SUM(P116:P124))</f>
        <v>15429.2537</v>
      </c>
      <c r="S116" s="314">
        <f t="shared" si="60"/>
        <v>0.5957240811</v>
      </c>
    </row>
    <row r="117" hidden="1">
      <c r="A117" s="315"/>
      <c r="B117" s="137"/>
      <c r="C117" s="137"/>
      <c r="D117" s="137"/>
      <c r="E117" s="302" t="s">
        <v>3484</v>
      </c>
      <c r="F117" s="302" t="s">
        <v>1919</v>
      </c>
      <c r="G117" s="316">
        <v>1.0</v>
      </c>
      <c r="H117" s="302" t="s">
        <v>7</v>
      </c>
      <c r="I117" s="305">
        <f>IFERROR(VLOOKUP(E117, 'Database Resto'!C:P, 13, FALSE),"")</f>
        <v>3000</v>
      </c>
      <c r="J117" s="306">
        <f t="shared" si="61"/>
        <v>3000</v>
      </c>
      <c r="K117" s="306">
        <f>IFERROR(VLOOKUP(E117, 'Database Resto'!C:P, 13, FALSE)* G117, 0)</f>
        <v>3000</v>
      </c>
      <c r="L117" s="137"/>
      <c r="M117" s="137"/>
      <c r="N117" s="137"/>
      <c r="O117" s="310"/>
      <c r="P117" s="311">
        <f t="shared" si="62"/>
        <v>3000</v>
      </c>
      <c r="Q117" s="143"/>
      <c r="R117" s="137"/>
      <c r="S117" s="157"/>
    </row>
    <row r="118" hidden="1">
      <c r="A118" s="315"/>
      <c r="B118" s="137"/>
      <c r="C118" s="137"/>
      <c r="D118" s="137"/>
      <c r="E118" s="302" t="s">
        <v>3178</v>
      </c>
      <c r="F118" s="302" t="s">
        <v>3179</v>
      </c>
      <c r="G118" s="316">
        <v>25.0</v>
      </c>
      <c r="H118" s="302" t="s">
        <v>56</v>
      </c>
      <c r="I118" s="305">
        <f>IFERROR(VLOOKUP(E118, 'Database Resto'!C:P, 13, FALSE),"")</f>
        <v>12.58166762</v>
      </c>
      <c r="J118" s="306">
        <f t="shared" ref="J118:J126" si="63">I118*1000</f>
        <v>12581.66762</v>
      </c>
      <c r="K118" s="306">
        <f>IFERROR(VLOOKUP(E118, 'Database Resto'!C:P, 13, FALSE)* G118, 0)</f>
        <v>314.5416905</v>
      </c>
      <c r="L118" s="137"/>
      <c r="M118" s="137"/>
      <c r="N118" s="137"/>
      <c r="O118" s="310">
        <v>15.098001142204454</v>
      </c>
      <c r="P118" s="311">
        <f t="shared" si="62"/>
        <v>377.4500286</v>
      </c>
      <c r="Q118" s="143"/>
      <c r="R118" s="137"/>
      <c r="S118" s="157"/>
    </row>
    <row r="119" hidden="1">
      <c r="A119" s="315"/>
      <c r="B119" s="137"/>
      <c r="C119" s="137"/>
      <c r="D119" s="137"/>
      <c r="E119" s="302" t="s">
        <v>3473</v>
      </c>
      <c r="F119" s="302" t="s">
        <v>3474</v>
      </c>
      <c r="G119" s="316">
        <v>60.0</v>
      </c>
      <c r="H119" s="302" t="s">
        <v>56</v>
      </c>
      <c r="I119" s="305">
        <f>IFERROR(VLOOKUP(E119, 'Database Resto'!C:P, 13, FALSE),"")</f>
        <v>83</v>
      </c>
      <c r="J119" s="306">
        <f t="shared" si="63"/>
        <v>83000</v>
      </c>
      <c r="K119" s="306">
        <f>IFERROR(VLOOKUP(E119, 'Database Resto'!C:P, 13, FALSE)* G119, 0)</f>
        <v>4980</v>
      </c>
      <c r="L119" s="137"/>
      <c r="M119" s="137"/>
      <c r="N119" s="137"/>
      <c r="O119" s="310"/>
      <c r="P119" s="311">
        <f t="shared" si="62"/>
        <v>4980</v>
      </c>
      <c r="Q119" s="143"/>
      <c r="R119" s="137"/>
      <c r="S119" s="157"/>
    </row>
    <row r="120" hidden="1">
      <c r="A120" s="315"/>
      <c r="B120" s="137"/>
      <c r="C120" s="137"/>
      <c r="D120" s="137"/>
      <c r="E120" s="317" t="str">
        <f>IFERROR(__xludf.DUMMYFUNCTION("IF($C$4, FILTER(Pembungkus!B:E, Pembungkus!A:A=""Mie""), """")
"),"")</f>
        <v/>
      </c>
      <c r="F120" s="317"/>
      <c r="G120" s="318"/>
      <c r="H120" s="317"/>
      <c r="I120" s="319" t="str">
        <f>IFERROR(VLOOKUP(E120, 'Database Resto'!C:P, 13, FALSE),"")</f>
        <v/>
      </c>
      <c r="J120" s="320">
        <f t="shared" si="63"/>
        <v>0</v>
      </c>
      <c r="K120" s="320">
        <f>IFERROR(VLOOKUP(E120, 'Database Resto'!C:P, 13, FALSE)* G120, 0)</f>
        <v>0</v>
      </c>
      <c r="L120" s="137"/>
      <c r="M120" s="137"/>
      <c r="N120" s="137"/>
      <c r="O120" s="321" t="s">
        <v>733</v>
      </c>
      <c r="P120" s="322">
        <f t="shared" si="62"/>
        <v>0</v>
      </c>
      <c r="Q120" s="143"/>
      <c r="R120" s="137"/>
      <c r="S120" s="157"/>
    </row>
    <row r="121" hidden="1">
      <c r="A121" s="315"/>
      <c r="B121" s="137"/>
      <c r="C121" s="137"/>
      <c r="D121" s="137"/>
      <c r="E121" s="317"/>
      <c r="F121" s="317"/>
      <c r="G121" s="318"/>
      <c r="H121" s="317"/>
      <c r="I121" s="319" t="str">
        <f>IFERROR(VLOOKUP(E121, 'Database Resto'!C:P, 13, FALSE),"")</f>
        <v/>
      </c>
      <c r="J121" s="320">
        <f t="shared" si="63"/>
        <v>0</v>
      </c>
      <c r="K121" s="320">
        <f>IFERROR(VLOOKUP(E121, 'Database Resto'!C:P, 13, FALSE)* G121, 0)</f>
        <v>0</v>
      </c>
      <c r="L121" s="137"/>
      <c r="M121" s="137"/>
      <c r="N121" s="137"/>
      <c r="O121" s="321" t="s">
        <v>733</v>
      </c>
      <c r="P121" s="322">
        <f t="shared" si="62"/>
        <v>0</v>
      </c>
      <c r="Q121" s="143"/>
      <c r="R121" s="137"/>
      <c r="S121" s="157"/>
    </row>
    <row r="122" hidden="1">
      <c r="A122" s="315"/>
      <c r="B122" s="137"/>
      <c r="C122" s="137"/>
      <c r="D122" s="137"/>
      <c r="E122" s="317"/>
      <c r="F122" s="317"/>
      <c r="G122" s="318"/>
      <c r="H122" s="317"/>
      <c r="I122" s="319" t="str">
        <f>IFERROR(VLOOKUP(E122, 'Database Resto'!C:P, 13, FALSE),"")</f>
        <v/>
      </c>
      <c r="J122" s="320">
        <f t="shared" si="63"/>
        <v>0</v>
      </c>
      <c r="K122" s="320">
        <f>IFERROR(VLOOKUP(E122, 'Database Resto'!C:P, 13, FALSE)* G122, 0)</f>
        <v>0</v>
      </c>
      <c r="L122" s="137"/>
      <c r="M122" s="137"/>
      <c r="N122" s="137"/>
      <c r="O122" s="321" t="s">
        <v>733</v>
      </c>
      <c r="P122" s="322">
        <f t="shared" si="62"/>
        <v>0</v>
      </c>
      <c r="Q122" s="143"/>
      <c r="R122" s="137"/>
      <c r="S122" s="157"/>
    </row>
    <row r="123" hidden="1">
      <c r="A123" s="315"/>
      <c r="B123" s="137"/>
      <c r="C123" s="137"/>
      <c r="D123" s="137"/>
      <c r="E123" s="317"/>
      <c r="F123" s="317"/>
      <c r="G123" s="318"/>
      <c r="H123" s="317"/>
      <c r="I123" s="319" t="str">
        <f>IFERROR(VLOOKUP(E123, 'Database Resto'!C:P, 13, FALSE),"")</f>
        <v/>
      </c>
      <c r="J123" s="320">
        <f t="shared" si="63"/>
        <v>0</v>
      </c>
      <c r="K123" s="320">
        <f>IFERROR(VLOOKUP(E123, 'Database Resto'!C:P, 13, FALSE)* G123, 0)</f>
        <v>0</v>
      </c>
      <c r="L123" s="137"/>
      <c r="M123" s="137"/>
      <c r="N123" s="137"/>
      <c r="O123" s="321" t="s">
        <v>733</v>
      </c>
      <c r="P123" s="322">
        <f t="shared" si="62"/>
        <v>0</v>
      </c>
      <c r="Q123" s="143"/>
      <c r="R123" s="137"/>
      <c r="S123" s="157"/>
    </row>
    <row r="124" hidden="1">
      <c r="A124" s="315"/>
      <c r="B124" s="67"/>
      <c r="C124" s="67"/>
      <c r="D124" s="67"/>
      <c r="E124" s="323" t="str">
        <f>IFERROR(__xludf.DUMMYFUNCTION("IF($E$3="""","""",IFERROR(FILTER(Pembungkus!B:E, Pembungkus!C:C=$E$3),""""))"),"MNMN.30100")</f>
        <v>MNMN.30100</v>
      </c>
      <c r="F124" s="323" t="str">
        <f>IFERROR(__xludf.DUMMYFUNCTION("""COMPUTED_VALUE"""),"Air Mineral")</f>
        <v>Air Mineral</v>
      </c>
      <c r="G124" s="324">
        <f>IFERROR(__xludf.DUMMYFUNCTION("""COMPUTED_VALUE"""),1.0)</f>
        <v>1</v>
      </c>
      <c r="H124" s="323" t="str">
        <f>IFERROR(__xludf.DUMMYFUNCTION("""COMPUTED_VALUE"""),"Btl")</f>
        <v>Btl</v>
      </c>
      <c r="I124" s="325">
        <f>IFERROR(VLOOKUP(E124, 'Database Resto'!C:P, 13, FALSE),"")</f>
        <v>1833.333333</v>
      </c>
      <c r="J124" s="326">
        <f t="shared" si="63"/>
        <v>1833333.333</v>
      </c>
      <c r="K124" s="326">
        <f>IFERROR(VLOOKUP(E124, 'Database Resto'!C:P, 13, FALSE)* G124, 0)</f>
        <v>1833.333333</v>
      </c>
      <c r="L124" s="67"/>
      <c r="M124" s="67"/>
      <c r="N124" s="67"/>
      <c r="O124" s="327"/>
      <c r="P124" s="328">
        <f t="shared" si="62"/>
        <v>1833.333333</v>
      </c>
      <c r="Q124" s="75"/>
      <c r="R124" s="67"/>
      <c r="S124" s="168"/>
    </row>
    <row r="125" ht="18.0" hidden="1" customHeight="1">
      <c r="A125" s="315"/>
      <c r="B125" s="329"/>
      <c r="C125" s="172"/>
      <c r="D125" s="171" t="str">
        <f>IFERROR(VLOOKUP(B125, 'Database Resto'!C:P, 9, FALSE),"")</f>
        <v/>
      </c>
      <c r="E125" s="172"/>
      <c r="F125" s="172"/>
      <c r="G125" s="174"/>
      <c r="H125" s="172"/>
      <c r="I125" s="175" t="str">
        <f>IFERROR(VLOOKUP(E125, 'Database Resto'!C:P, 13, FALSE),"")</f>
        <v/>
      </c>
      <c r="J125" s="330">
        <f t="shared" si="63"/>
        <v>0</v>
      </c>
      <c r="K125" s="176">
        <f>SUM(K116:K124)</f>
        <v>10407.83796</v>
      </c>
      <c r="L125" s="177">
        <f>IFERROR(K125/D116, 0)</f>
        <v>0.4018470256</v>
      </c>
      <c r="M125" s="178">
        <f>D116-K125</f>
        <v>15492.16204</v>
      </c>
      <c r="N125" s="179" t="str">
        <f t="shared" ref="N125:N126" si="64">IFERROR(M125/D125, )</f>
        <v/>
      </c>
      <c r="O125" s="180" t="s">
        <v>733</v>
      </c>
      <c r="P125" s="181">
        <f>SUM(P116:P124)</f>
        <v>10470.7463</v>
      </c>
      <c r="Q125" s="182">
        <f>IFERROR(P125/D116, 0)</f>
        <v>0.4042759189</v>
      </c>
      <c r="R125" s="184">
        <f>D116-P125</f>
        <v>15429.2537</v>
      </c>
      <c r="S125" s="186" t="str">
        <f t="shared" ref="S125:S126" si="65">IFERROR(R125/D125, )</f>
        <v/>
      </c>
    </row>
    <row r="126" hidden="1">
      <c r="A126" s="315"/>
      <c r="B126" s="299" t="s">
        <v>3561</v>
      </c>
      <c r="C126" s="300" t="s">
        <v>3562</v>
      </c>
      <c r="D126" s="301">
        <f>IFERROR(VLOOKUP(B126, 'Database Resto'!C:P, 9, FALSE),"")</f>
        <v>25900</v>
      </c>
      <c r="E126" s="302" t="s">
        <v>3496</v>
      </c>
      <c r="F126" s="302" t="s">
        <v>3497</v>
      </c>
      <c r="G126" s="316">
        <v>60.0</v>
      </c>
      <c r="H126" s="302" t="s">
        <v>56</v>
      </c>
      <c r="I126" s="305">
        <f>IFERROR(VLOOKUP(E126, 'Database Resto'!C:P, 13, FALSE),"")</f>
        <v>83</v>
      </c>
      <c r="J126" s="306">
        <f t="shared" si="63"/>
        <v>83000</v>
      </c>
      <c r="K126" s="306">
        <f>IFERROR(VLOOKUP(E126, 'Database Resto'!C:P, 13, FALSE)* G126, 0)</f>
        <v>4980</v>
      </c>
      <c r="L126" s="307">
        <f>IF(D126="","", IFERROR(SUM(K126:K134)/D126, ""))</f>
        <v>0.4018470256</v>
      </c>
      <c r="M126" s="308">
        <f>IF(D126="","", D126-SUM(K126:K134))</f>
        <v>15492.16204</v>
      </c>
      <c r="N126" s="309">
        <f t="shared" si="64"/>
        <v>0.5981529744</v>
      </c>
      <c r="O126" s="310"/>
      <c r="P126" s="311">
        <f t="shared" ref="P126:P134" si="66">IF(O126=0, G126*I126, G126*O126)</f>
        <v>4980</v>
      </c>
      <c r="Q126" s="312">
        <f>IF(D126="","", IFERROR(SUM(P126:P134)/D126, ""))</f>
        <v>0.4042759189</v>
      </c>
      <c r="R126" s="313">
        <f>IF(D126="","", D126-SUM(P126:P134))</f>
        <v>15429.2537</v>
      </c>
      <c r="S126" s="314">
        <f t="shared" si="65"/>
        <v>0.5957240811</v>
      </c>
    </row>
    <row r="127" hidden="1">
      <c r="A127" s="315"/>
      <c r="B127" s="137"/>
      <c r="C127" s="137"/>
      <c r="D127" s="137"/>
      <c r="E127" s="302" t="s">
        <v>3036</v>
      </c>
      <c r="F127" s="302" t="s">
        <v>3038</v>
      </c>
      <c r="G127" s="303">
        <v>1.0</v>
      </c>
      <c r="H127" s="304" t="s">
        <v>7</v>
      </c>
      <c r="I127" s="305">
        <f>IFERROR(VLOOKUP(E127, 'Database Resto'!C:P, 13, FALSE),"")</f>
        <v>279.9629385</v>
      </c>
      <c r="J127" s="306">
        <f t="shared" ref="J127:J128" si="67">I127</f>
        <v>279.9629385</v>
      </c>
      <c r="K127" s="306">
        <f>IFERROR(VLOOKUP(E127, 'Database Resto'!C:P, 13, FALSE)* G127, 0)</f>
        <v>279.9629385</v>
      </c>
      <c r="L127" s="137"/>
      <c r="M127" s="137"/>
      <c r="N127" s="137"/>
      <c r="O127" s="310"/>
      <c r="P127" s="311">
        <f t="shared" si="66"/>
        <v>279.9629385</v>
      </c>
      <c r="Q127" s="143"/>
      <c r="R127" s="137"/>
      <c r="S127" s="157"/>
    </row>
    <row r="128" hidden="1">
      <c r="A128" s="315"/>
      <c r="B128" s="137"/>
      <c r="C128" s="137"/>
      <c r="D128" s="137"/>
      <c r="E128" s="302" t="s">
        <v>3484</v>
      </c>
      <c r="F128" s="302" t="s">
        <v>1919</v>
      </c>
      <c r="G128" s="316">
        <v>1.0</v>
      </c>
      <c r="H128" s="302" t="s">
        <v>7</v>
      </c>
      <c r="I128" s="305">
        <f>IFERROR(VLOOKUP(E128, 'Database Resto'!C:P, 13, FALSE),"")</f>
        <v>3000</v>
      </c>
      <c r="J128" s="306">
        <f t="shared" si="67"/>
        <v>3000</v>
      </c>
      <c r="K128" s="306">
        <f>IFERROR(VLOOKUP(E128, 'Database Resto'!C:P, 13, FALSE)* G128, 0)</f>
        <v>3000</v>
      </c>
      <c r="L128" s="137"/>
      <c r="M128" s="137"/>
      <c r="N128" s="137"/>
      <c r="O128" s="310"/>
      <c r="P128" s="311">
        <f t="shared" si="66"/>
        <v>3000</v>
      </c>
      <c r="Q128" s="143"/>
      <c r="R128" s="137"/>
      <c r="S128" s="157"/>
    </row>
    <row r="129" hidden="1">
      <c r="A129" s="315"/>
      <c r="B129" s="137"/>
      <c r="C129" s="137"/>
      <c r="D129" s="137"/>
      <c r="E129" s="302" t="s">
        <v>3178</v>
      </c>
      <c r="F129" s="302" t="s">
        <v>3179</v>
      </c>
      <c r="G129" s="316">
        <v>25.0</v>
      </c>
      <c r="H129" s="302" t="s">
        <v>56</v>
      </c>
      <c r="I129" s="305">
        <f>IFERROR(VLOOKUP(E129, 'Database Resto'!C:P, 13, FALSE),"")</f>
        <v>12.58166762</v>
      </c>
      <c r="J129" s="306">
        <f t="shared" ref="J129:J135" si="68">I129*1000</f>
        <v>12581.66762</v>
      </c>
      <c r="K129" s="306">
        <f>IFERROR(VLOOKUP(E129, 'Database Resto'!C:P, 13, FALSE)* G129, 0)</f>
        <v>314.5416905</v>
      </c>
      <c r="L129" s="137"/>
      <c r="M129" s="137"/>
      <c r="N129" s="137"/>
      <c r="O129" s="310">
        <v>15.098001142204454</v>
      </c>
      <c r="P129" s="311">
        <f t="shared" si="66"/>
        <v>377.4500286</v>
      </c>
      <c r="Q129" s="143"/>
      <c r="R129" s="137"/>
      <c r="S129" s="157"/>
    </row>
    <row r="130" hidden="1">
      <c r="A130" s="315"/>
      <c r="B130" s="137"/>
      <c r="C130" s="137"/>
      <c r="D130" s="137"/>
      <c r="E130" s="317" t="str">
        <f>IFERROR(__xludf.DUMMYFUNCTION("IF($C$4, FILTER(Pembungkus!B:E, Pembungkus!A:A=""Mie""), """")
"),"")</f>
        <v/>
      </c>
      <c r="F130" s="317"/>
      <c r="G130" s="318"/>
      <c r="H130" s="317"/>
      <c r="I130" s="319" t="str">
        <f>IFERROR(VLOOKUP(E130, 'Database Resto'!C:P, 13, FALSE),"")</f>
        <v/>
      </c>
      <c r="J130" s="320">
        <f t="shared" si="68"/>
        <v>0</v>
      </c>
      <c r="K130" s="320">
        <f>IFERROR(VLOOKUP(E130, 'Database Resto'!C:P, 13, FALSE)* G130, 0)</f>
        <v>0</v>
      </c>
      <c r="L130" s="137"/>
      <c r="M130" s="137"/>
      <c r="N130" s="137"/>
      <c r="O130" s="321" t="s">
        <v>733</v>
      </c>
      <c r="P130" s="322">
        <f t="shared" si="66"/>
        <v>0</v>
      </c>
      <c r="Q130" s="143"/>
      <c r="R130" s="137"/>
      <c r="S130" s="157"/>
    </row>
    <row r="131" hidden="1">
      <c r="A131" s="315"/>
      <c r="B131" s="137"/>
      <c r="C131" s="137"/>
      <c r="D131" s="137"/>
      <c r="E131" s="317"/>
      <c r="F131" s="317"/>
      <c r="G131" s="318"/>
      <c r="H131" s="317"/>
      <c r="I131" s="319" t="str">
        <f>IFERROR(VLOOKUP(E131, 'Database Resto'!C:P, 13, FALSE),"")</f>
        <v/>
      </c>
      <c r="J131" s="320">
        <f t="shared" si="68"/>
        <v>0</v>
      </c>
      <c r="K131" s="320">
        <f>IFERROR(VLOOKUP(E131, 'Database Resto'!C:P, 13, FALSE)* G131, 0)</f>
        <v>0</v>
      </c>
      <c r="L131" s="137"/>
      <c r="M131" s="137"/>
      <c r="N131" s="137"/>
      <c r="O131" s="321" t="s">
        <v>733</v>
      </c>
      <c r="P131" s="322">
        <f t="shared" si="66"/>
        <v>0</v>
      </c>
      <c r="Q131" s="143"/>
      <c r="R131" s="137"/>
      <c r="S131" s="157"/>
    </row>
    <row r="132" hidden="1">
      <c r="A132" s="315"/>
      <c r="B132" s="137"/>
      <c r="C132" s="137"/>
      <c r="D132" s="137"/>
      <c r="E132" s="317"/>
      <c r="F132" s="317"/>
      <c r="G132" s="318"/>
      <c r="H132" s="317"/>
      <c r="I132" s="319" t="str">
        <f>IFERROR(VLOOKUP(E132, 'Database Resto'!C:P, 13, FALSE),"")</f>
        <v/>
      </c>
      <c r="J132" s="320">
        <f t="shared" si="68"/>
        <v>0</v>
      </c>
      <c r="K132" s="320">
        <f>IFERROR(VLOOKUP(E132, 'Database Resto'!C:P, 13, FALSE)* G132, 0)</f>
        <v>0</v>
      </c>
      <c r="L132" s="137"/>
      <c r="M132" s="137"/>
      <c r="N132" s="137"/>
      <c r="O132" s="321" t="s">
        <v>733</v>
      </c>
      <c r="P132" s="322">
        <f t="shared" si="66"/>
        <v>0</v>
      </c>
      <c r="Q132" s="143"/>
      <c r="R132" s="137"/>
      <c r="S132" s="157"/>
    </row>
    <row r="133" hidden="1">
      <c r="A133" s="315"/>
      <c r="B133" s="137"/>
      <c r="C133" s="137"/>
      <c r="D133" s="137"/>
      <c r="E133" s="317"/>
      <c r="F133" s="317"/>
      <c r="G133" s="318"/>
      <c r="H133" s="317"/>
      <c r="I133" s="319" t="str">
        <f>IFERROR(VLOOKUP(E133, 'Database Resto'!C:P, 13, FALSE),"")</f>
        <v/>
      </c>
      <c r="J133" s="320">
        <f t="shared" si="68"/>
        <v>0</v>
      </c>
      <c r="K133" s="320">
        <f>IFERROR(VLOOKUP(E133, 'Database Resto'!C:P, 13, FALSE)* G133, 0)</f>
        <v>0</v>
      </c>
      <c r="L133" s="137"/>
      <c r="M133" s="137"/>
      <c r="N133" s="137"/>
      <c r="O133" s="321" t="s">
        <v>733</v>
      </c>
      <c r="P133" s="322">
        <f t="shared" si="66"/>
        <v>0</v>
      </c>
      <c r="Q133" s="143"/>
      <c r="R133" s="137"/>
      <c r="S133" s="157"/>
    </row>
    <row r="134" hidden="1">
      <c r="A134" s="315"/>
      <c r="B134" s="67"/>
      <c r="C134" s="67"/>
      <c r="D134" s="67"/>
      <c r="E134" s="323" t="str">
        <f>IFERROR(__xludf.DUMMYFUNCTION("IF($E$3="""","""",IFERROR(FILTER(Pembungkus!B:E, Pembungkus!C:C=$E$3),""""))"),"MNMN.30100")</f>
        <v>MNMN.30100</v>
      </c>
      <c r="F134" s="323" t="str">
        <f>IFERROR(__xludf.DUMMYFUNCTION("""COMPUTED_VALUE"""),"Air Mineral")</f>
        <v>Air Mineral</v>
      </c>
      <c r="G134" s="324">
        <f>IFERROR(__xludf.DUMMYFUNCTION("""COMPUTED_VALUE"""),1.0)</f>
        <v>1</v>
      </c>
      <c r="H134" s="323" t="str">
        <f>IFERROR(__xludf.DUMMYFUNCTION("""COMPUTED_VALUE"""),"Btl")</f>
        <v>Btl</v>
      </c>
      <c r="I134" s="325">
        <f>IFERROR(VLOOKUP(E134, 'Database Resto'!C:P, 13, FALSE),"")</f>
        <v>1833.333333</v>
      </c>
      <c r="J134" s="326">
        <f t="shared" si="68"/>
        <v>1833333.333</v>
      </c>
      <c r="K134" s="326">
        <f>IFERROR(VLOOKUP(E134, 'Database Resto'!C:P, 13, FALSE)* G134, 0)</f>
        <v>1833.333333</v>
      </c>
      <c r="L134" s="67"/>
      <c r="M134" s="67"/>
      <c r="N134" s="67"/>
      <c r="O134" s="327"/>
      <c r="P134" s="328">
        <f t="shared" si="66"/>
        <v>1833.333333</v>
      </c>
      <c r="Q134" s="75"/>
      <c r="R134" s="67"/>
      <c r="S134" s="168"/>
    </row>
    <row r="135" ht="18.0" hidden="1" customHeight="1">
      <c r="A135" s="315"/>
      <c r="B135" s="329"/>
      <c r="C135" s="172"/>
      <c r="D135" s="171" t="str">
        <f>IFERROR(VLOOKUP(B135, 'Database Resto'!C:P, 9, FALSE),"")</f>
        <v/>
      </c>
      <c r="E135" s="172"/>
      <c r="F135" s="172"/>
      <c r="G135" s="174"/>
      <c r="H135" s="172"/>
      <c r="I135" s="175" t="str">
        <f>IFERROR(VLOOKUP(E135, 'Database Resto'!C:P, 13, FALSE),"")</f>
        <v/>
      </c>
      <c r="J135" s="330">
        <f t="shared" si="68"/>
        <v>0</v>
      </c>
      <c r="K135" s="176">
        <f>SUM(K126:K134)</f>
        <v>10407.83796</v>
      </c>
      <c r="L135" s="177">
        <f>IFERROR(K135/D126, 0)</f>
        <v>0.4018470256</v>
      </c>
      <c r="M135" s="178">
        <f>D126-K135</f>
        <v>15492.16204</v>
      </c>
      <c r="N135" s="179" t="str">
        <f t="shared" ref="N135:N136" si="69">IFERROR(M135/D135, )</f>
        <v/>
      </c>
      <c r="O135" s="180" t="s">
        <v>733</v>
      </c>
      <c r="P135" s="181">
        <f>SUM(P126:P134)</f>
        <v>10470.7463</v>
      </c>
      <c r="Q135" s="182">
        <f>IFERROR(P135/D126, 0)</f>
        <v>0.4042759189</v>
      </c>
      <c r="R135" s="184">
        <f>D126-P135</f>
        <v>15429.2537</v>
      </c>
      <c r="S135" s="186" t="str">
        <f t="shared" ref="S135:S136" si="70">IFERROR(R135/D135, )</f>
        <v/>
      </c>
    </row>
    <row r="136" hidden="1">
      <c r="A136" s="315"/>
      <c r="B136" s="299" t="s">
        <v>3563</v>
      </c>
      <c r="C136" s="300" t="s">
        <v>3564</v>
      </c>
      <c r="D136" s="301">
        <f>IFERROR(VLOOKUP(B136, 'Database Resto'!C:P, 9, FALSE),"")</f>
        <v>25900</v>
      </c>
      <c r="E136" s="302" t="s">
        <v>3485</v>
      </c>
      <c r="F136" s="302" t="s">
        <v>3486</v>
      </c>
      <c r="G136" s="316">
        <v>1.0</v>
      </c>
      <c r="H136" s="302" t="s">
        <v>7</v>
      </c>
      <c r="I136" s="305">
        <f>IFERROR(VLOOKUP(E136, 'Database Resto'!C:P, 13, FALSE),"")</f>
        <v>3150</v>
      </c>
      <c r="J136" s="306">
        <f t="shared" ref="J136:J138" si="71">I136</f>
        <v>3150</v>
      </c>
      <c r="K136" s="306">
        <f>IFERROR(VLOOKUP(E136, 'Database Resto'!C:P, 13, FALSE)* G136, 0)</f>
        <v>3150</v>
      </c>
      <c r="L136" s="307">
        <f>IF(D136="","", IFERROR(SUM(K136:K144)/D136, ""))</f>
        <v>0.3311906549</v>
      </c>
      <c r="M136" s="308">
        <f>IF(D136="","", D136-SUM(K136:K144))</f>
        <v>17322.16204</v>
      </c>
      <c r="N136" s="309">
        <f t="shared" si="69"/>
        <v>0.6688093451</v>
      </c>
      <c r="O136" s="310"/>
      <c r="P136" s="311">
        <f t="shared" ref="P136:P144" si="72">IF(O136=0, G136*I136, G136*O136)</f>
        <v>3150</v>
      </c>
      <c r="Q136" s="312">
        <f>IF(D136="","", IFERROR(SUM(P136:P144)/D136, ""))</f>
        <v>0.3336195483</v>
      </c>
      <c r="R136" s="313">
        <f>IF(D136="","", D136-SUM(P136:P144))</f>
        <v>17259.2537</v>
      </c>
      <c r="S136" s="314">
        <f t="shared" si="70"/>
        <v>0.6663804517</v>
      </c>
    </row>
    <row r="137" hidden="1">
      <c r="A137" s="315"/>
      <c r="B137" s="137"/>
      <c r="C137" s="137"/>
      <c r="D137" s="137"/>
      <c r="E137" s="302" t="s">
        <v>3036</v>
      </c>
      <c r="F137" s="302" t="s">
        <v>3038</v>
      </c>
      <c r="G137" s="303">
        <v>1.0</v>
      </c>
      <c r="H137" s="304" t="s">
        <v>7</v>
      </c>
      <c r="I137" s="305">
        <f>IFERROR(VLOOKUP(E137, 'Database Resto'!C:P, 13, FALSE),"")</f>
        <v>279.9629385</v>
      </c>
      <c r="J137" s="306">
        <f t="shared" si="71"/>
        <v>279.9629385</v>
      </c>
      <c r="K137" s="306">
        <f>IFERROR(VLOOKUP(E137, 'Database Resto'!C:P, 13, FALSE)* G137, 0)</f>
        <v>279.9629385</v>
      </c>
      <c r="L137" s="137"/>
      <c r="M137" s="137"/>
      <c r="N137" s="137"/>
      <c r="O137" s="310"/>
      <c r="P137" s="311">
        <f t="shared" si="72"/>
        <v>279.9629385</v>
      </c>
      <c r="Q137" s="143"/>
      <c r="R137" s="137"/>
      <c r="S137" s="157"/>
    </row>
    <row r="138" hidden="1">
      <c r="A138" s="315"/>
      <c r="B138" s="137"/>
      <c r="C138" s="137"/>
      <c r="D138" s="137"/>
      <c r="E138" s="302" t="s">
        <v>3484</v>
      </c>
      <c r="F138" s="302" t="s">
        <v>1919</v>
      </c>
      <c r="G138" s="316">
        <v>1.0</v>
      </c>
      <c r="H138" s="302" t="s">
        <v>7</v>
      </c>
      <c r="I138" s="305">
        <f>IFERROR(VLOOKUP(E138, 'Database Resto'!C:P, 13, FALSE),"")</f>
        <v>3000</v>
      </c>
      <c r="J138" s="306">
        <f t="shared" si="71"/>
        <v>3000</v>
      </c>
      <c r="K138" s="306">
        <f>IFERROR(VLOOKUP(E138, 'Database Resto'!C:P, 13, FALSE)* G138, 0)</f>
        <v>3000</v>
      </c>
      <c r="L138" s="137"/>
      <c r="M138" s="137"/>
      <c r="N138" s="137"/>
      <c r="O138" s="310"/>
      <c r="P138" s="311">
        <f t="shared" si="72"/>
        <v>3000</v>
      </c>
      <c r="Q138" s="143"/>
      <c r="R138" s="137"/>
      <c r="S138" s="157"/>
    </row>
    <row r="139" hidden="1">
      <c r="A139" s="315"/>
      <c r="B139" s="137"/>
      <c r="C139" s="137"/>
      <c r="D139" s="137"/>
      <c r="E139" s="302" t="s">
        <v>3178</v>
      </c>
      <c r="F139" s="302" t="s">
        <v>3179</v>
      </c>
      <c r="G139" s="316">
        <v>25.0</v>
      </c>
      <c r="H139" s="302" t="s">
        <v>56</v>
      </c>
      <c r="I139" s="305">
        <f>IFERROR(VLOOKUP(E139, 'Database Resto'!C:P, 13, FALSE),"")</f>
        <v>12.58166762</v>
      </c>
      <c r="J139" s="306">
        <f t="shared" ref="J139:J147" si="73">I139*1000</f>
        <v>12581.66762</v>
      </c>
      <c r="K139" s="306">
        <f>IFERROR(VLOOKUP(E139, 'Database Resto'!C:P, 13, FALSE)* G139, 0)</f>
        <v>314.5416905</v>
      </c>
      <c r="L139" s="137"/>
      <c r="M139" s="137"/>
      <c r="N139" s="137"/>
      <c r="O139" s="310">
        <v>15.098001142204454</v>
      </c>
      <c r="P139" s="311">
        <f t="shared" si="72"/>
        <v>377.4500286</v>
      </c>
      <c r="Q139" s="143"/>
      <c r="R139" s="137"/>
      <c r="S139" s="157"/>
    </row>
    <row r="140" hidden="1">
      <c r="A140" s="315"/>
      <c r="B140" s="137"/>
      <c r="C140" s="137"/>
      <c r="D140" s="137"/>
      <c r="E140" s="317" t="str">
        <f>IFERROR(__xludf.DUMMYFUNCTION("IF($C$4, FILTER(Pembungkus!B:E, Pembungkus!A:A=""Mie""), """")
"),"")</f>
        <v/>
      </c>
      <c r="F140" s="317"/>
      <c r="G140" s="318"/>
      <c r="H140" s="317"/>
      <c r="I140" s="319" t="str">
        <f>IFERROR(VLOOKUP(E140, 'Database Resto'!C:P, 13, FALSE),"")</f>
        <v/>
      </c>
      <c r="J140" s="320">
        <f t="shared" si="73"/>
        <v>0</v>
      </c>
      <c r="K140" s="320">
        <f>IFERROR(VLOOKUP(E140, 'Database Resto'!C:P, 13, FALSE)* G140, 0)</f>
        <v>0</v>
      </c>
      <c r="L140" s="137"/>
      <c r="M140" s="137"/>
      <c r="N140" s="137"/>
      <c r="O140" s="321" t="s">
        <v>733</v>
      </c>
      <c r="P140" s="322">
        <f t="shared" si="72"/>
        <v>0</v>
      </c>
      <c r="Q140" s="143"/>
      <c r="R140" s="137"/>
      <c r="S140" s="157"/>
    </row>
    <row r="141" hidden="1">
      <c r="A141" s="315"/>
      <c r="B141" s="137"/>
      <c r="C141" s="137"/>
      <c r="D141" s="137"/>
      <c r="E141" s="317"/>
      <c r="F141" s="317"/>
      <c r="G141" s="318"/>
      <c r="H141" s="317"/>
      <c r="I141" s="319" t="str">
        <f>IFERROR(VLOOKUP(E141, 'Database Resto'!C:P, 13, FALSE),"")</f>
        <v/>
      </c>
      <c r="J141" s="320">
        <f t="shared" si="73"/>
        <v>0</v>
      </c>
      <c r="K141" s="320">
        <f>IFERROR(VLOOKUP(E141, 'Database Resto'!C:P, 13, FALSE)* G141, 0)</f>
        <v>0</v>
      </c>
      <c r="L141" s="137"/>
      <c r="M141" s="137"/>
      <c r="N141" s="137"/>
      <c r="O141" s="321" t="s">
        <v>733</v>
      </c>
      <c r="P141" s="322">
        <f t="shared" si="72"/>
        <v>0</v>
      </c>
      <c r="Q141" s="143"/>
      <c r="R141" s="137"/>
      <c r="S141" s="157"/>
    </row>
    <row r="142" hidden="1">
      <c r="A142" s="315"/>
      <c r="B142" s="137"/>
      <c r="C142" s="137"/>
      <c r="D142" s="137"/>
      <c r="E142" s="317"/>
      <c r="F142" s="317"/>
      <c r="G142" s="318"/>
      <c r="H142" s="317"/>
      <c r="I142" s="319" t="str">
        <f>IFERROR(VLOOKUP(E142, 'Database Resto'!C:P, 13, FALSE),"")</f>
        <v/>
      </c>
      <c r="J142" s="320">
        <f t="shared" si="73"/>
        <v>0</v>
      </c>
      <c r="K142" s="320">
        <f>IFERROR(VLOOKUP(E142, 'Database Resto'!C:P, 13, FALSE)* G142, 0)</f>
        <v>0</v>
      </c>
      <c r="L142" s="137"/>
      <c r="M142" s="137"/>
      <c r="N142" s="137"/>
      <c r="O142" s="321" t="s">
        <v>733</v>
      </c>
      <c r="P142" s="322">
        <f t="shared" si="72"/>
        <v>0</v>
      </c>
      <c r="Q142" s="143"/>
      <c r="R142" s="137"/>
      <c r="S142" s="157"/>
    </row>
    <row r="143" hidden="1">
      <c r="A143" s="315"/>
      <c r="B143" s="137"/>
      <c r="C143" s="137"/>
      <c r="D143" s="137"/>
      <c r="E143" s="317"/>
      <c r="F143" s="317"/>
      <c r="G143" s="318"/>
      <c r="H143" s="317"/>
      <c r="I143" s="319" t="str">
        <f>IFERROR(VLOOKUP(E143, 'Database Resto'!C:P, 13, FALSE),"")</f>
        <v/>
      </c>
      <c r="J143" s="320">
        <f t="shared" si="73"/>
        <v>0</v>
      </c>
      <c r="K143" s="320">
        <f>IFERROR(VLOOKUP(E143, 'Database Resto'!C:P, 13, FALSE)* G143, 0)</f>
        <v>0</v>
      </c>
      <c r="L143" s="137"/>
      <c r="M143" s="137"/>
      <c r="N143" s="137"/>
      <c r="O143" s="321" t="s">
        <v>733</v>
      </c>
      <c r="P143" s="322">
        <f t="shared" si="72"/>
        <v>0</v>
      </c>
      <c r="Q143" s="143"/>
      <c r="R143" s="137"/>
      <c r="S143" s="157"/>
    </row>
    <row r="144" hidden="1">
      <c r="A144" s="315"/>
      <c r="B144" s="67"/>
      <c r="C144" s="67"/>
      <c r="D144" s="67"/>
      <c r="E144" s="323" t="str">
        <f>IFERROR(__xludf.DUMMYFUNCTION("IF($E$3="""","""",IFERROR(FILTER(Pembungkus!B:E, Pembungkus!C:C=$E$3),""""))"),"MNMN.30100")</f>
        <v>MNMN.30100</v>
      </c>
      <c r="F144" s="323" t="str">
        <f>IFERROR(__xludf.DUMMYFUNCTION("""COMPUTED_VALUE"""),"Air Mineral")</f>
        <v>Air Mineral</v>
      </c>
      <c r="G144" s="324">
        <f>IFERROR(__xludf.DUMMYFUNCTION("""COMPUTED_VALUE"""),1.0)</f>
        <v>1</v>
      </c>
      <c r="H144" s="323" t="str">
        <f>IFERROR(__xludf.DUMMYFUNCTION("""COMPUTED_VALUE"""),"Btl")</f>
        <v>Btl</v>
      </c>
      <c r="I144" s="325">
        <f>IFERROR(VLOOKUP(E144, 'Database Resto'!C:P, 13, FALSE),"")</f>
        <v>1833.333333</v>
      </c>
      <c r="J144" s="326">
        <f t="shared" si="73"/>
        <v>1833333.333</v>
      </c>
      <c r="K144" s="326">
        <f>IFERROR(VLOOKUP(E144, 'Database Resto'!C:P, 13, FALSE)* G144, 0)</f>
        <v>1833.333333</v>
      </c>
      <c r="L144" s="67"/>
      <c r="M144" s="67"/>
      <c r="N144" s="67"/>
      <c r="O144" s="327"/>
      <c r="P144" s="328">
        <f t="shared" si="72"/>
        <v>1833.333333</v>
      </c>
      <c r="Q144" s="75"/>
      <c r="R144" s="67"/>
      <c r="S144" s="168"/>
    </row>
    <row r="145" ht="18.0" hidden="1" customHeight="1">
      <c r="A145" s="315"/>
      <c r="B145" s="329" t="s">
        <v>3563</v>
      </c>
      <c r="C145" s="172"/>
      <c r="D145" s="171">
        <f>IFERROR(VLOOKUP(B145, 'Database Resto'!C:P, 9, FALSE),"")</f>
        <v>25900</v>
      </c>
      <c r="E145" s="172"/>
      <c r="F145" s="172"/>
      <c r="G145" s="174"/>
      <c r="H145" s="172"/>
      <c r="I145" s="175" t="str">
        <f>IFERROR(VLOOKUP(E145, 'Database Resto'!C:P, 13, FALSE),"")</f>
        <v/>
      </c>
      <c r="J145" s="330">
        <f t="shared" si="73"/>
        <v>0</v>
      </c>
      <c r="K145" s="176">
        <f>SUM(K136:K144)</f>
        <v>8577.837962</v>
      </c>
      <c r="L145" s="177">
        <f>IFERROR(K145/D136, 0)</f>
        <v>0.3311906549</v>
      </c>
      <c r="M145" s="178">
        <f>D136-K145</f>
        <v>17322.16204</v>
      </c>
      <c r="N145" s="179">
        <f t="shared" ref="N145:N146" si="74">IFERROR(M145/D145, )</f>
        <v>0.6688093451</v>
      </c>
      <c r="O145" s="180" t="s">
        <v>733</v>
      </c>
      <c r="P145" s="181">
        <f>SUM(P136:P144)</f>
        <v>8640.7463</v>
      </c>
      <c r="Q145" s="182">
        <f>IFERROR(P145/D136, 0)</f>
        <v>0.3336195483</v>
      </c>
      <c r="R145" s="184">
        <f>D136-P145</f>
        <v>17259.2537</v>
      </c>
      <c r="S145" s="186">
        <f t="shared" ref="S145:S146" si="75">IFERROR(R145/D145, )</f>
        <v>0.6663804517</v>
      </c>
    </row>
    <row r="146" hidden="1">
      <c r="A146" s="315"/>
      <c r="B146" s="299" t="s">
        <v>3565</v>
      </c>
      <c r="C146" s="300" t="s">
        <v>3566</v>
      </c>
      <c r="D146" s="332">
        <f>IFERROR(VLOOKUP(B146, 'Database Resto'!C:P, 9, FALSE),"")</f>
        <v>32900</v>
      </c>
      <c r="E146" s="302" t="s">
        <v>3520</v>
      </c>
      <c r="F146" s="302" t="s">
        <v>3521</v>
      </c>
      <c r="G146" s="316">
        <v>52.0</v>
      </c>
      <c r="H146" s="302" t="s">
        <v>56</v>
      </c>
      <c r="I146" s="305">
        <f>IFERROR(VLOOKUP(E146, 'Database Resto'!C:P, 13, FALSE),"")</f>
        <v>19.51270651</v>
      </c>
      <c r="J146" s="306">
        <f t="shared" si="73"/>
        <v>19512.70651</v>
      </c>
      <c r="K146" s="306">
        <f>IFERROR(VLOOKUP(E146, 'Database Resto'!C:P, 13, FALSE)* G146, 0)</f>
        <v>1014.660738</v>
      </c>
      <c r="L146" s="307">
        <f>IF(D146="","", IFERROR(SUM(K146:K156)/D146, ""))</f>
        <v>0.4910963946</v>
      </c>
      <c r="M146" s="308">
        <f>IF(D146="","", D146-SUM(K146:K156))</f>
        <v>16742.92862</v>
      </c>
      <c r="N146" s="309">
        <f t="shared" si="74"/>
        <v>0.5089036054</v>
      </c>
      <c r="O146" s="310">
        <v>23.41524780681319</v>
      </c>
      <c r="P146" s="311">
        <f t="shared" ref="P146:P156" si="76">IF(O146=0, G146*I146, G146*O146)</f>
        <v>1217.592886</v>
      </c>
      <c r="Q146" s="312">
        <f>IF(D146="","", IFERROR(SUM(P146:P156)/D146, ""))</f>
        <v>0.5239372197</v>
      </c>
      <c r="R146" s="313">
        <f>IF(D146="","", D146-SUM(P146:P156))</f>
        <v>15662.46547</v>
      </c>
      <c r="S146" s="314">
        <f t="shared" si="75"/>
        <v>0.4760627803</v>
      </c>
    </row>
    <row r="147" hidden="1">
      <c r="A147" s="315"/>
      <c r="B147" s="137"/>
      <c r="C147" s="137"/>
      <c r="D147" s="137"/>
      <c r="E147" s="302" t="s">
        <v>3522</v>
      </c>
      <c r="F147" s="302" t="s">
        <v>3523</v>
      </c>
      <c r="G147" s="316">
        <v>70.0</v>
      </c>
      <c r="H147" s="302" t="s">
        <v>56</v>
      </c>
      <c r="I147" s="305">
        <f>IFERROR(VLOOKUP(E147, 'Database Resto'!C:P, 13, FALSE),"")</f>
        <v>116.3746655</v>
      </c>
      <c r="J147" s="306">
        <f t="shared" si="73"/>
        <v>116374.6655</v>
      </c>
      <c r="K147" s="306">
        <f>IFERROR(VLOOKUP(E147, 'Database Resto'!C:P, 13, FALSE)* G147, 0)</f>
        <v>8146.226583</v>
      </c>
      <c r="L147" s="137"/>
      <c r="M147" s="137"/>
      <c r="N147" s="137"/>
      <c r="O147" s="310">
        <v>128.0121320249777</v>
      </c>
      <c r="P147" s="311">
        <f t="shared" si="76"/>
        <v>8960.849242</v>
      </c>
      <c r="Q147" s="143"/>
      <c r="R147" s="137"/>
      <c r="S147" s="157"/>
    </row>
    <row r="148" hidden="1">
      <c r="A148" s="315"/>
      <c r="B148" s="137"/>
      <c r="C148" s="137"/>
      <c r="D148" s="137"/>
      <c r="E148" s="302" t="s">
        <v>3036</v>
      </c>
      <c r="F148" s="302" t="s">
        <v>3038</v>
      </c>
      <c r="G148" s="303">
        <v>1.0</v>
      </c>
      <c r="H148" s="304" t="s">
        <v>7</v>
      </c>
      <c r="I148" s="305">
        <f>IFERROR(VLOOKUP(E148, 'Database Resto'!C:P, 13, FALSE),"")</f>
        <v>279.9629385</v>
      </c>
      <c r="J148" s="306">
        <f t="shared" ref="J148:J149" si="77">I148</f>
        <v>279.9629385</v>
      </c>
      <c r="K148" s="306">
        <f>IFERROR(VLOOKUP(E148, 'Database Resto'!C:P, 13, FALSE)* G148, 0)</f>
        <v>279.9629385</v>
      </c>
      <c r="L148" s="137"/>
      <c r="M148" s="137"/>
      <c r="N148" s="137"/>
      <c r="O148" s="310"/>
      <c r="P148" s="311">
        <f t="shared" si="76"/>
        <v>279.9629385</v>
      </c>
      <c r="Q148" s="143"/>
      <c r="R148" s="137"/>
      <c r="S148" s="157"/>
    </row>
    <row r="149" hidden="1">
      <c r="A149" s="315"/>
      <c r="B149" s="137"/>
      <c r="C149" s="137"/>
      <c r="D149" s="137"/>
      <c r="E149" s="302" t="s">
        <v>3484</v>
      </c>
      <c r="F149" s="302" t="s">
        <v>1919</v>
      </c>
      <c r="G149" s="316">
        <v>1.0</v>
      </c>
      <c r="H149" s="302" t="s">
        <v>7</v>
      </c>
      <c r="I149" s="305">
        <f>IFERROR(VLOOKUP(E149, 'Database Resto'!C:P, 13, FALSE),"")</f>
        <v>3000</v>
      </c>
      <c r="J149" s="306">
        <f t="shared" si="77"/>
        <v>3000</v>
      </c>
      <c r="K149" s="306">
        <f>IFERROR(VLOOKUP(E149, 'Database Resto'!C:P, 13, FALSE)* G149, 0)</f>
        <v>3000</v>
      </c>
      <c r="L149" s="137"/>
      <c r="M149" s="137"/>
      <c r="N149" s="137"/>
      <c r="O149" s="310"/>
      <c r="P149" s="311">
        <f t="shared" si="76"/>
        <v>3000</v>
      </c>
      <c r="Q149" s="143"/>
      <c r="R149" s="137"/>
      <c r="S149" s="157"/>
    </row>
    <row r="150" hidden="1">
      <c r="A150" s="315"/>
      <c r="B150" s="137"/>
      <c r="C150" s="137"/>
      <c r="D150" s="137"/>
      <c r="E150" s="302" t="s">
        <v>3178</v>
      </c>
      <c r="F150" s="302" t="s">
        <v>3179</v>
      </c>
      <c r="G150" s="316">
        <v>25.0</v>
      </c>
      <c r="H150" s="302" t="s">
        <v>56</v>
      </c>
      <c r="I150" s="305">
        <f>IFERROR(VLOOKUP(E150, 'Database Resto'!C:P, 13, FALSE),"")</f>
        <v>12.58166762</v>
      </c>
      <c r="J150" s="306">
        <f t="shared" ref="J150:J157" si="78">I150*1000</f>
        <v>12581.66762</v>
      </c>
      <c r="K150" s="306">
        <f>IFERROR(VLOOKUP(E150, 'Database Resto'!C:P, 13, FALSE)* G150, 0)</f>
        <v>314.5416905</v>
      </c>
      <c r="L150" s="137"/>
      <c r="M150" s="137"/>
      <c r="N150" s="137"/>
      <c r="O150" s="310">
        <v>15.098001142204454</v>
      </c>
      <c r="P150" s="311">
        <f t="shared" si="76"/>
        <v>377.4500286</v>
      </c>
      <c r="Q150" s="143"/>
      <c r="R150" s="137"/>
      <c r="S150" s="157"/>
    </row>
    <row r="151" hidden="1">
      <c r="A151" s="315"/>
      <c r="B151" s="137"/>
      <c r="C151" s="137"/>
      <c r="D151" s="137"/>
      <c r="E151" s="302" t="s">
        <v>3500</v>
      </c>
      <c r="F151" s="302" t="s">
        <v>3501</v>
      </c>
      <c r="G151" s="316">
        <v>50.0</v>
      </c>
      <c r="H151" s="302" t="s">
        <v>56</v>
      </c>
      <c r="I151" s="305">
        <f>IFERROR(VLOOKUP(E151, 'Database Resto'!C:P, 13, FALSE),"")</f>
        <v>31.36692198</v>
      </c>
      <c r="J151" s="306">
        <f t="shared" si="78"/>
        <v>31366.92198</v>
      </c>
      <c r="K151" s="306">
        <f>IFERROR(VLOOKUP(E151, 'Database Resto'!C:P, 13, FALSE)* G151, 0)</f>
        <v>1568.346099</v>
      </c>
      <c r="L151" s="137"/>
      <c r="M151" s="137"/>
      <c r="N151" s="137"/>
      <c r="O151" s="310"/>
      <c r="P151" s="311">
        <f t="shared" si="76"/>
        <v>1568.346099</v>
      </c>
      <c r="Q151" s="143"/>
      <c r="R151" s="137"/>
      <c r="S151" s="157"/>
    </row>
    <row r="152" hidden="1">
      <c r="A152" s="315"/>
      <c r="B152" s="137"/>
      <c r="C152" s="137"/>
      <c r="D152" s="137"/>
      <c r="E152" s="317" t="str">
        <f>IFERROR(__xludf.DUMMYFUNCTION("IF($C$4, FILTER(Pembungkus!B:E, Pembungkus!A:A=""Mie""), """")
"),"")</f>
        <v/>
      </c>
      <c r="F152" s="317"/>
      <c r="G152" s="318"/>
      <c r="H152" s="317"/>
      <c r="I152" s="319" t="str">
        <f>IFERROR(VLOOKUP(E152, 'Database Resto'!C:P, 13, FALSE),"")</f>
        <v/>
      </c>
      <c r="J152" s="320">
        <f t="shared" si="78"/>
        <v>0</v>
      </c>
      <c r="K152" s="320">
        <f>IFERROR(VLOOKUP(E152, 'Database Resto'!C:P, 13, FALSE)* G152, 0)</f>
        <v>0</v>
      </c>
      <c r="L152" s="137"/>
      <c r="M152" s="137"/>
      <c r="N152" s="137"/>
      <c r="O152" s="321" t="s">
        <v>733</v>
      </c>
      <c r="P152" s="322">
        <f t="shared" si="76"/>
        <v>0</v>
      </c>
      <c r="Q152" s="143"/>
      <c r="R152" s="137"/>
      <c r="S152" s="157"/>
    </row>
    <row r="153" hidden="1">
      <c r="A153" s="315"/>
      <c r="B153" s="137"/>
      <c r="C153" s="137"/>
      <c r="D153" s="137"/>
      <c r="E153" s="317"/>
      <c r="F153" s="317"/>
      <c r="G153" s="318"/>
      <c r="H153" s="317"/>
      <c r="I153" s="319" t="str">
        <f>IFERROR(VLOOKUP(E153, 'Database Resto'!C:P, 13, FALSE),"")</f>
        <v/>
      </c>
      <c r="J153" s="320">
        <f t="shared" si="78"/>
        <v>0</v>
      </c>
      <c r="K153" s="320">
        <f>IFERROR(VLOOKUP(E153, 'Database Resto'!C:P, 13, FALSE)* G153, 0)</f>
        <v>0</v>
      </c>
      <c r="L153" s="137"/>
      <c r="M153" s="137"/>
      <c r="N153" s="137"/>
      <c r="O153" s="321" t="s">
        <v>733</v>
      </c>
      <c r="P153" s="322">
        <f t="shared" si="76"/>
        <v>0</v>
      </c>
      <c r="Q153" s="143"/>
      <c r="R153" s="137"/>
      <c r="S153" s="157"/>
    </row>
    <row r="154" hidden="1">
      <c r="A154" s="315"/>
      <c r="B154" s="137"/>
      <c r="C154" s="137"/>
      <c r="D154" s="137"/>
      <c r="E154" s="317"/>
      <c r="F154" s="317"/>
      <c r="G154" s="318"/>
      <c r="H154" s="317"/>
      <c r="I154" s="319" t="str">
        <f>IFERROR(VLOOKUP(E154, 'Database Resto'!C:P, 13, FALSE),"")</f>
        <v/>
      </c>
      <c r="J154" s="320">
        <f t="shared" si="78"/>
        <v>0</v>
      </c>
      <c r="K154" s="320">
        <f>IFERROR(VLOOKUP(E154, 'Database Resto'!C:P, 13, FALSE)* G154, 0)</f>
        <v>0</v>
      </c>
      <c r="L154" s="137"/>
      <c r="M154" s="137"/>
      <c r="N154" s="137"/>
      <c r="O154" s="321" t="s">
        <v>733</v>
      </c>
      <c r="P154" s="322">
        <f t="shared" si="76"/>
        <v>0</v>
      </c>
      <c r="Q154" s="143"/>
      <c r="R154" s="137"/>
      <c r="S154" s="157"/>
    </row>
    <row r="155" hidden="1">
      <c r="A155" s="315"/>
      <c r="B155" s="137"/>
      <c r="C155" s="137"/>
      <c r="D155" s="137"/>
      <c r="E155" s="317"/>
      <c r="F155" s="317"/>
      <c r="G155" s="318"/>
      <c r="H155" s="317"/>
      <c r="I155" s="319" t="str">
        <f>IFERROR(VLOOKUP(E155, 'Database Resto'!C:P, 13, FALSE),"")</f>
        <v/>
      </c>
      <c r="J155" s="320">
        <f t="shared" si="78"/>
        <v>0</v>
      </c>
      <c r="K155" s="320">
        <f>IFERROR(VLOOKUP(E155, 'Database Resto'!C:P, 13, FALSE)* G155, 0)</f>
        <v>0</v>
      </c>
      <c r="L155" s="137"/>
      <c r="M155" s="137"/>
      <c r="N155" s="137"/>
      <c r="O155" s="321" t="s">
        <v>733</v>
      </c>
      <c r="P155" s="322">
        <f t="shared" si="76"/>
        <v>0</v>
      </c>
      <c r="Q155" s="143"/>
      <c r="R155" s="137"/>
      <c r="S155" s="157"/>
    </row>
    <row r="156" hidden="1">
      <c r="A156" s="315"/>
      <c r="B156" s="67"/>
      <c r="C156" s="67"/>
      <c r="D156" s="67"/>
      <c r="E156" s="323" t="str">
        <f>IFERROR(__xludf.DUMMYFUNCTION("IF($E$3="""","""",IFERROR(FILTER(Pembungkus!B:E, Pembungkus!C:C=$E$3),""""))"),"MNMN.30100")</f>
        <v>MNMN.30100</v>
      </c>
      <c r="F156" s="323" t="str">
        <f>IFERROR(__xludf.DUMMYFUNCTION("""COMPUTED_VALUE"""),"Air Mineral")</f>
        <v>Air Mineral</v>
      </c>
      <c r="G156" s="324">
        <f>IFERROR(__xludf.DUMMYFUNCTION("""COMPUTED_VALUE"""),1.0)</f>
        <v>1</v>
      </c>
      <c r="H156" s="323" t="str">
        <f>IFERROR(__xludf.DUMMYFUNCTION("""COMPUTED_VALUE"""),"Btl")</f>
        <v>Btl</v>
      </c>
      <c r="I156" s="325">
        <f>IFERROR(VLOOKUP(E156, 'Database Resto'!C:P, 13, FALSE),"")</f>
        <v>1833.333333</v>
      </c>
      <c r="J156" s="326">
        <f t="shared" si="78"/>
        <v>1833333.333</v>
      </c>
      <c r="K156" s="326">
        <f>IFERROR(VLOOKUP(E156, 'Database Resto'!C:P, 13, FALSE)* G156, 0)</f>
        <v>1833.333333</v>
      </c>
      <c r="L156" s="67"/>
      <c r="M156" s="67"/>
      <c r="N156" s="67"/>
      <c r="O156" s="327"/>
      <c r="P156" s="328">
        <f t="shared" si="76"/>
        <v>1833.333333</v>
      </c>
      <c r="Q156" s="75"/>
      <c r="R156" s="67"/>
      <c r="S156" s="168"/>
    </row>
    <row r="157" ht="18.0" hidden="1" customHeight="1">
      <c r="A157" s="315"/>
      <c r="B157" s="329" t="s">
        <v>3565</v>
      </c>
      <c r="C157" s="172"/>
      <c r="D157" s="171">
        <f>IFERROR(VLOOKUP(B157, 'Database Resto'!C:P, 9, FALSE),"")</f>
        <v>32900</v>
      </c>
      <c r="E157" s="172"/>
      <c r="F157" s="172"/>
      <c r="G157" s="288"/>
      <c r="H157" s="289"/>
      <c r="I157" s="175" t="str">
        <f>IFERROR(VLOOKUP(E157, 'Database Resto'!C:P, 13, FALSE),"")</f>
        <v/>
      </c>
      <c r="J157" s="330">
        <f t="shared" si="78"/>
        <v>0</v>
      </c>
      <c r="K157" s="176">
        <f>SUM(K146:K156)</f>
        <v>16157.07138</v>
      </c>
      <c r="L157" s="177">
        <f>IFERROR(K157/D146, 0)</f>
        <v>0.4910963946</v>
      </c>
      <c r="M157" s="178">
        <f>D146-K157</f>
        <v>16742.92862</v>
      </c>
      <c r="N157" s="179">
        <f t="shared" ref="N157:N158" si="79">IFERROR(M157/D157, )</f>
        <v>0.5089036054</v>
      </c>
      <c r="O157" s="180" t="s">
        <v>733</v>
      </c>
      <c r="P157" s="181">
        <f>SUM(P146:P156)</f>
        <v>17237.53453</v>
      </c>
      <c r="Q157" s="182">
        <f>IFERROR(P157/D146, 0)</f>
        <v>0.5239372197</v>
      </c>
      <c r="R157" s="184">
        <f>D146-P157</f>
        <v>15662.46547</v>
      </c>
      <c r="S157" s="186">
        <f t="shared" ref="S157:S158" si="80">IFERROR(R157/D157, )</f>
        <v>0.4760627803</v>
      </c>
    </row>
    <row r="158" hidden="1">
      <c r="A158" s="315"/>
      <c r="B158" s="299" t="s">
        <v>3567</v>
      </c>
      <c r="C158" s="300" t="s">
        <v>3568</v>
      </c>
      <c r="D158" s="301">
        <f>IFERROR(VLOOKUP(B158, 'Database Resto'!C:P, 9, FALSE),"")</f>
        <v>9900</v>
      </c>
      <c r="E158" s="302" t="s">
        <v>3036</v>
      </c>
      <c r="F158" s="302" t="s">
        <v>3038</v>
      </c>
      <c r="G158" s="303">
        <v>1.0</v>
      </c>
      <c r="H158" s="304" t="s">
        <v>7</v>
      </c>
      <c r="I158" s="305">
        <f>IFERROR(VLOOKUP(E158, 'Database Resto'!C:P, 13, FALSE),"")</f>
        <v>279.9629385</v>
      </c>
      <c r="J158" s="306">
        <f>I158</f>
        <v>279.9629385</v>
      </c>
      <c r="K158" s="306">
        <f>IFERROR(VLOOKUP(E158, 'Database Resto'!C:P, 13, FALSE)* G158, 0)</f>
        <v>279.9629385</v>
      </c>
      <c r="L158" s="307">
        <f>IF(D158="","", IFERROR(SUM(K158:K165)/D158, ""))</f>
        <v>0.5482664608</v>
      </c>
      <c r="M158" s="308">
        <f>IF(D158="","", D158-SUM(K158:K165))</f>
        <v>4472.162038</v>
      </c>
      <c r="N158" s="309">
        <f t="shared" si="79"/>
        <v>0.4517335392</v>
      </c>
      <c r="O158" s="310"/>
      <c r="P158" s="311">
        <f t="shared" ref="P158:P165" si="81">IF(O158=0, G158*I158, G158*O158)</f>
        <v>279.9629385</v>
      </c>
      <c r="Q158" s="312">
        <f>IF(D158="","", IFERROR(SUM(P158:P165)/D158, ""))</f>
        <v>0.5546208384</v>
      </c>
      <c r="R158" s="313">
        <f>IF(D158="","", D158-SUM(P158:P165))</f>
        <v>4409.2537</v>
      </c>
      <c r="S158" s="314">
        <f t="shared" si="80"/>
        <v>0.4453791616</v>
      </c>
    </row>
    <row r="159" hidden="1">
      <c r="A159" s="315"/>
      <c r="B159" s="137"/>
      <c r="C159" s="137"/>
      <c r="D159" s="137"/>
      <c r="E159" s="302" t="s">
        <v>3484</v>
      </c>
      <c r="F159" s="302" t="s">
        <v>1919</v>
      </c>
      <c r="G159" s="316">
        <v>1.0</v>
      </c>
      <c r="H159" s="302" t="s">
        <v>7</v>
      </c>
      <c r="I159" s="305">
        <f>IFERROR(VLOOKUP(E159, 'Database Resto'!C:P, 13, FALSE),"")</f>
        <v>3000</v>
      </c>
      <c r="J159" s="306">
        <f>J233</f>
        <v>10923.28674</v>
      </c>
      <c r="K159" s="306">
        <f>IFERROR(VLOOKUP(E159, 'Database Resto'!C:P, 13, FALSE)* G159, 0)</f>
        <v>3000</v>
      </c>
      <c r="L159" s="137"/>
      <c r="M159" s="137"/>
      <c r="N159" s="137"/>
      <c r="O159" s="310"/>
      <c r="P159" s="311">
        <f t="shared" si="81"/>
        <v>3000</v>
      </c>
      <c r="Q159" s="143"/>
      <c r="R159" s="137"/>
      <c r="S159" s="157"/>
    </row>
    <row r="160" ht="16.5" hidden="1" customHeight="1">
      <c r="A160" s="315"/>
      <c r="B160" s="137"/>
      <c r="C160" s="137"/>
      <c r="D160" s="137"/>
      <c r="E160" s="302" t="s">
        <v>3178</v>
      </c>
      <c r="F160" s="302" t="s">
        <v>3179</v>
      </c>
      <c r="G160" s="316">
        <v>25.0</v>
      </c>
      <c r="H160" s="302" t="s">
        <v>56</v>
      </c>
      <c r="I160" s="305">
        <f>IFERROR(VLOOKUP(E160, 'Database Resto'!C:P, 13, FALSE),"")</f>
        <v>12.58166762</v>
      </c>
      <c r="J160" s="306">
        <f t="shared" ref="J160:J167" si="82">I160*1000</f>
        <v>12581.66762</v>
      </c>
      <c r="K160" s="306">
        <f>IFERROR(VLOOKUP(E160, 'Database Resto'!C:P, 13, FALSE)* G160, 0)</f>
        <v>314.5416905</v>
      </c>
      <c r="L160" s="137"/>
      <c r="M160" s="137"/>
      <c r="N160" s="137"/>
      <c r="O160" s="310">
        <v>15.098001142204454</v>
      </c>
      <c r="P160" s="311">
        <f t="shared" si="81"/>
        <v>377.4500286</v>
      </c>
      <c r="Q160" s="143"/>
      <c r="R160" s="137"/>
      <c r="S160" s="157"/>
    </row>
    <row r="161" ht="16.5" hidden="1" customHeight="1">
      <c r="A161" s="315"/>
      <c r="B161" s="137"/>
      <c r="C161" s="137"/>
      <c r="D161" s="137"/>
      <c r="E161" s="317" t="str">
        <f>IFERROR(__xludf.DUMMYFUNCTION("IF($C$4, FILTER(Pembungkus!B:E, Pembungkus!A:A=""Mie""), """")
"),"")</f>
        <v/>
      </c>
      <c r="F161" s="317"/>
      <c r="G161" s="318"/>
      <c r="H161" s="317"/>
      <c r="I161" s="319" t="str">
        <f>IFERROR(VLOOKUP(E161, 'Database Resto'!C:P, 13, FALSE),"")</f>
        <v/>
      </c>
      <c r="J161" s="320">
        <f t="shared" si="82"/>
        <v>0</v>
      </c>
      <c r="K161" s="320">
        <f>IFERROR(VLOOKUP(E161, 'Database Resto'!C:P, 13, FALSE)* G161, 0)</f>
        <v>0</v>
      </c>
      <c r="L161" s="137"/>
      <c r="M161" s="137"/>
      <c r="N161" s="137"/>
      <c r="O161" s="321" t="s">
        <v>733</v>
      </c>
      <c r="P161" s="322">
        <f t="shared" si="81"/>
        <v>0</v>
      </c>
      <c r="Q161" s="143"/>
      <c r="R161" s="137"/>
      <c r="S161" s="157"/>
    </row>
    <row r="162" ht="16.5" hidden="1" customHeight="1">
      <c r="A162" s="315"/>
      <c r="B162" s="137"/>
      <c r="C162" s="137"/>
      <c r="D162" s="137"/>
      <c r="E162" s="317"/>
      <c r="F162" s="317"/>
      <c r="G162" s="318"/>
      <c r="H162" s="317"/>
      <c r="I162" s="319" t="str">
        <f>IFERROR(VLOOKUP(E162, 'Database Resto'!C:P, 13, FALSE),"")</f>
        <v/>
      </c>
      <c r="J162" s="320">
        <f t="shared" si="82"/>
        <v>0</v>
      </c>
      <c r="K162" s="320">
        <f>IFERROR(VLOOKUP(E162, 'Database Resto'!C:P, 13, FALSE)* G162, 0)</f>
        <v>0</v>
      </c>
      <c r="L162" s="137"/>
      <c r="M162" s="137"/>
      <c r="N162" s="137"/>
      <c r="O162" s="321" t="s">
        <v>733</v>
      </c>
      <c r="P162" s="322">
        <f t="shared" si="81"/>
        <v>0</v>
      </c>
      <c r="Q162" s="143"/>
      <c r="R162" s="137"/>
      <c r="S162" s="157"/>
    </row>
    <row r="163" ht="16.5" hidden="1" customHeight="1">
      <c r="A163" s="315"/>
      <c r="B163" s="137"/>
      <c r="C163" s="137"/>
      <c r="D163" s="137"/>
      <c r="E163" s="317"/>
      <c r="F163" s="317"/>
      <c r="G163" s="318"/>
      <c r="H163" s="317"/>
      <c r="I163" s="319" t="str">
        <f>IFERROR(VLOOKUP(E163, 'Database Resto'!C:P, 13, FALSE),"")</f>
        <v/>
      </c>
      <c r="J163" s="320">
        <f t="shared" si="82"/>
        <v>0</v>
      </c>
      <c r="K163" s="320">
        <f>IFERROR(VLOOKUP(E163, 'Database Resto'!C:P, 13, FALSE)* G163, 0)</f>
        <v>0</v>
      </c>
      <c r="L163" s="137"/>
      <c r="M163" s="137"/>
      <c r="N163" s="137"/>
      <c r="O163" s="321" t="s">
        <v>733</v>
      </c>
      <c r="P163" s="322">
        <f t="shared" si="81"/>
        <v>0</v>
      </c>
      <c r="Q163" s="143"/>
      <c r="R163" s="137"/>
      <c r="S163" s="157"/>
    </row>
    <row r="164" ht="16.5" hidden="1" customHeight="1">
      <c r="A164" s="315"/>
      <c r="B164" s="137"/>
      <c r="C164" s="137"/>
      <c r="D164" s="137"/>
      <c r="E164" s="317"/>
      <c r="F164" s="317"/>
      <c r="G164" s="318"/>
      <c r="H164" s="317"/>
      <c r="I164" s="319" t="str">
        <f>IFERROR(VLOOKUP(E164, 'Database Resto'!C:P, 13, FALSE),"")</f>
        <v/>
      </c>
      <c r="J164" s="320">
        <f t="shared" si="82"/>
        <v>0</v>
      </c>
      <c r="K164" s="320">
        <f>IFERROR(VLOOKUP(E164, 'Database Resto'!C:P, 13, FALSE)* G164, 0)</f>
        <v>0</v>
      </c>
      <c r="L164" s="137"/>
      <c r="M164" s="137"/>
      <c r="N164" s="137"/>
      <c r="O164" s="321" t="s">
        <v>733</v>
      </c>
      <c r="P164" s="322">
        <f t="shared" si="81"/>
        <v>0</v>
      </c>
      <c r="Q164" s="143"/>
      <c r="R164" s="137"/>
      <c r="S164" s="157"/>
    </row>
    <row r="165" ht="16.5" hidden="1" customHeight="1">
      <c r="A165" s="315"/>
      <c r="B165" s="67"/>
      <c r="C165" s="67"/>
      <c r="D165" s="67"/>
      <c r="E165" s="323" t="str">
        <f>IFERROR(__xludf.DUMMYFUNCTION("IF($E$3="""","""",IFERROR(FILTER(Pembungkus!B:E, Pembungkus!C:C=$E$3),""""))"),"MNMN.30100")</f>
        <v>MNMN.30100</v>
      </c>
      <c r="F165" s="323" t="str">
        <f>IFERROR(__xludf.DUMMYFUNCTION("""COMPUTED_VALUE"""),"Air Mineral")</f>
        <v>Air Mineral</v>
      </c>
      <c r="G165" s="324">
        <f>IFERROR(__xludf.DUMMYFUNCTION("""COMPUTED_VALUE"""),1.0)</f>
        <v>1</v>
      </c>
      <c r="H165" s="323" t="str">
        <f>IFERROR(__xludf.DUMMYFUNCTION("""COMPUTED_VALUE"""),"Btl")</f>
        <v>Btl</v>
      </c>
      <c r="I165" s="325">
        <f>IFERROR(VLOOKUP(E165, 'Database Resto'!C:P, 13, FALSE),"")</f>
        <v>1833.333333</v>
      </c>
      <c r="J165" s="326">
        <f t="shared" si="82"/>
        <v>1833333.333</v>
      </c>
      <c r="K165" s="326">
        <f>IFERROR(VLOOKUP(E165, 'Database Resto'!C:P, 13, FALSE)* G165, 0)</f>
        <v>1833.333333</v>
      </c>
      <c r="L165" s="67"/>
      <c r="M165" s="67"/>
      <c r="N165" s="67"/>
      <c r="O165" s="327"/>
      <c r="P165" s="328">
        <f t="shared" si="81"/>
        <v>1833.333333</v>
      </c>
      <c r="Q165" s="75"/>
      <c r="R165" s="67"/>
      <c r="S165" s="168"/>
    </row>
    <row r="166" ht="18.0" hidden="1" customHeight="1">
      <c r="A166" s="315"/>
      <c r="B166" s="329" t="s">
        <v>3567</v>
      </c>
      <c r="C166" s="172"/>
      <c r="D166" s="171">
        <f>IFERROR(VLOOKUP(B166, 'Database Resto'!C:P, 9, FALSE),"")</f>
        <v>9900</v>
      </c>
      <c r="E166" s="172"/>
      <c r="F166" s="172"/>
      <c r="G166" s="174"/>
      <c r="H166" s="172"/>
      <c r="I166" s="175" t="str">
        <f>IFERROR(VLOOKUP(E166, 'Database Resto'!C:P, 13, FALSE),"")</f>
        <v/>
      </c>
      <c r="J166" s="330">
        <f t="shared" si="82"/>
        <v>0</v>
      </c>
      <c r="K166" s="176">
        <f>SUM(K158:K165)</f>
        <v>5427.837962</v>
      </c>
      <c r="L166" s="177">
        <f>IFERROR(K166/D158, 0)</f>
        <v>0.5482664608</v>
      </c>
      <c r="M166" s="178">
        <f>D158-K166</f>
        <v>4472.162038</v>
      </c>
      <c r="N166" s="179">
        <f t="shared" ref="N166:N167" si="83">IFERROR(M166/D166, )</f>
        <v>0.4517335392</v>
      </c>
      <c r="O166" s="180" t="s">
        <v>733</v>
      </c>
      <c r="P166" s="181">
        <f>SUM(P158:P165)</f>
        <v>5490.7463</v>
      </c>
      <c r="Q166" s="182">
        <f>IFERROR(P166/D158, 0)</f>
        <v>0.5546208384</v>
      </c>
      <c r="R166" s="184">
        <f>D158-P166</f>
        <v>4409.2537</v>
      </c>
      <c r="S166" s="186">
        <f t="shared" ref="S166:S167" si="84">IFERROR(R166/D166, )</f>
        <v>0.4453791616</v>
      </c>
    </row>
    <row r="167" hidden="1">
      <c r="A167" s="315"/>
      <c r="B167" s="299" t="s">
        <v>3569</v>
      </c>
      <c r="C167" s="300" t="s">
        <v>3570</v>
      </c>
      <c r="D167" s="301">
        <f>IFERROR(VLOOKUP(B167, 'Database Resto'!C:P, 9, FALSE),"")</f>
        <v>25900</v>
      </c>
      <c r="E167" s="302" t="s">
        <v>3230</v>
      </c>
      <c r="F167" s="302" t="s">
        <v>3231</v>
      </c>
      <c r="G167" s="316">
        <v>60.0</v>
      </c>
      <c r="H167" s="302" t="s">
        <v>56</v>
      </c>
      <c r="I167" s="305">
        <f>IFERROR(VLOOKUP(E167, 'Database Resto'!C:P, 13, FALSE),"")</f>
        <v>70</v>
      </c>
      <c r="J167" s="306">
        <f t="shared" si="82"/>
        <v>70000</v>
      </c>
      <c r="K167" s="306">
        <f>IFERROR(VLOOKUP(E167, 'Database Resto'!C:P, 13, FALSE)* G167, 0)</f>
        <v>4200</v>
      </c>
      <c r="L167" s="307">
        <f>IF(D167="","", IFERROR(SUM(K167:K175)/D167, ""))</f>
        <v>0.3717311954</v>
      </c>
      <c r="M167" s="308">
        <f>IF(D167="","", D167-SUM(K167:K175))</f>
        <v>16272.16204</v>
      </c>
      <c r="N167" s="309">
        <f t="shared" si="83"/>
        <v>0.6282688046</v>
      </c>
      <c r="O167" s="310"/>
      <c r="P167" s="311">
        <f t="shared" ref="P167:P175" si="85">IF(O167=0, G167*I167, G167*O167)</f>
        <v>4200</v>
      </c>
      <c r="Q167" s="312">
        <f>IF(D167="","", IFERROR(SUM(P167:P175)/D167, ""))</f>
        <v>0.3741600888</v>
      </c>
      <c r="R167" s="313">
        <f>IF(D167="","", D167-SUM(P167:P175))</f>
        <v>16209.2537</v>
      </c>
      <c r="S167" s="314">
        <f t="shared" si="84"/>
        <v>0.6258399112</v>
      </c>
    </row>
    <row r="168" hidden="1">
      <c r="A168" s="315"/>
      <c r="B168" s="137"/>
      <c r="C168" s="137"/>
      <c r="D168" s="137"/>
      <c r="E168" s="302" t="s">
        <v>3036</v>
      </c>
      <c r="F168" s="302" t="s">
        <v>3038</v>
      </c>
      <c r="G168" s="303">
        <v>1.0</v>
      </c>
      <c r="H168" s="304" t="s">
        <v>7</v>
      </c>
      <c r="I168" s="305">
        <f>IFERROR(VLOOKUP(E168, 'Database Resto'!C:P, 13, FALSE),"")</f>
        <v>279.9629385</v>
      </c>
      <c r="J168" s="306">
        <f t="shared" ref="J168:J169" si="86">I168</f>
        <v>279.9629385</v>
      </c>
      <c r="K168" s="306">
        <f>IFERROR(VLOOKUP(E168, 'Database Resto'!C:P, 13, FALSE)* G168, 0)</f>
        <v>279.9629385</v>
      </c>
      <c r="L168" s="137"/>
      <c r="M168" s="137"/>
      <c r="N168" s="137"/>
      <c r="O168" s="310"/>
      <c r="P168" s="311">
        <f t="shared" si="85"/>
        <v>279.9629385</v>
      </c>
      <c r="Q168" s="143"/>
      <c r="R168" s="137"/>
      <c r="S168" s="157"/>
    </row>
    <row r="169" hidden="1">
      <c r="A169" s="315"/>
      <c r="B169" s="137"/>
      <c r="C169" s="137"/>
      <c r="D169" s="137"/>
      <c r="E169" s="302" t="s">
        <v>3484</v>
      </c>
      <c r="F169" s="302" t="s">
        <v>1919</v>
      </c>
      <c r="G169" s="316">
        <v>1.0</v>
      </c>
      <c r="H169" s="302" t="s">
        <v>7</v>
      </c>
      <c r="I169" s="305">
        <f>IFERROR(VLOOKUP(E169, 'Database Resto'!C:P, 13, FALSE),"")</f>
        <v>3000</v>
      </c>
      <c r="J169" s="306">
        <f t="shared" si="86"/>
        <v>3000</v>
      </c>
      <c r="K169" s="306">
        <f>IFERROR(VLOOKUP(E169, 'Database Resto'!C:P, 13, FALSE)* G169, 0)</f>
        <v>3000</v>
      </c>
      <c r="L169" s="137"/>
      <c r="M169" s="137"/>
      <c r="N169" s="137"/>
      <c r="O169" s="310"/>
      <c r="P169" s="311">
        <f t="shared" si="85"/>
        <v>3000</v>
      </c>
      <c r="Q169" s="143"/>
      <c r="R169" s="137"/>
      <c r="S169" s="157"/>
    </row>
    <row r="170" hidden="1">
      <c r="A170" s="315"/>
      <c r="B170" s="137"/>
      <c r="C170" s="137"/>
      <c r="D170" s="137"/>
      <c r="E170" s="302" t="s">
        <v>3178</v>
      </c>
      <c r="F170" s="302" t="s">
        <v>3179</v>
      </c>
      <c r="G170" s="316">
        <v>25.0</v>
      </c>
      <c r="H170" s="302" t="s">
        <v>56</v>
      </c>
      <c r="I170" s="305">
        <f>IFERROR(VLOOKUP(E170, 'Database Resto'!C:P, 13, FALSE),"")</f>
        <v>12.58166762</v>
      </c>
      <c r="J170" s="306">
        <f t="shared" ref="J170:J319" si="87">I170*1000</f>
        <v>12581.66762</v>
      </c>
      <c r="K170" s="306">
        <f>IFERROR(VLOOKUP(E170, 'Database Resto'!C:P, 13, FALSE)* G170, 0)</f>
        <v>314.5416905</v>
      </c>
      <c r="L170" s="137"/>
      <c r="M170" s="137"/>
      <c r="N170" s="137"/>
      <c r="O170" s="310">
        <v>15.098001142204454</v>
      </c>
      <c r="P170" s="311">
        <f t="shared" si="85"/>
        <v>377.4500286</v>
      </c>
      <c r="Q170" s="143"/>
      <c r="R170" s="137"/>
      <c r="S170" s="157"/>
    </row>
    <row r="171" hidden="1">
      <c r="A171" s="315"/>
      <c r="B171" s="137"/>
      <c r="C171" s="137"/>
      <c r="D171" s="137"/>
      <c r="E171" s="317" t="str">
        <f>IFERROR(__xludf.DUMMYFUNCTION("IF($C$4, FILTER(Pembungkus!B:E, Pembungkus!A:A=""Mie""), """")
"),"")</f>
        <v/>
      </c>
      <c r="F171" s="317"/>
      <c r="G171" s="318"/>
      <c r="H171" s="317"/>
      <c r="I171" s="319" t="str">
        <f>IFERROR(VLOOKUP(E171, 'Database Resto'!C:P, 13, FALSE),"")</f>
        <v/>
      </c>
      <c r="J171" s="320">
        <f t="shared" si="87"/>
        <v>0</v>
      </c>
      <c r="K171" s="320">
        <f>IFERROR(VLOOKUP(E171, 'Database Resto'!C:P, 13, FALSE)* G171, 0)</f>
        <v>0</v>
      </c>
      <c r="L171" s="137"/>
      <c r="M171" s="137"/>
      <c r="N171" s="137"/>
      <c r="O171" s="321" t="s">
        <v>733</v>
      </c>
      <c r="P171" s="322">
        <f t="shared" si="85"/>
        <v>0</v>
      </c>
      <c r="Q171" s="143"/>
      <c r="R171" s="137"/>
      <c r="S171" s="157"/>
    </row>
    <row r="172" hidden="1">
      <c r="A172" s="315"/>
      <c r="B172" s="137"/>
      <c r="C172" s="137"/>
      <c r="D172" s="137"/>
      <c r="E172" s="317"/>
      <c r="F172" s="317"/>
      <c r="G172" s="318"/>
      <c r="H172" s="317"/>
      <c r="I172" s="319" t="str">
        <f>IFERROR(VLOOKUP(E172, 'Database Resto'!C:P, 13, FALSE),"")</f>
        <v/>
      </c>
      <c r="J172" s="320">
        <f t="shared" si="87"/>
        <v>0</v>
      </c>
      <c r="K172" s="320">
        <f>IFERROR(VLOOKUP(E172, 'Database Resto'!C:P, 13, FALSE)* G172, 0)</f>
        <v>0</v>
      </c>
      <c r="L172" s="137"/>
      <c r="M172" s="137"/>
      <c r="N172" s="137"/>
      <c r="O172" s="321" t="s">
        <v>733</v>
      </c>
      <c r="P172" s="322">
        <f t="shared" si="85"/>
        <v>0</v>
      </c>
      <c r="Q172" s="143"/>
      <c r="R172" s="137"/>
      <c r="S172" s="157"/>
    </row>
    <row r="173" hidden="1">
      <c r="A173" s="315"/>
      <c r="B173" s="137"/>
      <c r="C173" s="137"/>
      <c r="D173" s="137"/>
      <c r="E173" s="317"/>
      <c r="F173" s="317"/>
      <c r="G173" s="318"/>
      <c r="H173" s="317"/>
      <c r="I173" s="319" t="str">
        <f>IFERROR(VLOOKUP(E173, 'Database Resto'!C:P, 13, FALSE),"")</f>
        <v/>
      </c>
      <c r="J173" s="320">
        <f t="shared" si="87"/>
        <v>0</v>
      </c>
      <c r="K173" s="320">
        <f>IFERROR(VLOOKUP(E173, 'Database Resto'!C:P, 13, FALSE)* G173, 0)</f>
        <v>0</v>
      </c>
      <c r="L173" s="137"/>
      <c r="M173" s="137"/>
      <c r="N173" s="137"/>
      <c r="O173" s="321" t="s">
        <v>733</v>
      </c>
      <c r="P173" s="322">
        <f t="shared" si="85"/>
        <v>0</v>
      </c>
      <c r="Q173" s="143"/>
      <c r="R173" s="137"/>
      <c r="S173" s="157"/>
    </row>
    <row r="174" hidden="1">
      <c r="A174" s="315"/>
      <c r="B174" s="137"/>
      <c r="C174" s="137"/>
      <c r="D174" s="137"/>
      <c r="E174" s="317"/>
      <c r="F174" s="317"/>
      <c r="G174" s="318"/>
      <c r="H174" s="317"/>
      <c r="I174" s="319" t="str">
        <f>IFERROR(VLOOKUP(E174, 'Database Resto'!C:P, 13, FALSE),"")</f>
        <v/>
      </c>
      <c r="J174" s="320">
        <f t="shared" si="87"/>
        <v>0</v>
      </c>
      <c r="K174" s="320">
        <f>IFERROR(VLOOKUP(E174, 'Database Resto'!C:P, 13, FALSE)* G174, 0)</f>
        <v>0</v>
      </c>
      <c r="L174" s="137"/>
      <c r="M174" s="137"/>
      <c r="N174" s="137"/>
      <c r="O174" s="321" t="s">
        <v>733</v>
      </c>
      <c r="P174" s="322">
        <f t="shared" si="85"/>
        <v>0</v>
      </c>
      <c r="Q174" s="143"/>
      <c r="R174" s="137"/>
      <c r="S174" s="157"/>
    </row>
    <row r="175" hidden="1">
      <c r="A175" s="315"/>
      <c r="B175" s="67"/>
      <c r="C175" s="67"/>
      <c r="D175" s="67"/>
      <c r="E175" s="323" t="str">
        <f>IFERROR(__xludf.DUMMYFUNCTION("IF($E$3="""","""",IFERROR(FILTER(Pembungkus!B:E, Pembungkus!C:C=$E$3),""""))"),"MNMN.30100")</f>
        <v>MNMN.30100</v>
      </c>
      <c r="F175" s="323" t="str">
        <f>IFERROR(__xludf.DUMMYFUNCTION("""COMPUTED_VALUE"""),"Air Mineral")</f>
        <v>Air Mineral</v>
      </c>
      <c r="G175" s="324">
        <f>IFERROR(__xludf.DUMMYFUNCTION("""COMPUTED_VALUE"""),1.0)</f>
        <v>1</v>
      </c>
      <c r="H175" s="323" t="str">
        <f>IFERROR(__xludf.DUMMYFUNCTION("""COMPUTED_VALUE"""),"Btl")</f>
        <v>Btl</v>
      </c>
      <c r="I175" s="325">
        <f>IFERROR(VLOOKUP(E175, 'Database Resto'!C:P, 13, FALSE),"")</f>
        <v>1833.333333</v>
      </c>
      <c r="J175" s="326">
        <f t="shared" si="87"/>
        <v>1833333.333</v>
      </c>
      <c r="K175" s="326">
        <f>IFERROR(VLOOKUP(E175, 'Database Resto'!C:P, 13, FALSE)* G175, 0)</f>
        <v>1833.333333</v>
      </c>
      <c r="L175" s="67"/>
      <c r="M175" s="67"/>
      <c r="N175" s="67"/>
      <c r="O175" s="327"/>
      <c r="P175" s="328">
        <f t="shared" si="85"/>
        <v>1833.333333</v>
      </c>
      <c r="Q175" s="75"/>
      <c r="R175" s="67"/>
      <c r="S175" s="168"/>
    </row>
    <row r="176" ht="18.0" hidden="1" customHeight="1">
      <c r="A176" s="315"/>
      <c r="B176" s="329" t="s">
        <v>3569</v>
      </c>
      <c r="C176" s="172"/>
      <c r="D176" s="171">
        <f>IFERROR(VLOOKUP(B176, 'Database Resto'!C:P, 9, FALSE),"")</f>
        <v>25900</v>
      </c>
      <c r="E176" s="172"/>
      <c r="F176" s="172"/>
      <c r="G176" s="174"/>
      <c r="H176" s="172"/>
      <c r="I176" s="175" t="str">
        <f>IFERROR(VLOOKUP(E176, 'Database Resto'!C:P, 13, FALSE),"")</f>
        <v/>
      </c>
      <c r="J176" s="330">
        <f t="shared" si="87"/>
        <v>0</v>
      </c>
      <c r="K176" s="176">
        <f>SUM(K167:K175)</f>
        <v>9627.837962</v>
      </c>
      <c r="L176" s="177">
        <f>IFERROR(K176/D167, 0)</f>
        <v>0.3717311954</v>
      </c>
      <c r="M176" s="178">
        <f>D167-K176</f>
        <v>16272.16204</v>
      </c>
      <c r="N176" s="179">
        <f t="shared" ref="N176:N177" si="88">IFERROR(M176/D176, )</f>
        <v>0.6282688046</v>
      </c>
      <c r="O176" s="180" t="s">
        <v>733</v>
      </c>
      <c r="P176" s="181">
        <f>SUM(P167:P175)</f>
        <v>9690.7463</v>
      </c>
      <c r="Q176" s="182">
        <f>IFERROR(P176/D167, 0)</f>
        <v>0.3741600888</v>
      </c>
      <c r="R176" s="184">
        <f>D167-P176</f>
        <v>16209.2537</v>
      </c>
      <c r="S176" s="186">
        <f t="shared" ref="S176:S177" si="89">IFERROR(R176/D176, )</f>
        <v>0.6258399112</v>
      </c>
    </row>
    <row r="177" hidden="1">
      <c r="A177" s="315"/>
      <c r="B177" s="299" t="s">
        <v>3571</v>
      </c>
      <c r="C177" s="300" t="s">
        <v>3572</v>
      </c>
      <c r="D177" s="301">
        <f>IFERROR(VLOOKUP(B177, 'Database Resto'!C:P, 9, FALSE),"")</f>
        <v>10000</v>
      </c>
      <c r="E177" s="302" t="s">
        <v>196</v>
      </c>
      <c r="F177" s="302" t="s">
        <v>199</v>
      </c>
      <c r="G177" s="316">
        <v>80.0</v>
      </c>
      <c r="H177" s="302" t="s">
        <v>56</v>
      </c>
      <c r="I177" s="305">
        <f>IFERROR(VLOOKUP(E177, 'Database Resto'!C:P, 13, FALSE),"")</f>
        <v>30.01848285</v>
      </c>
      <c r="J177" s="306">
        <f t="shared" si="87"/>
        <v>30018.48285</v>
      </c>
      <c r="K177" s="306">
        <f>IFERROR(VLOOKUP(E177, 'Database Resto'!C:P, 13, FALSE)* G177, 0)</f>
        <v>2401.478628</v>
      </c>
      <c r="L177" s="307">
        <f>IF(D177="","", IFERROR(SUM(K177:K187)/D177, ""))</f>
        <v>1.38220045</v>
      </c>
      <c r="M177" s="308">
        <f>IF(D177="","", D177-SUM(K177:K187))</f>
        <v>-3822.004496</v>
      </c>
      <c r="N177" s="309">
        <f t="shared" si="88"/>
        <v>-0.3822004496</v>
      </c>
      <c r="O177" s="310">
        <v>36.02217942069783</v>
      </c>
      <c r="P177" s="311">
        <f t="shared" ref="P177:P187" si="90">IF(O177=0, G177*I177, G177*O177)</f>
        <v>2881.774354</v>
      </c>
      <c r="Q177" s="312">
        <f>IF(D177="","", IFERROR(SUM(P177:P187)/D177, ""))</f>
        <v>1.505673873</v>
      </c>
      <c r="R177" s="313">
        <f>IF(D177="","", D177-SUM(P177:P187))</f>
        <v>-5056.738728</v>
      </c>
      <c r="S177" s="314">
        <f t="shared" si="89"/>
        <v>-0.5056738728</v>
      </c>
    </row>
    <row r="178" hidden="1">
      <c r="A178" s="315"/>
      <c r="B178" s="137"/>
      <c r="C178" s="137"/>
      <c r="D178" s="137"/>
      <c r="E178" s="302" t="s">
        <v>438</v>
      </c>
      <c r="F178" s="302" t="s">
        <v>440</v>
      </c>
      <c r="G178" s="316">
        <v>95.0</v>
      </c>
      <c r="H178" s="302" t="s">
        <v>56</v>
      </c>
      <c r="I178" s="305">
        <f>IFERROR(VLOOKUP(E178, 'Database Resto'!C:P, 13, FALSE),"")</f>
        <v>25</v>
      </c>
      <c r="J178" s="306">
        <f t="shared" si="87"/>
        <v>25000</v>
      </c>
      <c r="K178" s="306">
        <f>IFERROR(VLOOKUP(E178, 'Database Resto'!C:P, 13, FALSE)* G178, 0)</f>
        <v>2375</v>
      </c>
      <c r="L178" s="137"/>
      <c r="M178" s="137"/>
      <c r="N178" s="137"/>
      <c r="O178" s="310"/>
      <c r="P178" s="311">
        <f t="shared" si="90"/>
        <v>2375</v>
      </c>
      <c r="Q178" s="143"/>
      <c r="R178" s="137"/>
      <c r="S178" s="157"/>
    </row>
    <row r="179" hidden="1">
      <c r="A179" s="315"/>
      <c r="B179" s="137"/>
      <c r="C179" s="137"/>
      <c r="D179" s="137"/>
      <c r="E179" s="302" t="s">
        <v>503</v>
      </c>
      <c r="F179" s="302" t="s">
        <v>506</v>
      </c>
      <c r="G179" s="316">
        <v>80.0</v>
      </c>
      <c r="H179" s="302" t="s">
        <v>56</v>
      </c>
      <c r="I179" s="305">
        <f>IFERROR(VLOOKUP(E179, 'Database Resto'!C:P, 13, FALSE),"")</f>
        <v>18</v>
      </c>
      <c r="J179" s="306">
        <f t="shared" si="87"/>
        <v>18000</v>
      </c>
      <c r="K179" s="306">
        <f>IFERROR(VLOOKUP(E179, 'Database Resto'!C:P, 13, FALSE)* G179, 0)</f>
        <v>1440</v>
      </c>
      <c r="L179" s="137"/>
      <c r="M179" s="137"/>
      <c r="N179" s="137"/>
      <c r="O179" s="310"/>
      <c r="P179" s="311">
        <f t="shared" si="90"/>
        <v>1440</v>
      </c>
      <c r="Q179" s="143"/>
      <c r="R179" s="137"/>
      <c r="S179" s="157"/>
    </row>
    <row r="180" hidden="1">
      <c r="A180" s="315"/>
      <c r="B180" s="137"/>
      <c r="C180" s="137"/>
      <c r="D180" s="137"/>
      <c r="E180" s="302" t="s">
        <v>551</v>
      </c>
      <c r="F180" s="302" t="s">
        <v>554</v>
      </c>
      <c r="G180" s="316">
        <v>80.0</v>
      </c>
      <c r="H180" s="302" t="s">
        <v>56</v>
      </c>
      <c r="I180" s="305">
        <f>IFERROR(VLOOKUP(E180, 'Database Resto'!C:P, 13, FALSE),"")</f>
        <v>25</v>
      </c>
      <c r="J180" s="306">
        <f t="shared" si="87"/>
        <v>25000</v>
      </c>
      <c r="K180" s="306">
        <f>IFERROR(VLOOKUP(E180, 'Database Resto'!C:P, 13, FALSE)* G180, 0)</f>
        <v>2000</v>
      </c>
      <c r="L180" s="137"/>
      <c r="M180" s="137"/>
      <c r="N180" s="137"/>
      <c r="O180" s="310"/>
      <c r="P180" s="311">
        <f t="shared" si="90"/>
        <v>2000</v>
      </c>
      <c r="Q180" s="143"/>
      <c r="R180" s="137"/>
      <c r="S180" s="157"/>
    </row>
    <row r="181" hidden="1">
      <c r="A181" s="315"/>
      <c r="B181" s="137"/>
      <c r="C181" s="137"/>
      <c r="D181" s="137"/>
      <c r="E181" s="302" t="s">
        <v>584</v>
      </c>
      <c r="F181" s="302" t="s">
        <v>585</v>
      </c>
      <c r="G181" s="316">
        <v>80.0</v>
      </c>
      <c r="H181" s="302" t="s">
        <v>56</v>
      </c>
      <c r="I181" s="305">
        <f>IFERROR(VLOOKUP(E181, 'Database Resto'!C:P, 13, FALSE),"")</f>
        <v>25.23527994</v>
      </c>
      <c r="J181" s="306">
        <f t="shared" si="87"/>
        <v>25235.27994</v>
      </c>
      <c r="K181" s="306">
        <f>IFERROR(VLOOKUP(E181, 'Database Resto'!C:P, 13, FALSE)* G181, 0)</f>
        <v>2018.822395</v>
      </c>
      <c r="L181" s="137"/>
      <c r="M181" s="137"/>
      <c r="N181" s="137"/>
      <c r="O181" s="310">
        <v>30.282335931457133</v>
      </c>
      <c r="P181" s="311">
        <f t="shared" si="90"/>
        <v>2422.586875</v>
      </c>
      <c r="Q181" s="143"/>
      <c r="R181" s="137"/>
      <c r="S181" s="157"/>
    </row>
    <row r="182" hidden="1">
      <c r="A182" s="315"/>
      <c r="B182" s="137"/>
      <c r="C182" s="137"/>
      <c r="D182" s="137"/>
      <c r="E182" s="302" t="s">
        <v>627</v>
      </c>
      <c r="F182" s="302" t="s">
        <v>628</v>
      </c>
      <c r="G182" s="316">
        <v>80.0</v>
      </c>
      <c r="H182" s="302" t="s">
        <v>56</v>
      </c>
      <c r="I182" s="305">
        <f>IFERROR(VLOOKUP(E182, 'Database Resto'!C:P, 13, FALSE),"")</f>
        <v>21.91712674</v>
      </c>
      <c r="J182" s="306">
        <f t="shared" si="87"/>
        <v>21917.12674</v>
      </c>
      <c r="K182" s="306">
        <f>IFERROR(VLOOKUP(E182, 'Database Resto'!C:P, 13, FALSE)* G182, 0)</f>
        <v>1753.370139</v>
      </c>
      <c r="L182" s="137"/>
      <c r="M182" s="137"/>
      <c r="N182" s="137"/>
      <c r="O182" s="310">
        <v>26.300552090483155</v>
      </c>
      <c r="P182" s="311">
        <f t="shared" si="90"/>
        <v>2104.044167</v>
      </c>
      <c r="Q182" s="143"/>
      <c r="R182" s="137"/>
      <c r="S182" s="157"/>
    </row>
    <row r="183" hidden="1">
      <c r="A183" s="315"/>
      <c r="B183" s="137"/>
      <c r="C183" s="137"/>
      <c r="D183" s="137"/>
      <c r="E183" s="302" t="str">
        <f>IFERROR(__xludf.DUMMYFUNCTION("IF($C$4, FILTER(Pembungkus!B:E, Pembungkus!A:A=""Mie""), """")
"),"")</f>
        <v/>
      </c>
      <c r="F183" s="302"/>
      <c r="G183" s="316"/>
      <c r="H183" s="302"/>
      <c r="I183" s="305" t="str">
        <f>IFERROR(VLOOKUP(E183, 'Database Resto'!C:P, 13, FALSE),"")</f>
        <v/>
      </c>
      <c r="J183" s="306">
        <f t="shared" si="87"/>
        <v>0</v>
      </c>
      <c r="K183" s="306">
        <f>IFERROR(VLOOKUP(E183, 'Database Resto'!C:P, 13, FALSE)* G183, 0)</f>
        <v>0</v>
      </c>
      <c r="L183" s="137"/>
      <c r="M183" s="137"/>
      <c r="N183" s="137"/>
      <c r="O183" s="310" t="s">
        <v>733</v>
      </c>
      <c r="P183" s="311">
        <f t="shared" si="90"/>
        <v>0</v>
      </c>
      <c r="Q183" s="143"/>
      <c r="R183" s="137"/>
      <c r="S183" s="157"/>
    </row>
    <row r="184" hidden="1">
      <c r="A184" s="315"/>
      <c r="B184" s="137"/>
      <c r="C184" s="137"/>
      <c r="D184" s="137"/>
      <c r="E184" s="302"/>
      <c r="F184" s="302"/>
      <c r="G184" s="316"/>
      <c r="H184" s="302"/>
      <c r="I184" s="305" t="str">
        <f>IFERROR(VLOOKUP(E184, 'Database Resto'!C:P, 13, FALSE),"")</f>
        <v/>
      </c>
      <c r="J184" s="306">
        <f t="shared" si="87"/>
        <v>0</v>
      </c>
      <c r="K184" s="306">
        <f>IFERROR(VLOOKUP(E184, 'Database Resto'!C:P, 13, FALSE)* G184, 0)</f>
        <v>0</v>
      </c>
      <c r="L184" s="137"/>
      <c r="M184" s="137"/>
      <c r="N184" s="137"/>
      <c r="O184" s="310" t="s">
        <v>733</v>
      </c>
      <c r="P184" s="311">
        <f t="shared" si="90"/>
        <v>0</v>
      </c>
      <c r="Q184" s="143"/>
      <c r="R184" s="137"/>
      <c r="S184" s="157"/>
    </row>
    <row r="185" hidden="1">
      <c r="A185" s="315"/>
      <c r="B185" s="137"/>
      <c r="C185" s="137"/>
      <c r="D185" s="137"/>
      <c r="E185" s="302"/>
      <c r="F185" s="302"/>
      <c r="G185" s="316"/>
      <c r="H185" s="302"/>
      <c r="I185" s="305" t="str">
        <f>IFERROR(VLOOKUP(E185, 'Database Resto'!C:P, 13, FALSE),"")</f>
        <v/>
      </c>
      <c r="J185" s="306">
        <f t="shared" si="87"/>
        <v>0</v>
      </c>
      <c r="K185" s="306">
        <f>IFERROR(VLOOKUP(E185, 'Database Resto'!C:P, 13, FALSE)* G185, 0)</f>
        <v>0</v>
      </c>
      <c r="L185" s="137"/>
      <c r="M185" s="137"/>
      <c r="N185" s="137"/>
      <c r="O185" s="310" t="s">
        <v>733</v>
      </c>
      <c r="P185" s="311">
        <f t="shared" si="90"/>
        <v>0</v>
      </c>
      <c r="Q185" s="143"/>
      <c r="R185" s="137"/>
      <c r="S185" s="157"/>
    </row>
    <row r="186" hidden="1">
      <c r="A186" s="315"/>
      <c r="B186" s="137"/>
      <c r="C186" s="137"/>
      <c r="D186" s="137"/>
      <c r="E186" s="302"/>
      <c r="F186" s="302"/>
      <c r="G186" s="316"/>
      <c r="H186" s="302"/>
      <c r="I186" s="305" t="str">
        <f>IFERROR(VLOOKUP(E186, 'Database Resto'!C:P, 13, FALSE),"")</f>
        <v/>
      </c>
      <c r="J186" s="306">
        <f t="shared" si="87"/>
        <v>0</v>
      </c>
      <c r="K186" s="306">
        <f>IFERROR(VLOOKUP(E186, 'Database Resto'!C:P, 13, FALSE)* G186, 0)</f>
        <v>0</v>
      </c>
      <c r="L186" s="137"/>
      <c r="M186" s="137"/>
      <c r="N186" s="137"/>
      <c r="O186" s="310" t="s">
        <v>733</v>
      </c>
      <c r="P186" s="311">
        <f t="shared" si="90"/>
        <v>0</v>
      </c>
      <c r="Q186" s="143"/>
      <c r="R186" s="137"/>
      <c r="S186" s="157"/>
    </row>
    <row r="187" hidden="1">
      <c r="A187" s="315"/>
      <c r="B187" s="67"/>
      <c r="C187" s="67"/>
      <c r="D187" s="67"/>
      <c r="E187" s="302" t="str">
        <f>IFERROR(__xludf.DUMMYFUNCTION("IF($E$3="""","""",IFERROR(FILTER(Pembungkus!B:E, Pembungkus!C:C=$E$3),""""))"),"MNMN.30100")</f>
        <v>MNMN.30100</v>
      </c>
      <c r="F187" s="302" t="str">
        <f>IFERROR(__xludf.DUMMYFUNCTION("""COMPUTED_VALUE"""),"Air Mineral")</f>
        <v>Air Mineral</v>
      </c>
      <c r="G187" s="316">
        <f>IFERROR(__xludf.DUMMYFUNCTION("""COMPUTED_VALUE"""),1.0)</f>
        <v>1</v>
      </c>
      <c r="H187" s="302" t="str">
        <f>IFERROR(__xludf.DUMMYFUNCTION("""COMPUTED_VALUE"""),"Btl")</f>
        <v>Btl</v>
      </c>
      <c r="I187" s="305">
        <f>IFERROR(VLOOKUP(E187, 'Database Resto'!C:P, 13, FALSE),"")</f>
        <v>1833.333333</v>
      </c>
      <c r="J187" s="306">
        <f t="shared" si="87"/>
        <v>1833333.333</v>
      </c>
      <c r="K187" s="306">
        <f>IFERROR(VLOOKUP(E187, 'Database Resto'!C:P, 13, FALSE)* G187, 0)</f>
        <v>1833.333333</v>
      </c>
      <c r="L187" s="67"/>
      <c r="M187" s="67"/>
      <c r="N187" s="67"/>
      <c r="O187" s="310"/>
      <c r="P187" s="311">
        <f t="shared" si="90"/>
        <v>1833.333333</v>
      </c>
      <c r="Q187" s="75"/>
      <c r="R187" s="67"/>
      <c r="S187" s="168"/>
    </row>
    <row r="188" ht="18.0" hidden="1" customHeight="1">
      <c r="A188" s="345"/>
      <c r="B188" s="329" t="s">
        <v>3571</v>
      </c>
      <c r="C188" s="172"/>
      <c r="D188" s="171">
        <f>IFERROR(VLOOKUP(B188, 'Database Resto'!C:P, 9, FALSE),"")</f>
        <v>10000</v>
      </c>
      <c r="E188" s="172"/>
      <c r="F188" s="172"/>
      <c r="G188" s="288"/>
      <c r="H188" s="289"/>
      <c r="I188" s="175" t="str">
        <f>IFERROR(VLOOKUP(E188, 'Database Resto'!C:P, 13, FALSE),"")</f>
        <v/>
      </c>
      <c r="J188" s="330">
        <f t="shared" si="87"/>
        <v>0</v>
      </c>
      <c r="K188" s="176">
        <f>SUM(K177:K187)</f>
        <v>13822.0045</v>
      </c>
      <c r="L188" s="177">
        <f>IFERROR(K188/D177, 0)</f>
        <v>1.38220045</v>
      </c>
      <c r="M188" s="178">
        <f>D177-K188</f>
        <v>-3822.004496</v>
      </c>
      <c r="N188" s="179">
        <f t="shared" ref="N188:N189" si="91">IFERROR(M188/D188, )</f>
        <v>-0.3822004496</v>
      </c>
      <c r="O188" s="180" t="s">
        <v>733</v>
      </c>
      <c r="P188" s="181">
        <f>SUM(P177:P187)</f>
        <v>15056.73873</v>
      </c>
      <c r="Q188" s="182">
        <f>IFERROR(P188/D177, 0)</f>
        <v>1.505673873</v>
      </c>
      <c r="R188" s="184">
        <f>D177-P188</f>
        <v>-5056.738728</v>
      </c>
      <c r="S188" s="186">
        <f t="shared" ref="S188:S189" si="92">IFERROR(R188/D188, )</f>
        <v>-0.5056738728</v>
      </c>
    </row>
    <row r="189">
      <c r="A189" s="346" t="s">
        <v>3574</v>
      </c>
      <c r="B189" s="347" t="s">
        <v>3575</v>
      </c>
      <c r="C189" s="300" t="s">
        <v>3576</v>
      </c>
      <c r="D189" s="332">
        <v>38900.0</v>
      </c>
      <c r="E189" s="302" t="s">
        <v>3518</v>
      </c>
      <c r="F189" s="302" t="s">
        <v>3577</v>
      </c>
      <c r="G189" s="316">
        <v>120.0</v>
      </c>
      <c r="H189" s="302" t="s">
        <v>56</v>
      </c>
      <c r="I189" s="305">
        <f>IFERROR(VLOOKUP(E189, 'Database Resto'!C:P, 13, FALSE),"")</f>
        <v>15.65</v>
      </c>
      <c r="J189" s="306">
        <f t="shared" si="87"/>
        <v>15650</v>
      </c>
      <c r="K189" s="306">
        <f>IFERROR(VLOOKUP(E189, 'Database Resto'!C:P, 13, FALSE)* G189, 0)</f>
        <v>1878</v>
      </c>
      <c r="L189" s="307">
        <f>IF(D189="","", IFERROR(SUM(K189:K200)/D189, ""))</f>
        <v>0.4165035653</v>
      </c>
      <c r="M189" s="308">
        <f>IF(D189="","", D189-SUM(K189:K200))</f>
        <v>22698.01131</v>
      </c>
      <c r="N189" s="309">
        <f t="shared" si="91"/>
        <v>0.5834964347</v>
      </c>
      <c r="O189" s="310"/>
      <c r="P189" s="311">
        <f t="shared" ref="P189:P200" si="93">IF(O189=0, G189*I189, G189*O189)</f>
        <v>1878</v>
      </c>
      <c r="Q189" s="312">
        <f>IF(D189="","", IFERROR(SUM(P189:P200)/D189, ""))</f>
        <v>0.4517179404</v>
      </c>
      <c r="R189" s="313">
        <f>IF(D189="","", D189-SUM(P189:P200))</f>
        <v>21328.17212</v>
      </c>
      <c r="S189" s="314">
        <f t="shared" si="92"/>
        <v>0.5482820596</v>
      </c>
    </row>
    <row r="190">
      <c r="A190" s="351"/>
      <c r="B190" s="352"/>
      <c r="C190" s="137"/>
      <c r="D190" s="137"/>
      <c r="E190" s="302" t="s">
        <v>3520</v>
      </c>
      <c r="F190" s="302" t="s">
        <v>3521</v>
      </c>
      <c r="G190" s="316">
        <v>52.0</v>
      </c>
      <c r="H190" s="302" t="s">
        <v>56</v>
      </c>
      <c r="I190" s="305">
        <f>IFERROR(VLOOKUP(E190, 'Database Resto'!C:P, 13, FALSE),"")</f>
        <v>19.51270651</v>
      </c>
      <c r="J190" s="306">
        <f t="shared" si="87"/>
        <v>19512.70651</v>
      </c>
      <c r="K190" s="306">
        <f>IFERROR(VLOOKUP(E190, 'Database Resto'!C:P, 13, FALSE)* G190, 0)</f>
        <v>1014.660738</v>
      </c>
      <c r="L190" s="137"/>
      <c r="M190" s="137"/>
      <c r="N190" s="137"/>
      <c r="O190" s="310">
        <v>23.41524780681319</v>
      </c>
      <c r="P190" s="311">
        <f t="shared" si="93"/>
        <v>1217.592886</v>
      </c>
      <c r="Q190" s="143"/>
      <c r="R190" s="137"/>
      <c r="S190" s="157"/>
    </row>
    <row r="191">
      <c r="A191" s="351"/>
      <c r="B191" s="352"/>
      <c r="C191" s="137"/>
      <c r="D191" s="137"/>
      <c r="E191" s="302" t="s">
        <v>3522</v>
      </c>
      <c r="F191" s="302" t="s">
        <v>3523</v>
      </c>
      <c r="G191" s="316">
        <v>70.0</v>
      </c>
      <c r="H191" s="302" t="s">
        <v>56</v>
      </c>
      <c r="I191" s="305">
        <f>IFERROR(VLOOKUP(E191, 'Database Resto'!C:P, 13, FALSE),"")</f>
        <v>116.3746655</v>
      </c>
      <c r="J191" s="306">
        <f t="shared" si="87"/>
        <v>116374.6655</v>
      </c>
      <c r="K191" s="306">
        <f>IFERROR(VLOOKUP(E191, 'Database Resto'!C:P, 13, FALSE)* G191, 0)</f>
        <v>8146.226583</v>
      </c>
      <c r="L191" s="137"/>
      <c r="M191" s="137"/>
      <c r="N191" s="137"/>
      <c r="O191" s="310">
        <v>128.0121320249777</v>
      </c>
      <c r="P191" s="311">
        <f t="shared" si="93"/>
        <v>8960.849242</v>
      </c>
      <c r="Q191" s="143"/>
      <c r="R191" s="137"/>
      <c r="S191" s="157"/>
    </row>
    <row r="192">
      <c r="A192" s="351"/>
      <c r="B192" s="352"/>
      <c r="C192" s="137"/>
      <c r="D192" s="137"/>
      <c r="E192" s="302" t="s">
        <v>3500</v>
      </c>
      <c r="F192" s="302" t="s">
        <v>3501</v>
      </c>
      <c r="G192" s="316">
        <v>50.0</v>
      </c>
      <c r="H192" s="302" t="s">
        <v>56</v>
      </c>
      <c r="I192" s="305">
        <f>IFERROR(VLOOKUP(E192, 'Database Resto'!C:P, 13, FALSE),"")</f>
        <v>31.36692198</v>
      </c>
      <c r="J192" s="306">
        <f t="shared" si="87"/>
        <v>31366.92198</v>
      </c>
      <c r="K192" s="306">
        <f>IFERROR(VLOOKUP(E192, 'Database Resto'!C:P, 13, FALSE)* G192, 0)</f>
        <v>1568.346099</v>
      </c>
      <c r="L192" s="137"/>
      <c r="M192" s="137"/>
      <c r="N192" s="137"/>
      <c r="O192" s="310"/>
      <c r="P192" s="311">
        <f t="shared" si="93"/>
        <v>1568.346099</v>
      </c>
      <c r="Q192" s="143"/>
      <c r="R192" s="137"/>
      <c r="S192" s="157"/>
    </row>
    <row r="193">
      <c r="A193" s="351"/>
      <c r="B193" s="352"/>
      <c r="C193" s="137"/>
      <c r="D193" s="137"/>
      <c r="E193" s="302" t="s">
        <v>3527</v>
      </c>
      <c r="F193" s="302" t="s">
        <v>3528</v>
      </c>
      <c r="G193" s="316">
        <v>65.0</v>
      </c>
      <c r="H193" s="302" t="s">
        <v>56</v>
      </c>
      <c r="I193" s="305">
        <f>IFERROR(VLOOKUP(E193, 'Database Resto'!C:P, 13, FALSE),"")</f>
        <v>22.01707119</v>
      </c>
      <c r="J193" s="306">
        <f t="shared" si="87"/>
        <v>22017.07119</v>
      </c>
      <c r="K193" s="306">
        <f>IFERROR(VLOOKUP(E193, 'Database Resto'!C:P, 13, FALSE)* G193, 0)</f>
        <v>1431.109627</v>
      </c>
      <c r="L193" s="137"/>
      <c r="M193" s="137"/>
      <c r="N193" s="137"/>
      <c r="O193" s="310">
        <v>26.420485428595846</v>
      </c>
      <c r="P193" s="311">
        <f t="shared" si="93"/>
        <v>1717.331553</v>
      </c>
      <c r="Q193" s="143"/>
      <c r="R193" s="137"/>
      <c r="S193" s="157"/>
    </row>
    <row r="194">
      <c r="A194" s="351"/>
      <c r="B194" s="352"/>
      <c r="C194" s="137"/>
      <c r="D194" s="137"/>
      <c r="E194" s="302" t="s">
        <v>3529</v>
      </c>
      <c r="F194" s="302" t="s">
        <v>3530</v>
      </c>
      <c r="G194" s="316">
        <v>22.0</v>
      </c>
      <c r="H194" s="302" t="s">
        <v>56</v>
      </c>
      <c r="I194" s="305">
        <f>IFERROR(VLOOKUP(E194, 'Database Resto'!C:P, 13, FALSE),"")</f>
        <v>10.92328674</v>
      </c>
      <c r="J194" s="306">
        <f t="shared" si="87"/>
        <v>10923.28674</v>
      </c>
      <c r="K194" s="306">
        <f>IFERROR(VLOOKUP(E194, 'Database Resto'!C:P, 13, FALSE)* G194, 0)</f>
        <v>240.3123082</v>
      </c>
      <c r="L194" s="137"/>
      <c r="M194" s="137"/>
      <c r="N194" s="137"/>
      <c r="O194" s="310">
        <v>13.107944084555063</v>
      </c>
      <c r="P194" s="311">
        <f t="shared" si="93"/>
        <v>288.3747699</v>
      </c>
      <c r="Q194" s="143"/>
      <c r="R194" s="137"/>
      <c r="S194" s="157"/>
    </row>
    <row r="195">
      <c r="A195" s="351"/>
      <c r="B195" s="352"/>
      <c r="C195" s="137"/>
      <c r="D195" s="137"/>
      <c r="E195" s="302" t="s">
        <v>3531</v>
      </c>
      <c r="F195" s="302" t="s">
        <v>2224</v>
      </c>
      <c r="G195" s="316">
        <v>15.0</v>
      </c>
      <c r="H195" s="302" t="s">
        <v>56</v>
      </c>
      <c r="I195" s="305">
        <f>IFERROR(VLOOKUP(E195, 'Database Resto'!C:P, 13, FALSE),"")</f>
        <v>6</v>
      </c>
      <c r="J195" s="306">
        <f t="shared" si="87"/>
        <v>6000</v>
      </c>
      <c r="K195" s="306">
        <f>IFERROR(VLOOKUP(E195, 'Database Resto'!C:P, 13, FALSE)* G195, 0)</f>
        <v>90</v>
      </c>
      <c r="L195" s="137"/>
      <c r="M195" s="137"/>
      <c r="N195" s="137"/>
      <c r="O195" s="310">
        <v>7.2</v>
      </c>
      <c r="P195" s="311">
        <f t="shared" si="93"/>
        <v>108</v>
      </c>
      <c r="Q195" s="143"/>
      <c r="R195" s="137"/>
      <c r="S195" s="157"/>
    </row>
    <row r="196">
      <c r="A196" s="351"/>
      <c r="B196" s="352"/>
      <c r="C196" s="137"/>
      <c r="D196" s="137"/>
      <c r="E196" s="317" t="str">
        <f>IFERROR(__xludf.DUMMYFUNCTION("IF($C$4, FILTER(Pembungkus!B:E, Pembungkus!A:A=""Mie""), """")
"),"")</f>
        <v/>
      </c>
      <c r="F196" s="317"/>
      <c r="G196" s="318"/>
      <c r="H196" s="317"/>
      <c r="I196" s="319" t="str">
        <f>IFERROR(VLOOKUP(E196, 'Database Resto'!C:P, 13, FALSE),"")</f>
        <v/>
      </c>
      <c r="J196" s="320">
        <f t="shared" si="87"/>
        <v>0</v>
      </c>
      <c r="K196" s="320">
        <f>IFERROR(VLOOKUP(E196, 'Database Resto'!C:P, 13, FALSE)* G196, 0)</f>
        <v>0</v>
      </c>
      <c r="L196" s="137"/>
      <c r="M196" s="137"/>
      <c r="N196" s="137"/>
      <c r="O196" s="321" t="s">
        <v>733</v>
      </c>
      <c r="P196" s="322">
        <f t="shared" si="93"/>
        <v>0</v>
      </c>
      <c r="Q196" s="143"/>
      <c r="R196" s="137"/>
      <c r="S196" s="157"/>
    </row>
    <row r="197">
      <c r="A197" s="351"/>
      <c r="B197" s="352"/>
      <c r="C197" s="137"/>
      <c r="D197" s="137"/>
      <c r="E197" s="317"/>
      <c r="F197" s="317"/>
      <c r="G197" s="318"/>
      <c r="H197" s="317"/>
      <c r="I197" s="319" t="str">
        <f>IFERROR(VLOOKUP(E197, 'Database Resto'!C:P, 13, FALSE),"")</f>
        <v/>
      </c>
      <c r="J197" s="320">
        <f t="shared" si="87"/>
        <v>0</v>
      </c>
      <c r="K197" s="320">
        <f>IFERROR(VLOOKUP(E197, 'Database Resto'!C:P, 13, FALSE)* G197, 0)</f>
        <v>0</v>
      </c>
      <c r="L197" s="137"/>
      <c r="M197" s="137"/>
      <c r="N197" s="137"/>
      <c r="O197" s="321" t="s">
        <v>733</v>
      </c>
      <c r="P197" s="322">
        <f t="shared" si="93"/>
        <v>0</v>
      </c>
      <c r="Q197" s="143"/>
      <c r="R197" s="137"/>
      <c r="S197" s="157"/>
    </row>
    <row r="198">
      <c r="A198" s="351"/>
      <c r="B198" s="352"/>
      <c r="C198" s="137"/>
      <c r="D198" s="137"/>
      <c r="E198" s="317"/>
      <c r="F198" s="317"/>
      <c r="G198" s="318"/>
      <c r="H198" s="317"/>
      <c r="I198" s="319" t="str">
        <f>IFERROR(VLOOKUP(E198, 'Database Resto'!C:P, 13, FALSE),"")</f>
        <v/>
      </c>
      <c r="J198" s="320">
        <f t="shared" si="87"/>
        <v>0</v>
      </c>
      <c r="K198" s="320">
        <f>IFERROR(VLOOKUP(E198, 'Database Resto'!C:P, 13, FALSE)* G198, 0)</f>
        <v>0</v>
      </c>
      <c r="L198" s="137"/>
      <c r="M198" s="137"/>
      <c r="N198" s="137"/>
      <c r="O198" s="321" t="s">
        <v>733</v>
      </c>
      <c r="P198" s="322">
        <f t="shared" si="93"/>
        <v>0</v>
      </c>
      <c r="Q198" s="143"/>
      <c r="R198" s="137"/>
      <c r="S198" s="157"/>
    </row>
    <row r="199">
      <c r="A199" s="351"/>
      <c r="B199" s="352"/>
      <c r="C199" s="137"/>
      <c r="D199" s="137"/>
      <c r="E199" s="317"/>
      <c r="F199" s="317"/>
      <c r="G199" s="318"/>
      <c r="H199" s="317"/>
      <c r="I199" s="319" t="str">
        <f>IFERROR(VLOOKUP(E199, 'Database Resto'!C:P, 13, FALSE),"")</f>
        <v/>
      </c>
      <c r="J199" s="320">
        <f t="shared" si="87"/>
        <v>0</v>
      </c>
      <c r="K199" s="320">
        <f>IFERROR(VLOOKUP(E199, 'Database Resto'!C:P, 13, FALSE)* G199, 0)</f>
        <v>0</v>
      </c>
      <c r="L199" s="137"/>
      <c r="M199" s="137"/>
      <c r="N199" s="137"/>
      <c r="O199" s="321" t="s">
        <v>733</v>
      </c>
      <c r="P199" s="322">
        <f t="shared" si="93"/>
        <v>0</v>
      </c>
      <c r="Q199" s="143"/>
      <c r="R199" s="137"/>
      <c r="S199" s="157"/>
    </row>
    <row r="200">
      <c r="A200" s="351"/>
      <c r="B200" s="353"/>
      <c r="C200" s="67"/>
      <c r="D200" s="67"/>
      <c r="E200" s="323" t="str">
        <f>IFERROR(__xludf.DUMMYFUNCTION("IF($E$3="""","""",IFERROR(FILTER(Pembungkus!B:E, Pembungkus!C:C=$E$3),""""))"),"MNMN.30100")</f>
        <v>MNMN.30100</v>
      </c>
      <c r="F200" s="323" t="str">
        <f>IFERROR(__xludf.DUMMYFUNCTION("""COMPUTED_VALUE"""),"Air Mineral")</f>
        <v>Air Mineral</v>
      </c>
      <c r="G200" s="324">
        <f>IFERROR(__xludf.DUMMYFUNCTION("""COMPUTED_VALUE"""),1.0)</f>
        <v>1</v>
      </c>
      <c r="H200" s="323" t="str">
        <f>IFERROR(__xludf.DUMMYFUNCTION("""COMPUTED_VALUE"""),"Btl")</f>
        <v>Btl</v>
      </c>
      <c r="I200" s="325">
        <f>IFERROR(VLOOKUP(E200, 'Database Resto'!C:P, 13, FALSE),"")</f>
        <v>1833.333333</v>
      </c>
      <c r="J200" s="326">
        <f t="shared" si="87"/>
        <v>1833333.333</v>
      </c>
      <c r="K200" s="326">
        <f>IFERROR(VLOOKUP(E200, 'Database Resto'!C:P, 13, FALSE)* G200, 0)</f>
        <v>1833.333333</v>
      </c>
      <c r="L200" s="67"/>
      <c r="M200" s="67"/>
      <c r="N200" s="67"/>
      <c r="O200" s="327"/>
      <c r="P200" s="328">
        <f t="shared" si="93"/>
        <v>1833.333333</v>
      </c>
      <c r="Q200" s="75"/>
      <c r="R200" s="67"/>
      <c r="S200" s="168"/>
    </row>
    <row r="201" ht="18.0" customHeight="1">
      <c r="A201" s="351"/>
      <c r="B201" s="354" t="s">
        <v>3575</v>
      </c>
      <c r="C201" s="172"/>
      <c r="D201" s="171">
        <f>IFERROR(VLOOKUP(B201, 'Database Resto'!C:P, 9, FALSE),"")</f>
        <v>38000</v>
      </c>
      <c r="E201" s="172"/>
      <c r="F201" s="172"/>
      <c r="G201" s="174"/>
      <c r="H201" s="172"/>
      <c r="I201" s="175" t="str">
        <f>IFERROR(VLOOKUP(E201, 'Database Resto'!C:P, 13, FALSE),"")</f>
        <v/>
      </c>
      <c r="J201" s="330">
        <f t="shared" si="87"/>
        <v>0</v>
      </c>
      <c r="K201" s="176">
        <f>SUM(K189:K200)</f>
        <v>16201.98869</v>
      </c>
      <c r="L201" s="177">
        <f>IFERROR(K201/D189, 0)</f>
        <v>0.4165035653</v>
      </c>
      <c r="M201" s="178">
        <f>D189-K201</f>
        <v>22698.01131</v>
      </c>
      <c r="N201" s="179">
        <f t="shared" ref="N201:N202" si="94">IFERROR(M201/D201, )</f>
        <v>0.5973160871</v>
      </c>
      <c r="O201" s="180" t="s">
        <v>733</v>
      </c>
      <c r="P201" s="181">
        <f>SUM(P189:P200)</f>
        <v>17571.82788</v>
      </c>
      <c r="Q201" s="182">
        <f>IFERROR(P201/D189, 0)</f>
        <v>0.4517179404</v>
      </c>
      <c r="R201" s="184">
        <f>D189-P201</f>
        <v>21328.17212</v>
      </c>
      <c r="S201" s="186">
        <f t="shared" ref="S201:S202" si="95">IFERROR(R201/D201, )</f>
        <v>0.5612676873</v>
      </c>
    </row>
    <row r="202">
      <c r="A202" s="351"/>
      <c r="B202" s="347" t="s">
        <v>3578</v>
      </c>
      <c r="C202" s="300" t="s">
        <v>3579</v>
      </c>
      <c r="D202" s="301">
        <f>IFERROR(VLOOKUP(B202, 'Database Resto'!C:P, 9, FALSE),"")</f>
        <v>38000</v>
      </c>
      <c r="E202" s="302" t="s">
        <v>3518</v>
      </c>
      <c r="F202" s="302" t="s">
        <v>3577</v>
      </c>
      <c r="G202" s="316">
        <v>120.0</v>
      </c>
      <c r="H202" s="302" t="s">
        <v>56</v>
      </c>
      <c r="I202" s="305">
        <f>IFERROR(VLOOKUP(E202, 'Database Resto'!C:P, 13, FALSE),"")</f>
        <v>15.65</v>
      </c>
      <c r="J202" s="306">
        <f t="shared" si="87"/>
        <v>15650</v>
      </c>
      <c r="K202" s="306">
        <f>IFERROR(VLOOKUP(E202, 'Database Resto'!C:P, 13, FALSE)* G202, 0)</f>
        <v>1878</v>
      </c>
      <c r="L202" s="307">
        <f>IF(D202="","", IFERROR(SUM(K202:K213)/D202, ""))</f>
        <v>0.4311484892</v>
      </c>
      <c r="M202" s="308">
        <f>IF(D202="","", D202-SUM(K202:K213))</f>
        <v>21616.35741</v>
      </c>
      <c r="N202" s="309">
        <f t="shared" si="94"/>
        <v>0.5688515108</v>
      </c>
      <c r="O202" s="310"/>
      <c r="P202" s="311">
        <f t="shared" ref="P202:P213" si="96">IF(O202=0, G202*I202, G202*O202)</f>
        <v>1878</v>
      </c>
      <c r="Q202" s="312">
        <f>IF(D202="","", IFERROR(SUM(P202:P213)/D202, ""))</f>
        <v>0.467196889</v>
      </c>
      <c r="R202" s="313">
        <f>IF(D202="","", D202-SUM(P202:P213))</f>
        <v>20246.51822</v>
      </c>
      <c r="S202" s="314">
        <f t="shared" si="95"/>
        <v>0.532803111</v>
      </c>
    </row>
    <row r="203">
      <c r="A203" s="351"/>
      <c r="B203" s="352"/>
      <c r="C203" s="137"/>
      <c r="D203" s="137"/>
      <c r="E203" s="302" t="s">
        <v>3520</v>
      </c>
      <c r="F203" s="302" t="s">
        <v>3521</v>
      </c>
      <c r="G203" s="316">
        <v>52.0</v>
      </c>
      <c r="H203" s="302" t="s">
        <v>56</v>
      </c>
      <c r="I203" s="305">
        <f>IFERROR(VLOOKUP(E203, 'Database Resto'!C:P, 13, FALSE),"")</f>
        <v>19.51270651</v>
      </c>
      <c r="J203" s="306">
        <f t="shared" si="87"/>
        <v>19512.70651</v>
      </c>
      <c r="K203" s="306">
        <f>IFERROR(VLOOKUP(E203, 'Database Resto'!C:P, 13, FALSE)* G203, 0)</f>
        <v>1014.660738</v>
      </c>
      <c r="L203" s="137"/>
      <c r="M203" s="137"/>
      <c r="N203" s="137"/>
      <c r="O203" s="310">
        <v>23.41524780681319</v>
      </c>
      <c r="P203" s="311">
        <f t="shared" si="96"/>
        <v>1217.592886</v>
      </c>
      <c r="Q203" s="143"/>
      <c r="R203" s="137"/>
      <c r="S203" s="157"/>
    </row>
    <row r="204">
      <c r="A204" s="351"/>
      <c r="B204" s="352"/>
      <c r="C204" s="137"/>
      <c r="D204" s="137"/>
      <c r="E204" s="302" t="s">
        <v>3522</v>
      </c>
      <c r="F204" s="302" t="s">
        <v>3523</v>
      </c>
      <c r="G204" s="316">
        <v>70.0</v>
      </c>
      <c r="H204" s="302" t="s">
        <v>56</v>
      </c>
      <c r="I204" s="305">
        <f>IFERROR(VLOOKUP(E204, 'Database Resto'!C:P, 13, FALSE),"")</f>
        <v>116.3746655</v>
      </c>
      <c r="J204" s="306">
        <f t="shared" si="87"/>
        <v>116374.6655</v>
      </c>
      <c r="K204" s="306">
        <f>IFERROR(VLOOKUP(E204, 'Database Resto'!C:P, 13, FALSE)* G204, 0)</f>
        <v>8146.226583</v>
      </c>
      <c r="L204" s="137"/>
      <c r="M204" s="137"/>
      <c r="N204" s="137"/>
      <c r="O204" s="310">
        <v>128.0121320249777</v>
      </c>
      <c r="P204" s="311">
        <f t="shared" si="96"/>
        <v>8960.849242</v>
      </c>
      <c r="Q204" s="143"/>
      <c r="R204" s="137"/>
      <c r="S204" s="157"/>
    </row>
    <row r="205">
      <c r="A205" s="351"/>
      <c r="B205" s="352"/>
      <c r="C205" s="137"/>
      <c r="D205" s="137"/>
      <c r="E205" s="302" t="s">
        <v>3504</v>
      </c>
      <c r="F205" s="302" t="s">
        <v>3505</v>
      </c>
      <c r="G205" s="316">
        <v>50.0</v>
      </c>
      <c r="H205" s="302" t="s">
        <v>56</v>
      </c>
      <c r="I205" s="305">
        <f>IFERROR(VLOOKUP(E205, 'Database Resto'!C:P, 13, FALSE),"")</f>
        <v>35</v>
      </c>
      <c r="J205" s="306">
        <f t="shared" si="87"/>
        <v>35000</v>
      </c>
      <c r="K205" s="306">
        <f>IFERROR(VLOOKUP(E205, 'Database Resto'!C:P, 13, FALSE)* G205, 0)</f>
        <v>1750</v>
      </c>
      <c r="L205" s="137"/>
      <c r="M205" s="137"/>
      <c r="N205" s="137"/>
      <c r="O205" s="310"/>
      <c r="P205" s="311">
        <f t="shared" si="96"/>
        <v>1750</v>
      </c>
      <c r="Q205" s="143"/>
      <c r="R205" s="137"/>
      <c r="S205" s="157"/>
    </row>
    <row r="206">
      <c r="A206" s="351"/>
      <c r="B206" s="352"/>
      <c r="C206" s="137"/>
      <c r="D206" s="137"/>
      <c r="E206" s="302" t="s">
        <v>3527</v>
      </c>
      <c r="F206" s="302" t="s">
        <v>3528</v>
      </c>
      <c r="G206" s="316">
        <v>65.0</v>
      </c>
      <c r="H206" s="302" t="s">
        <v>56</v>
      </c>
      <c r="I206" s="305">
        <f>IFERROR(VLOOKUP(E206, 'Database Resto'!C:P, 13, FALSE),"")</f>
        <v>22.01707119</v>
      </c>
      <c r="J206" s="306">
        <f t="shared" si="87"/>
        <v>22017.07119</v>
      </c>
      <c r="K206" s="306">
        <f>IFERROR(VLOOKUP(E206, 'Database Resto'!C:P, 13, FALSE)* G206, 0)</f>
        <v>1431.109627</v>
      </c>
      <c r="L206" s="137"/>
      <c r="M206" s="137"/>
      <c r="N206" s="137"/>
      <c r="O206" s="310">
        <v>26.420485428595846</v>
      </c>
      <c r="P206" s="311">
        <f t="shared" si="96"/>
        <v>1717.331553</v>
      </c>
      <c r="Q206" s="143"/>
      <c r="R206" s="137"/>
      <c r="S206" s="157"/>
    </row>
    <row r="207">
      <c r="A207" s="351"/>
      <c r="B207" s="352"/>
      <c r="C207" s="137"/>
      <c r="D207" s="137"/>
      <c r="E207" s="302" t="s">
        <v>3529</v>
      </c>
      <c r="F207" s="302" t="s">
        <v>3530</v>
      </c>
      <c r="G207" s="316">
        <v>22.0</v>
      </c>
      <c r="H207" s="302" t="s">
        <v>56</v>
      </c>
      <c r="I207" s="305">
        <f>IFERROR(VLOOKUP(E207, 'Database Resto'!C:P, 13, FALSE),"")</f>
        <v>10.92328674</v>
      </c>
      <c r="J207" s="306">
        <f t="shared" si="87"/>
        <v>10923.28674</v>
      </c>
      <c r="K207" s="306">
        <f>IFERROR(VLOOKUP(E207, 'Database Resto'!C:P, 13, FALSE)* G207, 0)</f>
        <v>240.3123082</v>
      </c>
      <c r="L207" s="137"/>
      <c r="M207" s="137"/>
      <c r="N207" s="137"/>
      <c r="O207" s="310">
        <v>13.107944084555063</v>
      </c>
      <c r="P207" s="311">
        <f t="shared" si="96"/>
        <v>288.3747699</v>
      </c>
      <c r="Q207" s="143"/>
      <c r="R207" s="137"/>
      <c r="S207" s="157"/>
    </row>
    <row r="208">
      <c r="A208" s="351"/>
      <c r="B208" s="352"/>
      <c r="C208" s="137"/>
      <c r="D208" s="137"/>
      <c r="E208" s="302" t="s">
        <v>3531</v>
      </c>
      <c r="F208" s="302" t="s">
        <v>2224</v>
      </c>
      <c r="G208" s="316">
        <v>15.0</v>
      </c>
      <c r="H208" s="302" t="s">
        <v>56</v>
      </c>
      <c r="I208" s="305">
        <f>IFERROR(VLOOKUP(E208, 'Database Resto'!C:P, 13, FALSE),"")</f>
        <v>6</v>
      </c>
      <c r="J208" s="306">
        <f t="shared" si="87"/>
        <v>6000</v>
      </c>
      <c r="K208" s="306">
        <f>IFERROR(VLOOKUP(E208, 'Database Resto'!C:P, 13, FALSE)* G208, 0)</f>
        <v>90</v>
      </c>
      <c r="L208" s="137"/>
      <c r="M208" s="137"/>
      <c r="N208" s="137"/>
      <c r="O208" s="310">
        <v>7.2</v>
      </c>
      <c r="P208" s="311">
        <f t="shared" si="96"/>
        <v>108</v>
      </c>
      <c r="Q208" s="143"/>
      <c r="R208" s="137"/>
      <c r="S208" s="157"/>
    </row>
    <row r="209">
      <c r="A209" s="351"/>
      <c r="B209" s="352"/>
      <c r="C209" s="137"/>
      <c r="D209" s="137"/>
      <c r="E209" s="317" t="str">
        <f>IFERROR(__xludf.DUMMYFUNCTION("IF($C$4, FILTER(Pembungkus!B:E, Pembungkus!A:A=""Mie""), """")
"),"")</f>
        <v/>
      </c>
      <c r="F209" s="317"/>
      <c r="G209" s="318"/>
      <c r="H209" s="317"/>
      <c r="I209" s="319" t="str">
        <f>IFERROR(VLOOKUP(E209, 'Database Resto'!C:P, 13, FALSE),"")</f>
        <v/>
      </c>
      <c r="J209" s="320">
        <f t="shared" si="87"/>
        <v>0</v>
      </c>
      <c r="K209" s="320">
        <f>IFERROR(VLOOKUP(E209, 'Database Resto'!C:P, 13, FALSE)* G209, 0)</f>
        <v>0</v>
      </c>
      <c r="L209" s="137"/>
      <c r="M209" s="137"/>
      <c r="N209" s="137"/>
      <c r="O209" s="321" t="s">
        <v>733</v>
      </c>
      <c r="P209" s="322">
        <f t="shared" si="96"/>
        <v>0</v>
      </c>
      <c r="Q209" s="143"/>
      <c r="R209" s="137"/>
      <c r="S209" s="157"/>
    </row>
    <row r="210">
      <c r="A210" s="351"/>
      <c r="B210" s="352"/>
      <c r="C210" s="137"/>
      <c r="D210" s="137"/>
      <c r="E210" s="317"/>
      <c r="F210" s="317"/>
      <c r="G210" s="318"/>
      <c r="H210" s="317"/>
      <c r="I210" s="319" t="str">
        <f>IFERROR(VLOOKUP(E210, 'Database Resto'!C:P, 13, FALSE),"")</f>
        <v/>
      </c>
      <c r="J210" s="320">
        <f t="shared" si="87"/>
        <v>0</v>
      </c>
      <c r="K210" s="320">
        <f>IFERROR(VLOOKUP(E210, 'Database Resto'!C:P, 13, FALSE)* G210, 0)</f>
        <v>0</v>
      </c>
      <c r="L210" s="137"/>
      <c r="M210" s="137"/>
      <c r="N210" s="137"/>
      <c r="O210" s="321" t="s">
        <v>733</v>
      </c>
      <c r="P210" s="322">
        <f t="shared" si="96"/>
        <v>0</v>
      </c>
      <c r="Q210" s="143"/>
      <c r="R210" s="137"/>
      <c r="S210" s="157"/>
    </row>
    <row r="211">
      <c r="A211" s="351"/>
      <c r="B211" s="352"/>
      <c r="C211" s="137"/>
      <c r="D211" s="137"/>
      <c r="E211" s="317"/>
      <c r="F211" s="317"/>
      <c r="G211" s="318"/>
      <c r="H211" s="317"/>
      <c r="I211" s="319" t="str">
        <f>IFERROR(VLOOKUP(E211, 'Database Resto'!C:P, 13, FALSE),"")</f>
        <v/>
      </c>
      <c r="J211" s="320">
        <f t="shared" si="87"/>
        <v>0</v>
      </c>
      <c r="K211" s="320">
        <f>IFERROR(VLOOKUP(E211, 'Database Resto'!C:P, 13, FALSE)* G211, 0)</f>
        <v>0</v>
      </c>
      <c r="L211" s="137"/>
      <c r="M211" s="137"/>
      <c r="N211" s="137"/>
      <c r="O211" s="321" t="s">
        <v>733</v>
      </c>
      <c r="P211" s="322">
        <f t="shared" si="96"/>
        <v>0</v>
      </c>
      <c r="Q211" s="143"/>
      <c r="R211" s="137"/>
      <c r="S211" s="157"/>
    </row>
    <row r="212">
      <c r="A212" s="351"/>
      <c r="B212" s="352"/>
      <c r="C212" s="137"/>
      <c r="D212" s="137"/>
      <c r="E212" s="317"/>
      <c r="F212" s="317"/>
      <c r="G212" s="318"/>
      <c r="H212" s="317"/>
      <c r="I212" s="319" t="str">
        <f>IFERROR(VLOOKUP(E212, 'Database Resto'!C:P, 13, FALSE),"")</f>
        <v/>
      </c>
      <c r="J212" s="320">
        <f t="shared" si="87"/>
        <v>0</v>
      </c>
      <c r="K212" s="320">
        <f>IFERROR(VLOOKUP(E212, 'Database Resto'!C:P, 13, FALSE)* G212, 0)</f>
        <v>0</v>
      </c>
      <c r="L212" s="137"/>
      <c r="M212" s="137"/>
      <c r="N212" s="137"/>
      <c r="O212" s="321" t="s">
        <v>733</v>
      </c>
      <c r="P212" s="322">
        <f t="shared" si="96"/>
        <v>0</v>
      </c>
      <c r="Q212" s="143"/>
      <c r="R212" s="137"/>
      <c r="S212" s="157"/>
    </row>
    <row r="213">
      <c r="A213" s="351"/>
      <c r="B213" s="353"/>
      <c r="C213" s="67"/>
      <c r="D213" s="67"/>
      <c r="E213" s="323" t="str">
        <f>IFERROR(__xludf.DUMMYFUNCTION("IF($E$3="""","""",IFERROR(FILTER(Pembungkus!B:E, Pembungkus!C:C=$E$3),""""))"),"MNMN.30100")</f>
        <v>MNMN.30100</v>
      </c>
      <c r="F213" s="323" t="str">
        <f>IFERROR(__xludf.DUMMYFUNCTION("""COMPUTED_VALUE"""),"Air Mineral")</f>
        <v>Air Mineral</v>
      </c>
      <c r="G213" s="324">
        <f>IFERROR(__xludf.DUMMYFUNCTION("""COMPUTED_VALUE"""),1.0)</f>
        <v>1</v>
      </c>
      <c r="H213" s="323" t="str">
        <f>IFERROR(__xludf.DUMMYFUNCTION("""COMPUTED_VALUE"""),"Btl")</f>
        <v>Btl</v>
      </c>
      <c r="I213" s="325">
        <f>IFERROR(VLOOKUP(E213, 'Database Resto'!C:P, 13, FALSE),"")</f>
        <v>1833.333333</v>
      </c>
      <c r="J213" s="326">
        <f t="shared" si="87"/>
        <v>1833333.333</v>
      </c>
      <c r="K213" s="326">
        <f>IFERROR(VLOOKUP(E213, 'Database Resto'!C:P, 13, FALSE)* G213, 0)</f>
        <v>1833.333333</v>
      </c>
      <c r="L213" s="67"/>
      <c r="M213" s="67"/>
      <c r="N213" s="67"/>
      <c r="O213" s="327"/>
      <c r="P213" s="328">
        <f t="shared" si="96"/>
        <v>1833.333333</v>
      </c>
      <c r="Q213" s="75"/>
      <c r="R213" s="67"/>
      <c r="S213" s="168"/>
    </row>
    <row r="214" ht="18.0" customHeight="1">
      <c r="A214" s="351"/>
      <c r="B214" s="354" t="s">
        <v>3578</v>
      </c>
      <c r="C214" s="172"/>
      <c r="D214" s="171">
        <f>IFERROR(VLOOKUP(B214, 'Database Resto'!C:P, 9, FALSE),"")</f>
        <v>38000</v>
      </c>
      <c r="E214" s="172"/>
      <c r="F214" s="172"/>
      <c r="G214" s="174"/>
      <c r="H214" s="172"/>
      <c r="I214" s="175" t="str">
        <f>IFERROR(VLOOKUP(E214, 'Database Resto'!C:P, 13, FALSE),"")</f>
        <v/>
      </c>
      <c r="J214" s="330">
        <f t="shared" si="87"/>
        <v>0</v>
      </c>
      <c r="K214" s="176">
        <f>SUM(K202:K213)</f>
        <v>16383.64259</v>
      </c>
      <c r="L214" s="177">
        <f>IFERROR(K214/D202, 0)</f>
        <v>0.4311484892</v>
      </c>
      <c r="M214" s="178">
        <f>D202-K214</f>
        <v>21616.35741</v>
      </c>
      <c r="N214" s="179">
        <f t="shared" ref="N214:N215" si="97">IFERROR(M214/D214, )</f>
        <v>0.5688515108</v>
      </c>
      <c r="O214" s="180" t="s">
        <v>733</v>
      </c>
      <c r="P214" s="181">
        <f>SUM(P202:P213)</f>
        <v>17753.48178</v>
      </c>
      <c r="Q214" s="182">
        <f>IFERROR(P214/D202, 0)</f>
        <v>0.467196889</v>
      </c>
      <c r="R214" s="184">
        <f>D202-P214</f>
        <v>20246.51822</v>
      </c>
      <c r="S214" s="186">
        <f t="shared" ref="S214:S215" si="98">IFERROR(R214/D214, )</f>
        <v>0.532803111</v>
      </c>
    </row>
    <row r="215" hidden="1">
      <c r="A215" s="351"/>
      <c r="B215" s="347" t="s">
        <v>3580</v>
      </c>
      <c r="C215" s="355" t="s">
        <v>3581</v>
      </c>
      <c r="D215" s="301">
        <f>IFERROR(VLOOKUP(B215, 'Database Resto'!C:P, 9, FALSE),"")</f>
        <v>38000</v>
      </c>
      <c r="E215" s="302" t="s">
        <v>3518</v>
      </c>
      <c r="F215" s="302" t="s">
        <v>3577</v>
      </c>
      <c r="G215" s="316">
        <v>120.0</v>
      </c>
      <c r="H215" s="302" t="s">
        <v>56</v>
      </c>
      <c r="I215" s="305">
        <f>IFERROR(VLOOKUP(E215, 'Database Resto'!C:P, 13, FALSE),"")</f>
        <v>15.65</v>
      </c>
      <c r="J215" s="306">
        <f t="shared" si="87"/>
        <v>15650</v>
      </c>
      <c r="K215" s="306">
        <f>IFERROR(VLOOKUP(E215, 'Database Resto'!C:P, 13, FALSE)* G215, 0)</f>
        <v>1878</v>
      </c>
      <c r="L215" s="307">
        <f>IF(D215="","", IFERROR(SUM(K215:K226)/D215, ""))</f>
        <v>0.4350958576</v>
      </c>
      <c r="M215" s="308">
        <f>IF(D215="","", D215-SUM(K215:K226))</f>
        <v>21466.35741</v>
      </c>
      <c r="N215" s="309">
        <f t="shared" si="97"/>
        <v>0.5649041424</v>
      </c>
      <c r="O215" s="310"/>
      <c r="P215" s="311">
        <f t="shared" ref="P215:P226" si="99">IF(O215=0, G215*I215, G215*O215)</f>
        <v>1878</v>
      </c>
      <c r="Q215" s="312">
        <f>IF(D215="","", IFERROR(SUM(P215:P226)/D215, ""))</f>
        <v>0.4711442575</v>
      </c>
      <c r="R215" s="313">
        <f>IF(D215="","", D215-SUM(P215:P226))</f>
        <v>20096.51822</v>
      </c>
      <c r="S215" s="314">
        <f t="shared" si="98"/>
        <v>0.5288557425</v>
      </c>
    </row>
    <row r="216" hidden="1">
      <c r="A216" s="351"/>
      <c r="B216" s="352"/>
      <c r="C216" s="137"/>
      <c r="D216" s="137"/>
      <c r="E216" s="302" t="s">
        <v>3520</v>
      </c>
      <c r="F216" s="302" t="s">
        <v>3521</v>
      </c>
      <c r="G216" s="316">
        <v>52.0</v>
      </c>
      <c r="H216" s="302" t="s">
        <v>56</v>
      </c>
      <c r="I216" s="305">
        <f>IFERROR(VLOOKUP(E216, 'Database Resto'!C:P, 13, FALSE),"")</f>
        <v>19.51270651</v>
      </c>
      <c r="J216" s="306">
        <f t="shared" si="87"/>
        <v>19512.70651</v>
      </c>
      <c r="K216" s="306">
        <f>IFERROR(VLOOKUP(E216, 'Database Resto'!C:P, 13, FALSE)* G216, 0)</f>
        <v>1014.660738</v>
      </c>
      <c r="L216" s="137"/>
      <c r="M216" s="137"/>
      <c r="N216" s="137"/>
      <c r="O216" s="310">
        <v>23.41524780681319</v>
      </c>
      <c r="P216" s="311">
        <f t="shared" si="99"/>
        <v>1217.592886</v>
      </c>
      <c r="Q216" s="143"/>
      <c r="R216" s="137"/>
      <c r="S216" s="157"/>
    </row>
    <row r="217" hidden="1">
      <c r="A217" s="351"/>
      <c r="B217" s="352"/>
      <c r="C217" s="137"/>
      <c r="D217" s="137"/>
      <c r="E217" s="302" t="s">
        <v>3522</v>
      </c>
      <c r="F217" s="302" t="s">
        <v>3523</v>
      </c>
      <c r="G217" s="316">
        <v>70.0</v>
      </c>
      <c r="H217" s="302" t="s">
        <v>56</v>
      </c>
      <c r="I217" s="305">
        <f>IFERROR(VLOOKUP(E217, 'Database Resto'!C:P, 13, FALSE),"")</f>
        <v>116.3746655</v>
      </c>
      <c r="J217" s="306">
        <f t="shared" si="87"/>
        <v>116374.6655</v>
      </c>
      <c r="K217" s="306">
        <f>IFERROR(VLOOKUP(E217, 'Database Resto'!C:P, 13, FALSE)* G217, 0)</f>
        <v>8146.226583</v>
      </c>
      <c r="L217" s="137"/>
      <c r="M217" s="137"/>
      <c r="N217" s="137"/>
      <c r="O217" s="310">
        <v>128.0121320249777</v>
      </c>
      <c r="P217" s="311">
        <f t="shared" si="99"/>
        <v>8960.849242</v>
      </c>
      <c r="Q217" s="143"/>
      <c r="R217" s="137"/>
      <c r="S217" s="157"/>
    </row>
    <row r="218" hidden="1">
      <c r="A218" s="351"/>
      <c r="B218" s="352"/>
      <c r="C218" s="137"/>
      <c r="D218" s="137"/>
      <c r="E218" s="302" t="s">
        <v>3512</v>
      </c>
      <c r="F218" s="302" t="s">
        <v>3513</v>
      </c>
      <c r="G218" s="316">
        <v>50.0</v>
      </c>
      <c r="H218" s="302" t="s">
        <v>56</v>
      </c>
      <c r="I218" s="305">
        <f>IFERROR(VLOOKUP(E218, 'Database Resto'!C:P, 13, FALSE),"")</f>
        <v>38</v>
      </c>
      <c r="J218" s="306">
        <f t="shared" si="87"/>
        <v>38000</v>
      </c>
      <c r="K218" s="306">
        <f>IFERROR(VLOOKUP(E218, 'Database Resto'!C:P, 13, FALSE)* G218, 0)</f>
        <v>1900</v>
      </c>
      <c r="L218" s="137"/>
      <c r="M218" s="137"/>
      <c r="N218" s="137"/>
      <c r="O218" s="310"/>
      <c r="P218" s="311">
        <f t="shared" si="99"/>
        <v>1900</v>
      </c>
      <c r="Q218" s="143"/>
      <c r="R218" s="137"/>
      <c r="S218" s="157"/>
    </row>
    <row r="219" hidden="1">
      <c r="A219" s="351"/>
      <c r="B219" s="352"/>
      <c r="C219" s="137"/>
      <c r="D219" s="137"/>
      <c r="E219" s="302" t="s">
        <v>3527</v>
      </c>
      <c r="F219" s="302" t="s">
        <v>3528</v>
      </c>
      <c r="G219" s="316">
        <v>65.0</v>
      </c>
      <c r="H219" s="302" t="s">
        <v>56</v>
      </c>
      <c r="I219" s="305">
        <f>IFERROR(VLOOKUP(E219, 'Database Resto'!C:P, 13, FALSE),"")</f>
        <v>22.01707119</v>
      </c>
      <c r="J219" s="306">
        <f t="shared" si="87"/>
        <v>22017.07119</v>
      </c>
      <c r="K219" s="306">
        <f>IFERROR(VLOOKUP(E219, 'Database Resto'!C:P, 13, FALSE)* G219, 0)</f>
        <v>1431.109627</v>
      </c>
      <c r="L219" s="137"/>
      <c r="M219" s="137"/>
      <c r="N219" s="137"/>
      <c r="O219" s="310">
        <v>26.420485428595846</v>
      </c>
      <c r="P219" s="311">
        <f t="shared" si="99"/>
        <v>1717.331553</v>
      </c>
      <c r="Q219" s="143"/>
      <c r="R219" s="137"/>
      <c r="S219" s="157"/>
    </row>
    <row r="220" hidden="1">
      <c r="A220" s="351"/>
      <c r="B220" s="352"/>
      <c r="C220" s="137"/>
      <c r="D220" s="137"/>
      <c r="E220" s="302" t="s">
        <v>3529</v>
      </c>
      <c r="F220" s="302" t="s">
        <v>3530</v>
      </c>
      <c r="G220" s="316">
        <v>22.0</v>
      </c>
      <c r="H220" s="302" t="s">
        <v>56</v>
      </c>
      <c r="I220" s="305">
        <f>IFERROR(VLOOKUP(E220, 'Database Resto'!C:P, 13, FALSE),"")</f>
        <v>10.92328674</v>
      </c>
      <c r="J220" s="306">
        <f t="shared" si="87"/>
        <v>10923.28674</v>
      </c>
      <c r="K220" s="306">
        <f>IFERROR(VLOOKUP(E220, 'Database Resto'!C:P, 13, FALSE)* G220, 0)</f>
        <v>240.3123082</v>
      </c>
      <c r="L220" s="137"/>
      <c r="M220" s="137"/>
      <c r="N220" s="137"/>
      <c r="O220" s="310">
        <v>13.107944084555063</v>
      </c>
      <c r="P220" s="311">
        <f t="shared" si="99"/>
        <v>288.3747699</v>
      </c>
      <c r="Q220" s="143"/>
      <c r="R220" s="137"/>
      <c r="S220" s="157"/>
    </row>
    <row r="221" hidden="1">
      <c r="A221" s="351"/>
      <c r="B221" s="352"/>
      <c r="C221" s="137"/>
      <c r="D221" s="137"/>
      <c r="E221" s="302" t="s">
        <v>3531</v>
      </c>
      <c r="F221" s="302" t="s">
        <v>2224</v>
      </c>
      <c r="G221" s="316">
        <v>15.0</v>
      </c>
      <c r="H221" s="302" t="s">
        <v>56</v>
      </c>
      <c r="I221" s="305">
        <f>IFERROR(VLOOKUP(E221, 'Database Resto'!C:P, 13, FALSE),"")</f>
        <v>6</v>
      </c>
      <c r="J221" s="306">
        <f t="shared" si="87"/>
        <v>6000</v>
      </c>
      <c r="K221" s="306">
        <f>IFERROR(VLOOKUP(E221, 'Database Resto'!C:P, 13, FALSE)* G221, 0)</f>
        <v>90</v>
      </c>
      <c r="L221" s="137"/>
      <c r="M221" s="137"/>
      <c r="N221" s="137"/>
      <c r="O221" s="310">
        <v>7.2</v>
      </c>
      <c r="P221" s="311">
        <f t="shared" si="99"/>
        <v>108</v>
      </c>
      <c r="Q221" s="143"/>
      <c r="R221" s="137"/>
      <c r="S221" s="157"/>
    </row>
    <row r="222" hidden="1">
      <c r="A222" s="351"/>
      <c r="B222" s="352"/>
      <c r="C222" s="137"/>
      <c r="D222" s="137"/>
      <c r="E222" s="317" t="str">
        <f>IFERROR(__xludf.DUMMYFUNCTION("IF($C$4, FILTER(Pembungkus!B:E, Pembungkus!A:A=""Mie""), """")
"),"")</f>
        <v/>
      </c>
      <c r="F222" s="317"/>
      <c r="G222" s="318"/>
      <c r="H222" s="317"/>
      <c r="I222" s="319" t="str">
        <f>IFERROR(VLOOKUP(E222, 'Database Resto'!C:P, 13, FALSE),"")</f>
        <v/>
      </c>
      <c r="J222" s="320">
        <f t="shared" si="87"/>
        <v>0</v>
      </c>
      <c r="K222" s="320">
        <f>IFERROR(VLOOKUP(E222, 'Database Resto'!C:P, 13, FALSE)* G222, 0)</f>
        <v>0</v>
      </c>
      <c r="L222" s="137"/>
      <c r="M222" s="137"/>
      <c r="N222" s="137"/>
      <c r="O222" s="321" t="s">
        <v>733</v>
      </c>
      <c r="P222" s="322">
        <f t="shared" si="99"/>
        <v>0</v>
      </c>
      <c r="Q222" s="143"/>
      <c r="R222" s="137"/>
      <c r="S222" s="157"/>
    </row>
    <row r="223" hidden="1">
      <c r="A223" s="351"/>
      <c r="B223" s="352"/>
      <c r="C223" s="137"/>
      <c r="D223" s="137"/>
      <c r="E223" s="317"/>
      <c r="F223" s="317"/>
      <c r="G223" s="318"/>
      <c r="H223" s="317"/>
      <c r="I223" s="319" t="str">
        <f>IFERROR(VLOOKUP(E223, 'Database Resto'!C:P, 13, FALSE),"")</f>
        <v/>
      </c>
      <c r="J223" s="320">
        <f t="shared" si="87"/>
        <v>0</v>
      </c>
      <c r="K223" s="320">
        <f>IFERROR(VLOOKUP(E223, 'Database Resto'!C:P, 13, FALSE)* G223, 0)</f>
        <v>0</v>
      </c>
      <c r="L223" s="137"/>
      <c r="M223" s="137"/>
      <c r="N223" s="137"/>
      <c r="O223" s="321" t="s">
        <v>733</v>
      </c>
      <c r="P223" s="322">
        <f t="shared" si="99"/>
        <v>0</v>
      </c>
      <c r="Q223" s="143"/>
      <c r="R223" s="137"/>
      <c r="S223" s="157"/>
    </row>
    <row r="224" hidden="1">
      <c r="A224" s="351"/>
      <c r="B224" s="352"/>
      <c r="C224" s="137"/>
      <c r="D224" s="137"/>
      <c r="E224" s="317"/>
      <c r="F224" s="317"/>
      <c r="G224" s="318"/>
      <c r="H224" s="317"/>
      <c r="I224" s="319" t="str">
        <f>IFERROR(VLOOKUP(E224, 'Database Resto'!C:P, 13, FALSE),"")</f>
        <v/>
      </c>
      <c r="J224" s="320">
        <f t="shared" si="87"/>
        <v>0</v>
      </c>
      <c r="K224" s="320">
        <f>IFERROR(VLOOKUP(E224, 'Database Resto'!C:P, 13, FALSE)* G224, 0)</f>
        <v>0</v>
      </c>
      <c r="L224" s="137"/>
      <c r="M224" s="137"/>
      <c r="N224" s="137"/>
      <c r="O224" s="321" t="s">
        <v>733</v>
      </c>
      <c r="P224" s="322">
        <f t="shared" si="99"/>
        <v>0</v>
      </c>
      <c r="Q224" s="143"/>
      <c r="R224" s="137"/>
      <c r="S224" s="157"/>
    </row>
    <row r="225" hidden="1">
      <c r="A225" s="351"/>
      <c r="B225" s="352"/>
      <c r="C225" s="137"/>
      <c r="D225" s="137"/>
      <c r="E225" s="317"/>
      <c r="F225" s="317"/>
      <c r="G225" s="318"/>
      <c r="H225" s="317"/>
      <c r="I225" s="319" t="str">
        <f>IFERROR(VLOOKUP(E225, 'Database Resto'!C:P, 13, FALSE),"")</f>
        <v/>
      </c>
      <c r="J225" s="320">
        <f t="shared" si="87"/>
        <v>0</v>
      </c>
      <c r="K225" s="320">
        <f>IFERROR(VLOOKUP(E225, 'Database Resto'!C:P, 13, FALSE)* G225, 0)</f>
        <v>0</v>
      </c>
      <c r="L225" s="137"/>
      <c r="M225" s="137"/>
      <c r="N225" s="137"/>
      <c r="O225" s="321" t="s">
        <v>733</v>
      </c>
      <c r="P225" s="322">
        <f t="shared" si="99"/>
        <v>0</v>
      </c>
      <c r="Q225" s="143"/>
      <c r="R225" s="137"/>
      <c r="S225" s="157"/>
    </row>
    <row r="226" hidden="1">
      <c r="A226" s="351"/>
      <c r="B226" s="353"/>
      <c r="C226" s="67"/>
      <c r="D226" s="67"/>
      <c r="E226" s="323" t="str">
        <f>IFERROR(__xludf.DUMMYFUNCTION("IF($E$3="""","""",IFERROR(FILTER(Pembungkus!B:E, Pembungkus!C:C=$E$3),""""))"),"MNMN.30100")</f>
        <v>MNMN.30100</v>
      </c>
      <c r="F226" s="323" t="str">
        <f>IFERROR(__xludf.DUMMYFUNCTION("""COMPUTED_VALUE"""),"Air Mineral")</f>
        <v>Air Mineral</v>
      </c>
      <c r="G226" s="324">
        <f>IFERROR(__xludf.DUMMYFUNCTION("""COMPUTED_VALUE"""),1.0)</f>
        <v>1</v>
      </c>
      <c r="H226" s="323" t="str">
        <f>IFERROR(__xludf.DUMMYFUNCTION("""COMPUTED_VALUE"""),"Btl")</f>
        <v>Btl</v>
      </c>
      <c r="I226" s="325">
        <f>IFERROR(VLOOKUP(E226, 'Database Resto'!C:P, 13, FALSE),"")</f>
        <v>1833.333333</v>
      </c>
      <c r="J226" s="326">
        <f t="shared" si="87"/>
        <v>1833333.333</v>
      </c>
      <c r="K226" s="326">
        <f>IFERROR(VLOOKUP(E226, 'Database Resto'!C:P, 13, FALSE)* G226, 0)</f>
        <v>1833.333333</v>
      </c>
      <c r="L226" s="67"/>
      <c r="M226" s="67"/>
      <c r="N226" s="67"/>
      <c r="O226" s="327"/>
      <c r="P226" s="328">
        <f t="shared" si="99"/>
        <v>1833.333333</v>
      </c>
      <c r="Q226" s="75"/>
      <c r="R226" s="67"/>
      <c r="S226" s="168"/>
    </row>
    <row r="227" ht="18.0" hidden="1" customHeight="1">
      <c r="A227" s="351"/>
      <c r="B227" s="354" t="s">
        <v>3580</v>
      </c>
      <c r="C227" s="172"/>
      <c r="D227" s="171">
        <f>IFERROR(VLOOKUP(B227, 'Database Resto'!C:P, 9, FALSE),"")</f>
        <v>38000</v>
      </c>
      <c r="E227" s="172"/>
      <c r="F227" s="172"/>
      <c r="G227" s="174"/>
      <c r="H227" s="172"/>
      <c r="I227" s="175" t="str">
        <f>IFERROR(VLOOKUP(E227, 'Database Resto'!C:P, 13, FALSE),"")</f>
        <v/>
      </c>
      <c r="J227" s="330">
        <f t="shared" si="87"/>
        <v>0</v>
      </c>
      <c r="K227" s="176">
        <f>SUM(K215:K226)</f>
        <v>16533.64259</v>
      </c>
      <c r="L227" s="177">
        <f>IFERROR(K227/D215, 0)</f>
        <v>0.4350958576</v>
      </c>
      <c r="M227" s="178">
        <f>D215-K227</f>
        <v>21466.35741</v>
      </c>
      <c r="N227" s="179">
        <f t="shared" ref="N227:N228" si="100">IFERROR(M227/D227, )</f>
        <v>0.5649041424</v>
      </c>
      <c r="O227" s="180" t="s">
        <v>733</v>
      </c>
      <c r="P227" s="181">
        <f>SUM(P215:P226)</f>
        <v>17903.48178</v>
      </c>
      <c r="Q227" s="182">
        <f>IF(D227="","", IFERROR(SUMIFS($P:$P, $B:$B, B227)/D227, 0))</f>
        <v>0.5205653101</v>
      </c>
      <c r="R227" s="184">
        <f>IF(D227="","", D227 - SUMIFS($P:$P, $B:$B, B227))</f>
        <v>18218.51822</v>
      </c>
      <c r="S227" s="186">
        <f t="shared" ref="S227:S228" si="101">IFERROR(R227/D227, )</f>
        <v>0.4794346899</v>
      </c>
    </row>
    <row r="228">
      <c r="A228" s="351"/>
      <c r="B228" s="347" t="s">
        <v>3582</v>
      </c>
      <c r="C228" s="300" t="s">
        <v>3583</v>
      </c>
      <c r="D228" s="301">
        <f>IFERROR(VLOOKUP(B228, 'Database Resto'!C:P, 9, FALSE),"")</f>
        <v>38000</v>
      </c>
      <c r="E228" s="302" t="s">
        <v>3518</v>
      </c>
      <c r="F228" s="302" t="s">
        <v>3577</v>
      </c>
      <c r="G228" s="316">
        <v>120.0</v>
      </c>
      <c r="H228" s="302" t="s">
        <v>56</v>
      </c>
      <c r="I228" s="305">
        <f>IFERROR(VLOOKUP(E228, 'Database Resto'!C:P, 13, FALSE),"")</f>
        <v>15.65</v>
      </c>
      <c r="J228" s="306">
        <f t="shared" si="87"/>
        <v>15650</v>
      </c>
      <c r="K228" s="306">
        <f>IFERROR(VLOOKUP(E228, 'Database Resto'!C:P, 13, FALSE)* G228, 0)</f>
        <v>1878</v>
      </c>
      <c r="L228" s="307">
        <f>IF(D228="","", IFERROR(SUM(K228:K239)/D228, ""))</f>
        <v>0.4350958576</v>
      </c>
      <c r="M228" s="308">
        <f>IF(D228="","", D228-SUM(K228:K239))</f>
        <v>21466.35741</v>
      </c>
      <c r="N228" s="309">
        <f t="shared" si="100"/>
        <v>0.5649041424</v>
      </c>
      <c r="O228" s="310"/>
      <c r="P228" s="311">
        <f t="shared" ref="P228:P239" si="102">IF(O228=0, G228*I228, G228*O228)</f>
        <v>1878</v>
      </c>
      <c r="Q228" s="312">
        <f>IF(D228="","", IFERROR(SUM(P228:P239)/D228, ""))</f>
        <v>0.4711442575</v>
      </c>
      <c r="R228" s="313">
        <f>IF(D228="","", D228-SUM(P228:P239))</f>
        <v>20096.51822</v>
      </c>
      <c r="S228" s="314">
        <f t="shared" si="101"/>
        <v>0.5288557425</v>
      </c>
    </row>
    <row r="229">
      <c r="A229" s="351"/>
      <c r="B229" s="352"/>
      <c r="C229" s="137"/>
      <c r="D229" s="137"/>
      <c r="E229" s="302" t="s">
        <v>3520</v>
      </c>
      <c r="F229" s="302" t="s">
        <v>3521</v>
      </c>
      <c r="G229" s="316">
        <v>52.0</v>
      </c>
      <c r="H229" s="302" t="s">
        <v>56</v>
      </c>
      <c r="I229" s="305">
        <f>IFERROR(VLOOKUP(E229, 'Database Resto'!C:P, 13, FALSE),"")</f>
        <v>19.51270651</v>
      </c>
      <c r="J229" s="306">
        <f t="shared" si="87"/>
        <v>19512.70651</v>
      </c>
      <c r="K229" s="306">
        <f>IFERROR(VLOOKUP(E229, 'Database Resto'!C:P, 13, FALSE)* G229, 0)</f>
        <v>1014.660738</v>
      </c>
      <c r="L229" s="137"/>
      <c r="M229" s="137"/>
      <c r="N229" s="137"/>
      <c r="O229" s="310">
        <v>23.41524780681319</v>
      </c>
      <c r="P229" s="311">
        <f t="shared" si="102"/>
        <v>1217.592886</v>
      </c>
      <c r="Q229" s="143"/>
      <c r="R229" s="137"/>
      <c r="S229" s="157"/>
    </row>
    <row r="230">
      <c r="A230" s="351"/>
      <c r="B230" s="352"/>
      <c r="C230" s="137"/>
      <c r="D230" s="137"/>
      <c r="E230" s="302" t="s">
        <v>3522</v>
      </c>
      <c r="F230" s="302" t="s">
        <v>3523</v>
      </c>
      <c r="G230" s="316">
        <v>70.0</v>
      </c>
      <c r="H230" s="302" t="s">
        <v>56</v>
      </c>
      <c r="I230" s="305">
        <f>IFERROR(VLOOKUP(E230, 'Database Resto'!C:P, 13, FALSE),"")</f>
        <v>116.3746655</v>
      </c>
      <c r="J230" s="306">
        <f t="shared" si="87"/>
        <v>116374.6655</v>
      </c>
      <c r="K230" s="306">
        <f>IFERROR(VLOOKUP(E230, 'Database Resto'!C:P, 13, FALSE)* G230, 0)</f>
        <v>8146.226583</v>
      </c>
      <c r="L230" s="137"/>
      <c r="M230" s="137"/>
      <c r="N230" s="137"/>
      <c r="O230" s="310">
        <v>128.0121320249777</v>
      </c>
      <c r="P230" s="311">
        <f t="shared" si="102"/>
        <v>8960.849242</v>
      </c>
      <c r="Q230" s="143"/>
      <c r="R230" s="137"/>
      <c r="S230" s="157"/>
    </row>
    <row r="231">
      <c r="A231" s="351"/>
      <c r="B231" s="352"/>
      <c r="C231" s="137"/>
      <c r="D231" s="137"/>
      <c r="E231" s="302" t="s">
        <v>3508</v>
      </c>
      <c r="F231" s="302" t="s">
        <v>3509</v>
      </c>
      <c r="G231" s="316">
        <v>50.0</v>
      </c>
      <c r="H231" s="302" t="s">
        <v>56</v>
      </c>
      <c r="I231" s="305">
        <f>IFERROR(VLOOKUP(E231, 'Database Resto'!C:P, 13, FALSE),"")</f>
        <v>38</v>
      </c>
      <c r="J231" s="306">
        <f t="shared" si="87"/>
        <v>38000</v>
      </c>
      <c r="K231" s="306">
        <f>IFERROR(VLOOKUP(E231, 'Database Resto'!C:P, 13, FALSE)* G231, 0)</f>
        <v>1900</v>
      </c>
      <c r="L231" s="137"/>
      <c r="M231" s="137"/>
      <c r="N231" s="137"/>
      <c r="O231" s="310"/>
      <c r="P231" s="311">
        <f t="shared" si="102"/>
        <v>1900</v>
      </c>
      <c r="Q231" s="143"/>
      <c r="R231" s="137"/>
      <c r="S231" s="157"/>
    </row>
    <row r="232">
      <c r="A232" s="351"/>
      <c r="B232" s="352"/>
      <c r="C232" s="137"/>
      <c r="D232" s="137"/>
      <c r="E232" s="302" t="s">
        <v>3527</v>
      </c>
      <c r="F232" s="302" t="s">
        <v>3528</v>
      </c>
      <c r="G232" s="316">
        <v>65.0</v>
      </c>
      <c r="H232" s="302" t="s">
        <v>56</v>
      </c>
      <c r="I232" s="305">
        <f>IFERROR(VLOOKUP(E232, 'Database Resto'!C:P, 13, FALSE),"")</f>
        <v>22.01707119</v>
      </c>
      <c r="J232" s="306">
        <f t="shared" si="87"/>
        <v>22017.07119</v>
      </c>
      <c r="K232" s="306">
        <f>IFERROR(VLOOKUP(E232, 'Database Resto'!C:P, 13, FALSE)* G232, 0)</f>
        <v>1431.109627</v>
      </c>
      <c r="L232" s="137"/>
      <c r="M232" s="137"/>
      <c r="N232" s="137"/>
      <c r="O232" s="310">
        <v>26.420485428595846</v>
      </c>
      <c r="P232" s="311">
        <f t="shared" si="102"/>
        <v>1717.331553</v>
      </c>
      <c r="Q232" s="143"/>
      <c r="R232" s="137"/>
      <c r="S232" s="157"/>
    </row>
    <row r="233">
      <c r="A233" s="351"/>
      <c r="B233" s="352"/>
      <c r="C233" s="137"/>
      <c r="D233" s="137"/>
      <c r="E233" s="302" t="s">
        <v>3529</v>
      </c>
      <c r="F233" s="302" t="s">
        <v>3530</v>
      </c>
      <c r="G233" s="316">
        <v>22.0</v>
      </c>
      <c r="H233" s="302" t="s">
        <v>56</v>
      </c>
      <c r="I233" s="305">
        <f>IFERROR(VLOOKUP(E233, 'Database Resto'!C:P, 13, FALSE),"")</f>
        <v>10.92328674</v>
      </c>
      <c r="J233" s="306">
        <f t="shared" si="87"/>
        <v>10923.28674</v>
      </c>
      <c r="K233" s="306">
        <f>IFERROR(VLOOKUP(E233, 'Database Resto'!C:P, 13, FALSE)* G233, 0)</f>
        <v>240.3123082</v>
      </c>
      <c r="L233" s="137"/>
      <c r="M233" s="137"/>
      <c r="N233" s="137"/>
      <c r="O233" s="310">
        <v>13.107944084555063</v>
      </c>
      <c r="P233" s="311">
        <f t="shared" si="102"/>
        <v>288.3747699</v>
      </c>
      <c r="Q233" s="143"/>
      <c r="R233" s="137"/>
      <c r="S233" s="157"/>
    </row>
    <row r="234">
      <c r="A234" s="351"/>
      <c r="B234" s="352"/>
      <c r="C234" s="137"/>
      <c r="D234" s="137"/>
      <c r="E234" s="302" t="s">
        <v>3531</v>
      </c>
      <c r="F234" s="302" t="s">
        <v>2224</v>
      </c>
      <c r="G234" s="316">
        <v>15.0</v>
      </c>
      <c r="H234" s="302" t="s">
        <v>56</v>
      </c>
      <c r="I234" s="305">
        <f>IFERROR(VLOOKUP(E234, 'Database Resto'!C:P, 13, FALSE),"")</f>
        <v>6</v>
      </c>
      <c r="J234" s="306">
        <f t="shared" si="87"/>
        <v>6000</v>
      </c>
      <c r="K234" s="306">
        <f>IFERROR(VLOOKUP(E234, 'Database Resto'!C:P, 13, FALSE)* G234, 0)</f>
        <v>90</v>
      </c>
      <c r="L234" s="137"/>
      <c r="M234" s="137"/>
      <c r="N234" s="137"/>
      <c r="O234" s="310">
        <v>7.2</v>
      </c>
      <c r="P234" s="311">
        <f t="shared" si="102"/>
        <v>108</v>
      </c>
      <c r="Q234" s="143"/>
      <c r="R234" s="137"/>
      <c r="S234" s="157"/>
    </row>
    <row r="235">
      <c r="A235" s="351"/>
      <c r="B235" s="352"/>
      <c r="C235" s="137"/>
      <c r="D235" s="137"/>
      <c r="E235" s="317" t="str">
        <f>IFERROR(__xludf.DUMMYFUNCTION("IF($C$4, FILTER(Pembungkus!B:E, Pembungkus!A:A=""Mie""), """")
"),"")</f>
        <v/>
      </c>
      <c r="F235" s="317"/>
      <c r="G235" s="318"/>
      <c r="H235" s="317"/>
      <c r="I235" s="319" t="str">
        <f>IFERROR(VLOOKUP(E235, 'Database Resto'!C:P, 13, FALSE),"")</f>
        <v/>
      </c>
      <c r="J235" s="320">
        <f t="shared" si="87"/>
        <v>0</v>
      </c>
      <c r="K235" s="320">
        <f>IFERROR(VLOOKUP(E235, 'Database Resto'!C:P, 13, FALSE)* G235, 0)</f>
        <v>0</v>
      </c>
      <c r="L235" s="137"/>
      <c r="M235" s="137"/>
      <c r="N235" s="137"/>
      <c r="O235" s="321" t="s">
        <v>733</v>
      </c>
      <c r="P235" s="322">
        <f t="shared" si="102"/>
        <v>0</v>
      </c>
      <c r="Q235" s="143"/>
      <c r="R235" s="137"/>
      <c r="S235" s="157"/>
    </row>
    <row r="236">
      <c r="A236" s="351"/>
      <c r="B236" s="352"/>
      <c r="C236" s="137"/>
      <c r="D236" s="137"/>
      <c r="E236" s="317"/>
      <c r="F236" s="317"/>
      <c r="G236" s="318"/>
      <c r="H236" s="317"/>
      <c r="I236" s="319" t="str">
        <f>IFERROR(VLOOKUP(E236, 'Database Resto'!C:P, 13, FALSE),"")</f>
        <v/>
      </c>
      <c r="J236" s="320">
        <f t="shared" si="87"/>
        <v>0</v>
      </c>
      <c r="K236" s="320">
        <f>IFERROR(VLOOKUP(E236, 'Database Resto'!C:P, 13, FALSE)* G236, 0)</f>
        <v>0</v>
      </c>
      <c r="L236" s="137"/>
      <c r="M236" s="137"/>
      <c r="N236" s="137"/>
      <c r="O236" s="321" t="s">
        <v>733</v>
      </c>
      <c r="P236" s="322">
        <f t="shared" si="102"/>
        <v>0</v>
      </c>
      <c r="Q236" s="143"/>
      <c r="R236" s="137"/>
      <c r="S236" s="157"/>
    </row>
    <row r="237">
      <c r="A237" s="351"/>
      <c r="B237" s="352"/>
      <c r="C237" s="137"/>
      <c r="D237" s="137"/>
      <c r="E237" s="317"/>
      <c r="F237" s="317"/>
      <c r="G237" s="318"/>
      <c r="H237" s="317"/>
      <c r="I237" s="319" t="str">
        <f>IFERROR(VLOOKUP(E237, 'Database Resto'!C:P, 13, FALSE),"")</f>
        <v/>
      </c>
      <c r="J237" s="320">
        <f t="shared" si="87"/>
        <v>0</v>
      </c>
      <c r="K237" s="320">
        <f>IFERROR(VLOOKUP(E237, 'Database Resto'!C:P, 13, FALSE)* G237, 0)</f>
        <v>0</v>
      </c>
      <c r="L237" s="137"/>
      <c r="M237" s="137"/>
      <c r="N237" s="137"/>
      <c r="O237" s="321" t="s">
        <v>733</v>
      </c>
      <c r="P237" s="322">
        <f t="shared" si="102"/>
        <v>0</v>
      </c>
      <c r="Q237" s="143"/>
      <c r="R237" s="137"/>
      <c r="S237" s="157"/>
    </row>
    <row r="238">
      <c r="A238" s="351"/>
      <c r="B238" s="352"/>
      <c r="C238" s="137"/>
      <c r="D238" s="137"/>
      <c r="E238" s="317"/>
      <c r="F238" s="317"/>
      <c r="G238" s="318"/>
      <c r="H238" s="317"/>
      <c r="I238" s="319" t="str">
        <f>IFERROR(VLOOKUP(E238, 'Database Resto'!C:P, 13, FALSE),"")</f>
        <v/>
      </c>
      <c r="J238" s="320">
        <f t="shared" si="87"/>
        <v>0</v>
      </c>
      <c r="K238" s="320">
        <f>IFERROR(VLOOKUP(E238, 'Database Resto'!C:P, 13, FALSE)* G238, 0)</f>
        <v>0</v>
      </c>
      <c r="L238" s="137"/>
      <c r="M238" s="137"/>
      <c r="N238" s="137"/>
      <c r="O238" s="321" t="s">
        <v>733</v>
      </c>
      <c r="P238" s="322">
        <f t="shared" si="102"/>
        <v>0</v>
      </c>
      <c r="Q238" s="143"/>
      <c r="R238" s="137"/>
      <c r="S238" s="157"/>
    </row>
    <row r="239">
      <c r="A239" s="351"/>
      <c r="B239" s="353"/>
      <c r="C239" s="67"/>
      <c r="D239" s="67"/>
      <c r="E239" s="323" t="str">
        <f>IFERROR(__xludf.DUMMYFUNCTION("IF($E$3="""","""",IFERROR(FILTER(Pembungkus!B:E, Pembungkus!C:C=$E$3),""""))"),"MNMN.30100")</f>
        <v>MNMN.30100</v>
      </c>
      <c r="F239" s="323" t="str">
        <f>IFERROR(__xludf.DUMMYFUNCTION("""COMPUTED_VALUE"""),"Air Mineral")</f>
        <v>Air Mineral</v>
      </c>
      <c r="G239" s="324">
        <f>IFERROR(__xludf.DUMMYFUNCTION("""COMPUTED_VALUE"""),1.0)</f>
        <v>1</v>
      </c>
      <c r="H239" s="323" t="str">
        <f>IFERROR(__xludf.DUMMYFUNCTION("""COMPUTED_VALUE"""),"Btl")</f>
        <v>Btl</v>
      </c>
      <c r="I239" s="325">
        <f>IFERROR(VLOOKUP(E239, 'Database Resto'!C:P, 13, FALSE),"")</f>
        <v>1833.333333</v>
      </c>
      <c r="J239" s="326">
        <f t="shared" si="87"/>
        <v>1833333.333</v>
      </c>
      <c r="K239" s="326">
        <f>IFERROR(VLOOKUP(E239, 'Database Resto'!C:P, 13, FALSE)* G239, 0)</f>
        <v>1833.333333</v>
      </c>
      <c r="L239" s="67"/>
      <c r="M239" s="67"/>
      <c r="N239" s="67"/>
      <c r="O239" s="327"/>
      <c r="P239" s="328">
        <f t="shared" si="102"/>
        <v>1833.333333</v>
      </c>
      <c r="Q239" s="75"/>
      <c r="R239" s="67"/>
      <c r="S239" s="168"/>
    </row>
    <row r="240" ht="18.0" customHeight="1">
      <c r="A240" s="356"/>
      <c r="B240" s="354" t="s">
        <v>3582</v>
      </c>
      <c r="C240" s="172"/>
      <c r="D240" s="171">
        <f>IFERROR(VLOOKUP(B240, 'Database Resto'!C:P, 9, FALSE),"")</f>
        <v>38000</v>
      </c>
      <c r="E240" s="172"/>
      <c r="F240" s="172"/>
      <c r="G240" s="174"/>
      <c r="H240" s="172"/>
      <c r="I240" s="175" t="str">
        <f>IFERROR(VLOOKUP(E240, 'Database Resto'!C:P, 13, FALSE),"")</f>
        <v/>
      </c>
      <c r="J240" s="330">
        <f t="shared" si="87"/>
        <v>0</v>
      </c>
      <c r="K240" s="176">
        <f>SUM(K228:K239)</f>
        <v>16533.64259</v>
      </c>
      <c r="L240" s="177">
        <f>IFERROR(K240/D228, 0)</f>
        <v>0.4350958576</v>
      </c>
      <c r="M240" s="178">
        <f>D228-K240</f>
        <v>21466.35741</v>
      </c>
      <c r="N240" s="179">
        <f t="shared" ref="N240:N241" si="103">IFERROR(M240/D240, )</f>
        <v>0.5649041424</v>
      </c>
      <c r="O240" s="180" t="s">
        <v>733</v>
      </c>
      <c r="P240" s="181">
        <f>SUM(P228:P239)</f>
        <v>17903.48178</v>
      </c>
      <c r="Q240" s="182">
        <f>IFERROR(P240/D228, 0)</f>
        <v>0.4711442575</v>
      </c>
      <c r="R240" s="184">
        <f>D228-P240</f>
        <v>20096.51822</v>
      </c>
      <c r="S240" s="186">
        <f t="shared" ref="S240:S241" si="104">IFERROR(R240/D240, )</f>
        <v>0.5288557425</v>
      </c>
    </row>
    <row r="241" ht="15.0" customHeight="1">
      <c r="A241" s="357" t="s">
        <v>3585</v>
      </c>
      <c r="B241" s="236" t="s">
        <v>3586</v>
      </c>
      <c r="C241" s="188" t="s">
        <v>3587</v>
      </c>
      <c r="D241" s="190">
        <f>IFERROR(VLOOKUP(B241, 'Database Resto'!C:P, 9, FALSE),"")</f>
        <v>28900</v>
      </c>
      <c r="E241" s="152" t="s">
        <v>3514</v>
      </c>
      <c r="F241" s="152" t="s">
        <v>3515</v>
      </c>
      <c r="G241" s="4">
        <v>41.0</v>
      </c>
      <c r="H241" s="152" t="s">
        <v>56</v>
      </c>
      <c r="I241" s="153">
        <f>IFERROR(VLOOKUP(E241, 'Database Resto'!C:P, 13, FALSE),"")</f>
        <v>67</v>
      </c>
      <c r="J241" s="154">
        <f t="shared" si="87"/>
        <v>67000</v>
      </c>
      <c r="K241" s="154">
        <f>IFERROR(VLOOKUP(E241, 'Database Resto'!C:P, 13, FALSE)* G241, 0)</f>
        <v>2747</v>
      </c>
      <c r="L241" s="193">
        <f>IF(D241="","", IFERROR(SUM(K241:K252)/D241, ""))</f>
        <v>0.3814240972</v>
      </c>
      <c r="M241" s="212">
        <f>IF(D241="","", D241-SUM(K241:K252))</f>
        <v>17876.84359</v>
      </c>
      <c r="N241" s="196">
        <f t="shared" si="103"/>
        <v>0.6185759028</v>
      </c>
      <c r="O241" s="159"/>
      <c r="P241" s="156">
        <f t="shared" ref="P241:P252" si="105">IF(O241=0, G241*I241, G241*O241)</f>
        <v>2747</v>
      </c>
      <c r="Q241" s="240">
        <f>IF(D241="","", IFERROR(SUM(P241:P252)/D241, ""))</f>
        <v>0.400635742</v>
      </c>
      <c r="R241" s="206">
        <f>IF(D241="","", D241-SUM(P241:P252))</f>
        <v>17321.62706</v>
      </c>
      <c r="S241" s="207">
        <f t="shared" si="104"/>
        <v>0.599364258</v>
      </c>
    </row>
    <row r="242">
      <c r="A242" s="150"/>
      <c r="C242" s="136"/>
      <c r="D242" s="137"/>
      <c r="E242" s="152" t="s">
        <v>3518</v>
      </c>
      <c r="F242" s="152" t="s">
        <v>3577</v>
      </c>
      <c r="G242" s="4">
        <v>120.0</v>
      </c>
      <c r="H242" s="152" t="s">
        <v>56</v>
      </c>
      <c r="I242" s="153">
        <f>IFERROR(VLOOKUP(E242, 'Database Resto'!C:P, 13, FALSE),"")</f>
        <v>15.65</v>
      </c>
      <c r="J242" s="154">
        <f t="shared" si="87"/>
        <v>15650</v>
      </c>
      <c r="K242" s="154">
        <f>IFERROR(VLOOKUP(E242, 'Database Resto'!C:P, 13, FALSE)* G242, 0)</f>
        <v>1878</v>
      </c>
      <c r="L242" s="137"/>
      <c r="M242" s="137"/>
      <c r="N242" s="137"/>
      <c r="O242" s="159"/>
      <c r="P242" s="156">
        <f t="shared" si="105"/>
        <v>1878</v>
      </c>
      <c r="Q242" s="143"/>
      <c r="R242" s="137"/>
      <c r="S242" s="157"/>
    </row>
    <row r="243">
      <c r="A243" s="150"/>
      <c r="C243" s="136"/>
      <c r="D243" s="137"/>
      <c r="E243" s="152" t="s">
        <v>3520</v>
      </c>
      <c r="F243" s="152" t="s">
        <v>3521</v>
      </c>
      <c r="G243" s="4">
        <v>52.0</v>
      </c>
      <c r="H243" s="152" t="s">
        <v>56</v>
      </c>
      <c r="I243" s="153">
        <f>IFERROR(VLOOKUP(E243, 'Database Resto'!C:P, 13, FALSE),"")</f>
        <v>19.51270651</v>
      </c>
      <c r="J243" s="154">
        <f t="shared" si="87"/>
        <v>19512.70651</v>
      </c>
      <c r="K243" s="154">
        <f>IFERROR(VLOOKUP(E243, 'Database Resto'!C:P, 13, FALSE)* G243, 0)</f>
        <v>1014.660738</v>
      </c>
      <c r="L243" s="137"/>
      <c r="M243" s="137"/>
      <c r="N243" s="137"/>
      <c r="O243" s="159">
        <v>23.41524780681319</v>
      </c>
      <c r="P243" s="156">
        <f t="shared" si="105"/>
        <v>1217.592886</v>
      </c>
      <c r="Q243" s="143"/>
      <c r="R243" s="137"/>
      <c r="S243" s="157"/>
    </row>
    <row r="244">
      <c r="A244" s="150"/>
      <c r="C244" s="136"/>
      <c r="D244" s="137"/>
      <c r="E244" s="152" t="s">
        <v>3506</v>
      </c>
      <c r="F244" s="152" t="s">
        <v>3507</v>
      </c>
      <c r="G244" s="4">
        <v>50.0</v>
      </c>
      <c r="H244" s="152" t="s">
        <v>56</v>
      </c>
      <c r="I244" s="153">
        <f>IFERROR(VLOOKUP(E244, 'Database Resto'!C:P, 13, FALSE),"")</f>
        <v>35.77480805</v>
      </c>
      <c r="J244" s="154">
        <f t="shared" si="87"/>
        <v>35774.80805</v>
      </c>
      <c r="K244" s="154">
        <f>IFERROR(VLOOKUP(E244, 'Database Resto'!C:P, 13, FALSE)* G244, 0)</f>
        <v>1788.740403</v>
      </c>
      <c r="L244" s="137"/>
      <c r="M244" s="137"/>
      <c r="N244" s="137"/>
      <c r="O244" s="159"/>
      <c r="P244" s="156">
        <f t="shared" si="105"/>
        <v>1788.740403</v>
      </c>
      <c r="Q244" s="143"/>
      <c r="R244" s="137"/>
      <c r="S244" s="157"/>
    </row>
    <row r="245">
      <c r="A245" s="150"/>
      <c r="C245" s="136"/>
      <c r="D245" s="137"/>
      <c r="E245" s="152" t="s">
        <v>3527</v>
      </c>
      <c r="F245" s="152" t="s">
        <v>3528</v>
      </c>
      <c r="G245" s="4">
        <v>65.0</v>
      </c>
      <c r="H245" s="152" t="s">
        <v>56</v>
      </c>
      <c r="I245" s="153">
        <f>IFERROR(VLOOKUP(E245, 'Database Resto'!C:P, 13, FALSE),"")</f>
        <v>22.01707119</v>
      </c>
      <c r="J245" s="154">
        <f t="shared" si="87"/>
        <v>22017.07119</v>
      </c>
      <c r="K245" s="154">
        <f>IFERROR(VLOOKUP(E245, 'Database Resto'!C:P, 13, FALSE)* G245, 0)</f>
        <v>1431.109627</v>
      </c>
      <c r="L245" s="137"/>
      <c r="M245" s="137"/>
      <c r="N245" s="137"/>
      <c r="O245" s="159">
        <v>26.420485428595846</v>
      </c>
      <c r="P245" s="156">
        <f t="shared" si="105"/>
        <v>1717.331553</v>
      </c>
      <c r="Q245" s="143"/>
      <c r="R245" s="137"/>
      <c r="S245" s="157"/>
    </row>
    <row r="246">
      <c r="A246" s="150"/>
      <c r="C246" s="136"/>
      <c r="D246" s="137"/>
      <c r="E246" s="152" t="s">
        <v>3529</v>
      </c>
      <c r="F246" s="152" t="s">
        <v>3530</v>
      </c>
      <c r="G246" s="4">
        <v>22.0</v>
      </c>
      <c r="H246" s="152" t="s">
        <v>56</v>
      </c>
      <c r="I246" s="153">
        <f>IFERROR(VLOOKUP(E246, 'Database Resto'!C:P, 13, FALSE),"")</f>
        <v>10.92328674</v>
      </c>
      <c r="J246" s="154">
        <f t="shared" si="87"/>
        <v>10923.28674</v>
      </c>
      <c r="K246" s="154">
        <f>IFERROR(VLOOKUP(E246, 'Database Resto'!C:P, 13, FALSE)* G246, 0)</f>
        <v>240.3123082</v>
      </c>
      <c r="L246" s="137"/>
      <c r="M246" s="137"/>
      <c r="N246" s="137"/>
      <c r="O246" s="159">
        <v>13.107944084555063</v>
      </c>
      <c r="P246" s="156">
        <f t="shared" si="105"/>
        <v>288.3747699</v>
      </c>
      <c r="Q246" s="143"/>
      <c r="R246" s="137"/>
      <c r="S246" s="157"/>
    </row>
    <row r="247">
      <c r="A247" s="150"/>
      <c r="C247" s="136"/>
      <c r="D247" s="137"/>
      <c r="E247" s="152" t="s">
        <v>3531</v>
      </c>
      <c r="F247" s="152" t="s">
        <v>2224</v>
      </c>
      <c r="G247" s="4">
        <v>15.0</v>
      </c>
      <c r="H247" s="152" t="s">
        <v>56</v>
      </c>
      <c r="I247" s="153">
        <f>IFERROR(VLOOKUP(E247, 'Database Resto'!C:P, 13, FALSE),"")</f>
        <v>6</v>
      </c>
      <c r="J247" s="154">
        <f t="shared" si="87"/>
        <v>6000</v>
      </c>
      <c r="K247" s="154">
        <f>IFERROR(VLOOKUP(E247, 'Database Resto'!C:P, 13, FALSE)* G247, 0)</f>
        <v>90</v>
      </c>
      <c r="L247" s="137"/>
      <c r="M247" s="137"/>
      <c r="N247" s="137"/>
      <c r="O247" s="159">
        <v>7.2</v>
      </c>
      <c r="P247" s="156">
        <f t="shared" si="105"/>
        <v>108</v>
      </c>
      <c r="Q247" s="143"/>
      <c r="R247" s="137"/>
      <c r="S247" s="157"/>
    </row>
    <row r="248">
      <c r="A248" s="150"/>
      <c r="C248" s="136"/>
      <c r="D248" s="137"/>
      <c r="E248" s="358" t="str">
        <f>IFERROR(__xludf.DUMMYFUNCTION("IF($C$4, FILTER(Pembungkus!B:E, Pembungkus!A:A=""Mie""), """")
"),"")</f>
        <v/>
      </c>
      <c r="F248" s="358"/>
      <c r="G248" s="359"/>
      <c r="H248" s="358"/>
      <c r="I248" s="242" t="str">
        <f>IFERROR(VLOOKUP(E248, 'Database Resto'!C:P, 13, FALSE),"")</f>
        <v/>
      </c>
      <c r="J248" s="243">
        <f t="shared" si="87"/>
        <v>0</v>
      </c>
      <c r="K248" s="243">
        <f>IFERROR(VLOOKUP(E248, 'Database Resto'!C:P, 13, FALSE)* G248, 0)</f>
        <v>0</v>
      </c>
      <c r="L248" s="137"/>
      <c r="M248" s="137"/>
      <c r="N248" s="137"/>
      <c r="O248" s="244" t="s">
        <v>733</v>
      </c>
      <c r="P248" s="166">
        <f t="shared" si="105"/>
        <v>0</v>
      </c>
      <c r="Q248" s="143"/>
      <c r="R248" s="137"/>
      <c r="S248" s="157"/>
    </row>
    <row r="249">
      <c r="A249" s="150"/>
      <c r="C249" s="136"/>
      <c r="D249" s="137"/>
      <c r="E249" s="358"/>
      <c r="F249" s="358"/>
      <c r="G249" s="359"/>
      <c r="H249" s="358"/>
      <c r="I249" s="242" t="str">
        <f>IFERROR(VLOOKUP(E249, 'Database Resto'!C:P, 13, FALSE),"")</f>
        <v/>
      </c>
      <c r="J249" s="243">
        <f t="shared" si="87"/>
        <v>0</v>
      </c>
      <c r="K249" s="243">
        <f>IFERROR(VLOOKUP(E249, 'Database Resto'!C:P, 13, FALSE)* G249, 0)</f>
        <v>0</v>
      </c>
      <c r="L249" s="137"/>
      <c r="M249" s="137"/>
      <c r="N249" s="137"/>
      <c r="O249" s="244" t="s">
        <v>733</v>
      </c>
      <c r="P249" s="166">
        <f t="shared" si="105"/>
        <v>0</v>
      </c>
      <c r="Q249" s="143"/>
      <c r="R249" s="137"/>
      <c r="S249" s="157"/>
    </row>
    <row r="250">
      <c r="A250" s="150"/>
      <c r="C250" s="136"/>
      <c r="D250" s="137"/>
      <c r="E250" s="358"/>
      <c r="F250" s="358"/>
      <c r="G250" s="359"/>
      <c r="H250" s="358"/>
      <c r="I250" s="242" t="str">
        <f>IFERROR(VLOOKUP(E250, 'Database Resto'!C:P, 13, FALSE),"")</f>
        <v/>
      </c>
      <c r="J250" s="243">
        <f t="shared" si="87"/>
        <v>0</v>
      </c>
      <c r="K250" s="243">
        <f>IFERROR(VLOOKUP(E250, 'Database Resto'!C:P, 13, FALSE)* G250, 0)</f>
        <v>0</v>
      </c>
      <c r="L250" s="137"/>
      <c r="M250" s="137"/>
      <c r="N250" s="137"/>
      <c r="O250" s="244" t="s">
        <v>733</v>
      </c>
      <c r="P250" s="166">
        <f t="shared" si="105"/>
        <v>0</v>
      </c>
      <c r="Q250" s="143"/>
      <c r="R250" s="137"/>
      <c r="S250" s="157"/>
    </row>
    <row r="251">
      <c r="A251" s="150"/>
      <c r="C251" s="136"/>
      <c r="D251" s="137"/>
      <c r="E251" s="358"/>
      <c r="F251" s="358"/>
      <c r="G251" s="359"/>
      <c r="H251" s="358"/>
      <c r="I251" s="242" t="str">
        <f>IFERROR(VLOOKUP(E251, 'Database Resto'!C:P, 13, FALSE),"")</f>
        <v/>
      </c>
      <c r="J251" s="243">
        <f t="shared" si="87"/>
        <v>0</v>
      </c>
      <c r="K251" s="243">
        <f>IFERROR(VLOOKUP(E251, 'Database Resto'!C:P, 13, FALSE)* G251, 0)</f>
        <v>0</v>
      </c>
      <c r="L251" s="137"/>
      <c r="M251" s="137"/>
      <c r="N251" s="137"/>
      <c r="O251" s="244" t="s">
        <v>733</v>
      </c>
      <c r="P251" s="166">
        <f t="shared" si="105"/>
        <v>0</v>
      </c>
      <c r="Q251" s="143"/>
      <c r="R251" s="137"/>
      <c r="S251" s="157"/>
    </row>
    <row r="252">
      <c r="A252" s="150"/>
      <c r="B252" s="99"/>
      <c r="C252" s="136"/>
      <c r="D252" s="137"/>
      <c r="E252" s="360" t="str">
        <f>IFERROR(__xludf.DUMMYFUNCTION("IF($E$3="""","""",IFERROR(FILTER(Pembungkus!B:E, Pembungkus!C:C=$E$3),""""))"),"MNMN.30100")</f>
        <v>MNMN.30100</v>
      </c>
      <c r="F252" s="360" t="str">
        <f>IFERROR(__xludf.DUMMYFUNCTION("""COMPUTED_VALUE"""),"Air Mineral")</f>
        <v>Air Mineral</v>
      </c>
      <c r="G252" s="361">
        <f>IFERROR(__xludf.DUMMYFUNCTION("""COMPUTED_VALUE"""),1.0)</f>
        <v>1</v>
      </c>
      <c r="H252" s="360" t="str">
        <f>IFERROR(__xludf.DUMMYFUNCTION("""COMPUTED_VALUE"""),"Btl")</f>
        <v>Btl</v>
      </c>
      <c r="I252" s="250">
        <f>IFERROR(VLOOKUP(E252, 'Database Resto'!C:P, 13, FALSE),"")</f>
        <v>1833.333333</v>
      </c>
      <c r="J252" s="252">
        <f t="shared" si="87"/>
        <v>1833333.333</v>
      </c>
      <c r="K252" s="252">
        <f>IFERROR(VLOOKUP(E252, 'Database Resto'!C:P, 13, FALSE)* G252, 0)</f>
        <v>1833.333333</v>
      </c>
      <c r="L252" s="137"/>
      <c r="M252" s="137"/>
      <c r="N252" s="137"/>
      <c r="O252" s="253"/>
      <c r="P252" s="254">
        <f t="shared" si="105"/>
        <v>1833.333333</v>
      </c>
      <c r="Q252" s="143"/>
      <c r="R252" s="137"/>
      <c r="S252" s="157"/>
    </row>
    <row r="253" ht="18.0" customHeight="1">
      <c r="A253" s="150"/>
      <c r="B253" s="169"/>
      <c r="C253" s="362"/>
      <c r="D253" s="363">
        <f>D241</f>
        <v>28900</v>
      </c>
      <c r="E253" s="172"/>
      <c r="F253" s="172"/>
      <c r="G253" s="174"/>
      <c r="H253" s="172"/>
      <c r="I253" s="175" t="str">
        <f>IFERROR(VLOOKUP(E253, 'Database Resto'!C:P, 13, FALSE),"")</f>
        <v/>
      </c>
      <c r="J253" s="364">
        <f t="shared" si="87"/>
        <v>0</v>
      </c>
      <c r="K253" s="176">
        <f>SUM(K241:K252)</f>
        <v>11023.15641</v>
      </c>
      <c r="L253" s="365">
        <f>IFERROR(K253/D241, 0)</f>
        <v>0.3814240972</v>
      </c>
      <c r="M253" s="366">
        <f>D241-K253</f>
        <v>17876.84359</v>
      </c>
      <c r="N253" s="367">
        <f t="shared" ref="N253:N254" si="106">IFERROR(M253/D253, )</f>
        <v>0.6185759028</v>
      </c>
      <c r="O253" s="180" t="s">
        <v>733</v>
      </c>
      <c r="P253" s="181">
        <f>SUM(P241:P252)</f>
        <v>11578.37294</v>
      </c>
      <c r="Q253" s="368">
        <f>IFERROR(P253/D241, 0)</f>
        <v>0.400635742</v>
      </c>
      <c r="R253" s="369">
        <f>D241-P253</f>
        <v>17321.62706</v>
      </c>
      <c r="S253" s="370">
        <f t="shared" ref="S253:S254" si="107">IFERROR(R253/D253, )</f>
        <v>0.599364258</v>
      </c>
      <c r="T253" s="205"/>
    </row>
    <row r="254">
      <c r="A254" s="150"/>
      <c r="B254" s="236" t="s">
        <v>3589</v>
      </c>
      <c r="C254" s="188" t="s">
        <v>3590</v>
      </c>
      <c r="D254" s="190">
        <f>IFERROR(VLOOKUP(B254, 'Database Resto'!C:P, 9, FALSE),"")</f>
        <v>28900</v>
      </c>
      <c r="E254" s="152" t="s">
        <v>3514</v>
      </c>
      <c r="F254" s="152" t="s">
        <v>3515</v>
      </c>
      <c r="G254" s="4">
        <v>41.0</v>
      </c>
      <c r="H254" s="152" t="s">
        <v>56</v>
      </c>
      <c r="I254" s="153">
        <f>IFERROR(VLOOKUP(E254, 'Database Resto'!C:P, 13, FALSE),"")</f>
        <v>67</v>
      </c>
      <c r="J254" s="154">
        <f t="shared" si="87"/>
        <v>67000</v>
      </c>
      <c r="K254" s="154">
        <f>IFERROR(VLOOKUP(E254, 'Database Resto'!C:P, 13, FALSE)* G254, 0)</f>
        <v>2747</v>
      </c>
      <c r="L254" s="193">
        <f>IF(D254="","", IFERROR(SUM(K254:K265)/D254, ""))</f>
        <v>0.3662427684</v>
      </c>
      <c r="M254" s="212">
        <f>IF(D254="","", D254-SUM(K254:K265))</f>
        <v>18315.58399</v>
      </c>
      <c r="N254" s="196">
        <f t="shared" si="106"/>
        <v>0.6337572316</v>
      </c>
      <c r="O254" s="159"/>
      <c r="P254" s="156">
        <f t="shared" ref="P254:P265" si="108">IF(O254=0, G254*I254, G254*O254)</f>
        <v>2747</v>
      </c>
      <c r="Q254" s="240">
        <f>IF(D254="","", IFERROR(SUM(P254:P265)/D254, ""))</f>
        <v>0.3854544132</v>
      </c>
      <c r="R254" s="206">
        <f>IF(D254="","", D254-SUM(P254:P265))</f>
        <v>17760.36746</v>
      </c>
      <c r="S254" s="207">
        <f t="shared" si="107"/>
        <v>0.6145455868</v>
      </c>
    </row>
    <row r="255">
      <c r="A255" s="150"/>
      <c r="C255" s="136"/>
      <c r="D255" s="137"/>
      <c r="E255" s="152" t="s">
        <v>3518</v>
      </c>
      <c r="F255" s="152" t="s">
        <v>3577</v>
      </c>
      <c r="G255" s="4">
        <v>120.0</v>
      </c>
      <c r="H255" s="152" t="s">
        <v>56</v>
      </c>
      <c r="I255" s="153">
        <f>IFERROR(VLOOKUP(E255, 'Database Resto'!C:P, 13, FALSE),"")</f>
        <v>15.65</v>
      </c>
      <c r="J255" s="154">
        <f t="shared" si="87"/>
        <v>15650</v>
      </c>
      <c r="K255" s="154">
        <f>IFERROR(VLOOKUP(E255, 'Database Resto'!C:P, 13, FALSE)* G255, 0)</f>
        <v>1878</v>
      </c>
      <c r="L255" s="137"/>
      <c r="M255" s="137"/>
      <c r="N255" s="137"/>
      <c r="O255" s="159"/>
      <c r="P255" s="156">
        <f t="shared" si="108"/>
        <v>1878</v>
      </c>
      <c r="Q255" s="143"/>
      <c r="R255" s="137"/>
      <c r="S255" s="157"/>
    </row>
    <row r="256">
      <c r="A256" s="150"/>
      <c r="C256" s="136"/>
      <c r="D256" s="137"/>
      <c r="E256" s="152" t="s">
        <v>3520</v>
      </c>
      <c r="F256" s="152" t="s">
        <v>3521</v>
      </c>
      <c r="G256" s="4">
        <v>52.0</v>
      </c>
      <c r="H256" s="152" t="s">
        <v>56</v>
      </c>
      <c r="I256" s="153">
        <f>IFERROR(VLOOKUP(E256, 'Database Resto'!C:P, 13, FALSE),"")</f>
        <v>19.51270651</v>
      </c>
      <c r="J256" s="154">
        <f t="shared" si="87"/>
        <v>19512.70651</v>
      </c>
      <c r="K256" s="154">
        <f>IFERROR(VLOOKUP(E256, 'Database Resto'!C:P, 13, FALSE)* G256, 0)</f>
        <v>1014.660738</v>
      </c>
      <c r="L256" s="137"/>
      <c r="M256" s="137"/>
      <c r="N256" s="137"/>
      <c r="O256" s="159">
        <v>23.41524780681319</v>
      </c>
      <c r="P256" s="156">
        <f t="shared" si="108"/>
        <v>1217.592886</v>
      </c>
      <c r="Q256" s="143"/>
      <c r="R256" s="137"/>
      <c r="S256" s="157"/>
    </row>
    <row r="257">
      <c r="A257" s="150"/>
      <c r="C257" s="136"/>
      <c r="D257" s="137"/>
      <c r="E257" s="152" t="s">
        <v>3498</v>
      </c>
      <c r="F257" s="152" t="s">
        <v>3499</v>
      </c>
      <c r="G257" s="4">
        <v>50.0</v>
      </c>
      <c r="H257" s="152" t="s">
        <v>56</v>
      </c>
      <c r="I257" s="153">
        <f>IFERROR(VLOOKUP(E257, 'Database Resto'!C:P, 13, FALSE),"")</f>
        <v>27</v>
      </c>
      <c r="J257" s="154">
        <f t="shared" si="87"/>
        <v>27000</v>
      </c>
      <c r="K257" s="154">
        <f>IFERROR(VLOOKUP(E257, 'Database Resto'!C:P, 13, FALSE)* G257, 0)</f>
        <v>1350</v>
      </c>
      <c r="L257" s="137"/>
      <c r="M257" s="137"/>
      <c r="N257" s="137"/>
      <c r="O257" s="159"/>
      <c r="P257" s="156">
        <f t="shared" si="108"/>
        <v>1350</v>
      </c>
      <c r="Q257" s="143"/>
      <c r="R257" s="137"/>
      <c r="S257" s="157"/>
    </row>
    <row r="258">
      <c r="A258" s="150"/>
      <c r="C258" s="136"/>
      <c r="D258" s="137"/>
      <c r="E258" s="152" t="s">
        <v>3527</v>
      </c>
      <c r="F258" s="152" t="s">
        <v>3528</v>
      </c>
      <c r="G258" s="4">
        <v>65.0</v>
      </c>
      <c r="H258" s="152" t="s">
        <v>56</v>
      </c>
      <c r="I258" s="153">
        <f>IFERROR(VLOOKUP(E258, 'Database Resto'!C:P, 13, FALSE),"")</f>
        <v>22.01707119</v>
      </c>
      <c r="J258" s="154">
        <f t="shared" si="87"/>
        <v>22017.07119</v>
      </c>
      <c r="K258" s="154">
        <f>IFERROR(VLOOKUP(E258, 'Database Resto'!C:P, 13, FALSE)* G258, 0)</f>
        <v>1431.109627</v>
      </c>
      <c r="L258" s="137"/>
      <c r="M258" s="137"/>
      <c r="N258" s="137"/>
      <c r="O258" s="159">
        <v>26.420485428595846</v>
      </c>
      <c r="P258" s="156">
        <f t="shared" si="108"/>
        <v>1717.331553</v>
      </c>
      <c r="Q258" s="143"/>
      <c r="R258" s="137"/>
      <c r="S258" s="157"/>
    </row>
    <row r="259">
      <c r="A259" s="150"/>
      <c r="C259" s="136"/>
      <c r="D259" s="137"/>
      <c r="E259" s="152" t="s">
        <v>3529</v>
      </c>
      <c r="F259" s="152" t="s">
        <v>3530</v>
      </c>
      <c r="G259" s="4">
        <v>22.0</v>
      </c>
      <c r="H259" s="152" t="s">
        <v>56</v>
      </c>
      <c r="I259" s="153">
        <f>IFERROR(VLOOKUP(E259, 'Database Resto'!C:P, 13, FALSE),"")</f>
        <v>10.92328674</v>
      </c>
      <c r="J259" s="154">
        <f t="shared" si="87"/>
        <v>10923.28674</v>
      </c>
      <c r="K259" s="154">
        <f>IFERROR(VLOOKUP(E259, 'Database Resto'!C:P, 13, FALSE)* G259, 0)</f>
        <v>240.3123082</v>
      </c>
      <c r="L259" s="137"/>
      <c r="M259" s="137"/>
      <c r="N259" s="137"/>
      <c r="O259" s="159">
        <v>13.107944084555063</v>
      </c>
      <c r="P259" s="156">
        <f t="shared" si="108"/>
        <v>288.3747699</v>
      </c>
      <c r="Q259" s="143"/>
      <c r="R259" s="137"/>
      <c r="S259" s="157"/>
    </row>
    <row r="260">
      <c r="A260" s="150"/>
      <c r="C260" s="136"/>
      <c r="D260" s="137"/>
      <c r="E260" s="152" t="s">
        <v>3531</v>
      </c>
      <c r="F260" s="152" t="s">
        <v>2224</v>
      </c>
      <c r="G260" s="4">
        <v>15.0</v>
      </c>
      <c r="H260" s="152" t="s">
        <v>56</v>
      </c>
      <c r="I260" s="153">
        <f>IFERROR(VLOOKUP(E260, 'Database Resto'!C:P, 13, FALSE),"")</f>
        <v>6</v>
      </c>
      <c r="J260" s="154">
        <f t="shared" si="87"/>
        <v>6000</v>
      </c>
      <c r="K260" s="154">
        <f>IFERROR(VLOOKUP(E260, 'Database Resto'!C:P, 13, FALSE)* G260, 0)</f>
        <v>90</v>
      </c>
      <c r="L260" s="137"/>
      <c r="M260" s="137"/>
      <c r="N260" s="137"/>
      <c r="O260" s="159">
        <v>7.2</v>
      </c>
      <c r="P260" s="156">
        <f t="shared" si="108"/>
        <v>108</v>
      </c>
      <c r="Q260" s="143"/>
      <c r="R260" s="137"/>
      <c r="S260" s="157"/>
    </row>
    <row r="261">
      <c r="A261" s="150"/>
      <c r="C261" s="136"/>
      <c r="D261" s="137"/>
      <c r="E261" s="358" t="str">
        <f>IFERROR(__xludf.DUMMYFUNCTION("IF($C$4, FILTER(Pembungkus!B:E, Pembungkus!A:A=""Mie""), """")
"),"")</f>
        <v/>
      </c>
      <c r="F261" s="358"/>
      <c r="G261" s="359"/>
      <c r="H261" s="358"/>
      <c r="I261" s="242" t="str">
        <f>IFERROR(VLOOKUP(E261, 'Database Resto'!C:P, 13, FALSE),"")</f>
        <v/>
      </c>
      <c r="J261" s="243">
        <f t="shared" si="87"/>
        <v>0</v>
      </c>
      <c r="K261" s="243">
        <f>IFERROR(VLOOKUP(E261, 'Database Resto'!C:P, 13, FALSE)* G261, 0)</f>
        <v>0</v>
      </c>
      <c r="L261" s="137"/>
      <c r="M261" s="137"/>
      <c r="N261" s="137"/>
      <c r="O261" s="244" t="s">
        <v>733</v>
      </c>
      <c r="P261" s="166">
        <f t="shared" si="108"/>
        <v>0</v>
      </c>
      <c r="Q261" s="143"/>
      <c r="R261" s="137"/>
      <c r="S261" s="157"/>
    </row>
    <row r="262">
      <c r="A262" s="150"/>
      <c r="C262" s="136"/>
      <c r="D262" s="137"/>
      <c r="E262" s="358"/>
      <c r="F262" s="358"/>
      <c r="G262" s="359"/>
      <c r="H262" s="358"/>
      <c r="I262" s="242" t="str">
        <f>IFERROR(VLOOKUP(E262, 'Database Resto'!C:P, 13, FALSE),"")</f>
        <v/>
      </c>
      <c r="J262" s="243">
        <f t="shared" si="87"/>
        <v>0</v>
      </c>
      <c r="K262" s="243">
        <f>IFERROR(VLOOKUP(E262, 'Database Resto'!C:P, 13, FALSE)* G262, 0)</f>
        <v>0</v>
      </c>
      <c r="L262" s="137"/>
      <c r="M262" s="137"/>
      <c r="N262" s="137"/>
      <c r="O262" s="244" t="s">
        <v>733</v>
      </c>
      <c r="P262" s="166">
        <f t="shared" si="108"/>
        <v>0</v>
      </c>
      <c r="Q262" s="143"/>
      <c r="R262" s="137"/>
      <c r="S262" s="157"/>
    </row>
    <row r="263">
      <c r="A263" s="150"/>
      <c r="C263" s="136"/>
      <c r="D263" s="137"/>
      <c r="E263" s="358"/>
      <c r="F263" s="358"/>
      <c r="G263" s="359"/>
      <c r="H263" s="358"/>
      <c r="I263" s="242" t="str">
        <f>IFERROR(VLOOKUP(E263, 'Database Resto'!C:P, 13, FALSE),"")</f>
        <v/>
      </c>
      <c r="J263" s="243">
        <f t="shared" si="87"/>
        <v>0</v>
      </c>
      <c r="K263" s="243">
        <f>IFERROR(VLOOKUP(E263, 'Database Resto'!C:P, 13, FALSE)* G263, 0)</f>
        <v>0</v>
      </c>
      <c r="L263" s="137"/>
      <c r="M263" s="137"/>
      <c r="N263" s="137"/>
      <c r="O263" s="244" t="s">
        <v>733</v>
      </c>
      <c r="P263" s="166">
        <f t="shared" si="108"/>
        <v>0</v>
      </c>
      <c r="Q263" s="143"/>
      <c r="R263" s="137"/>
      <c r="S263" s="157"/>
    </row>
    <row r="264">
      <c r="A264" s="150"/>
      <c r="C264" s="136"/>
      <c r="D264" s="137"/>
      <c r="E264" s="358"/>
      <c r="F264" s="358"/>
      <c r="G264" s="359"/>
      <c r="H264" s="358"/>
      <c r="I264" s="242" t="str">
        <f>IFERROR(VLOOKUP(E264, 'Database Resto'!C:P, 13, FALSE),"")</f>
        <v/>
      </c>
      <c r="J264" s="243">
        <f t="shared" si="87"/>
        <v>0</v>
      </c>
      <c r="K264" s="243">
        <f>IFERROR(VLOOKUP(E264, 'Database Resto'!C:P, 13, FALSE)* G264, 0)</f>
        <v>0</v>
      </c>
      <c r="L264" s="137"/>
      <c r="M264" s="137"/>
      <c r="N264" s="137"/>
      <c r="O264" s="244" t="s">
        <v>733</v>
      </c>
      <c r="P264" s="166">
        <f t="shared" si="108"/>
        <v>0</v>
      </c>
      <c r="Q264" s="143"/>
      <c r="R264" s="137"/>
      <c r="S264" s="157"/>
    </row>
    <row r="265">
      <c r="A265" s="150"/>
      <c r="B265" s="99"/>
      <c r="C265" s="136"/>
      <c r="D265" s="137"/>
      <c r="E265" s="360" t="str">
        <f>IFERROR(__xludf.DUMMYFUNCTION("IF($E$3="""","""",IFERROR(FILTER(Pembungkus!B:E, Pembungkus!C:C=$E$3),""""))"),"MNMN.30100")</f>
        <v>MNMN.30100</v>
      </c>
      <c r="F265" s="360" t="str">
        <f>IFERROR(__xludf.DUMMYFUNCTION("""COMPUTED_VALUE"""),"Air Mineral")</f>
        <v>Air Mineral</v>
      </c>
      <c r="G265" s="361">
        <f>IFERROR(__xludf.DUMMYFUNCTION("""COMPUTED_VALUE"""),1.0)</f>
        <v>1</v>
      </c>
      <c r="H265" s="360" t="str">
        <f>IFERROR(__xludf.DUMMYFUNCTION("""COMPUTED_VALUE"""),"Btl")</f>
        <v>Btl</v>
      </c>
      <c r="I265" s="250">
        <f>IFERROR(VLOOKUP(E265, 'Database Resto'!C:P, 13, FALSE),"")</f>
        <v>1833.333333</v>
      </c>
      <c r="J265" s="252">
        <f t="shared" si="87"/>
        <v>1833333.333</v>
      </c>
      <c r="K265" s="252">
        <f>IFERROR(VLOOKUP(E265, 'Database Resto'!C:P, 13, FALSE)* G265, 0)</f>
        <v>1833.333333</v>
      </c>
      <c r="L265" s="137"/>
      <c r="M265" s="137"/>
      <c r="N265" s="137"/>
      <c r="O265" s="253"/>
      <c r="P265" s="254">
        <f t="shared" si="108"/>
        <v>1833.333333</v>
      </c>
      <c r="Q265" s="143"/>
      <c r="R265" s="137"/>
      <c r="S265" s="157"/>
    </row>
    <row r="266" ht="18.0" customHeight="1">
      <c r="A266" s="150"/>
      <c r="B266" s="169"/>
      <c r="C266" s="362"/>
      <c r="D266" s="363">
        <f>D254</f>
        <v>28900</v>
      </c>
      <c r="E266" s="172"/>
      <c r="F266" s="172"/>
      <c r="G266" s="174"/>
      <c r="H266" s="172"/>
      <c r="I266" s="175" t="str">
        <f>IFERROR(VLOOKUP(E266, 'Database Resto'!C:P, 13, FALSE),"")</f>
        <v/>
      </c>
      <c r="J266" s="364">
        <f t="shared" si="87"/>
        <v>0</v>
      </c>
      <c r="K266" s="176">
        <f>SUM(K254:K265)</f>
        <v>10584.41601</v>
      </c>
      <c r="L266" s="365">
        <f>IFERROR(K266/D254, 0)</f>
        <v>0.3662427684</v>
      </c>
      <c r="M266" s="366">
        <f>D254-K266</f>
        <v>18315.58399</v>
      </c>
      <c r="N266" s="367">
        <f t="shared" ref="N266:N267" si="109">IFERROR(M266/D266, )</f>
        <v>0.6337572316</v>
      </c>
      <c r="O266" s="180" t="s">
        <v>733</v>
      </c>
      <c r="P266" s="181">
        <f>SUM(P254:P265)</f>
        <v>11139.63254</v>
      </c>
      <c r="Q266" s="368">
        <f>IFERROR(P266/D254, 0)</f>
        <v>0.3854544132</v>
      </c>
      <c r="R266" s="369">
        <f>D254-P266</f>
        <v>17760.36746</v>
      </c>
      <c r="S266" s="370">
        <f t="shared" ref="S266:S267" si="110">IFERROR(R266/D266, )</f>
        <v>0.6145455868</v>
      </c>
      <c r="T266" s="205"/>
    </row>
    <row r="267">
      <c r="A267" s="150"/>
      <c r="B267" s="236" t="s">
        <v>3591</v>
      </c>
      <c r="C267" s="188" t="s">
        <v>3592</v>
      </c>
      <c r="D267" s="190">
        <f>IFERROR(VLOOKUP(B267, 'Database Resto'!C:P, 9, FALSE),"")</f>
        <v>28900</v>
      </c>
      <c r="E267" s="152" t="s">
        <v>3514</v>
      </c>
      <c r="F267" s="152" t="s">
        <v>3515</v>
      </c>
      <c r="G267" s="4">
        <v>41.0</v>
      </c>
      <c r="H267" s="152" t="s">
        <v>56</v>
      </c>
      <c r="I267" s="153">
        <f>IFERROR(VLOOKUP(E267, 'Database Resto'!C:P, 13, FALSE),"")</f>
        <v>67</v>
      </c>
      <c r="J267" s="154">
        <f t="shared" si="87"/>
        <v>67000</v>
      </c>
      <c r="K267" s="154">
        <f>IFERROR(VLOOKUP(E267, 'Database Resto'!C:P, 13, FALSE)* G267, 0)</f>
        <v>2747</v>
      </c>
      <c r="L267" s="193">
        <f>IF(D267="","", IFERROR(SUM(K267:K278)/D267, ""))</f>
        <v>0.3973846369</v>
      </c>
      <c r="M267" s="212">
        <f>IF(D267="","", D267-SUM(K267:K278))</f>
        <v>17415.58399</v>
      </c>
      <c r="N267" s="196">
        <f t="shared" si="109"/>
        <v>0.6026153631</v>
      </c>
      <c r="O267" s="159"/>
      <c r="P267" s="156">
        <f t="shared" ref="P267:P278" si="111">IF(O267=0, G267*I267, G267*O267)</f>
        <v>2747</v>
      </c>
      <c r="Q267" s="240">
        <f>IF(D267="","", IFERROR(SUM(P267:P278)/D267, ""))</f>
        <v>0.4165962817</v>
      </c>
      <c r="R267" s="206">
        <f>IF(D267="","", D267-SUM(P267:P278))</f>
        <v>16860.36746</v>
      </c>
      <c r="S267" s="207">
        <f t="shared" si="110"/>
        <v>0.5834037183</v>
      </c>
    </row>
    <row r="268">
      <c r="A268" s="150"/>
      <c r="C268" s="136"/>
      <c r="D268" s="137"/>
      <c r="E268" s="152" t="s">
        <v>3518</v>
      </c>
      <c r="F268" s="152" t="s">
        <v>3577</v>
      </c>
      <c r="G268" s="4">
        <v>120.0</v>
      </c>
      <c r="H268" s="152" t="s">
        <v>56</v>
      </c>
      <c r="I268" s="153">
        <f>IFERROR(VLOOKUP(E268, 'Database Resto'!C:P, 13, FALSE),"")</f>
        <v>15.65</v>
      </c>
      <c r="J268" s="154">
        <f t="shared" si="87"/>
        <v>15650</v>
      </c>
      <c r="K268" s="154">
        <f>IFERROR(VLOOKUP(E268, 'Database Resto'!C:P, 13, FALSE)* G268, 0)</f>
        <v>1878</v>
      </c>
      <c r="L268" s="137"/>
      <c r="M268" s="137"/>
      <c r="N268" s="137"/>
      <c r="O268" s="159"/>
      <c r="P268" s="156">
        <f t="shared" si="111"/>
        <v>1878</v>
      </c>
      <c r="Q268" s="143"/>
      <c r="R268" s="137"/>
      <c r="S268" s="157"/>
    </row>
    <row r="269">
      <c r="A269" s="150"/>
      <c r="C269" s="136"/>
      <c r="D269" s="137"/>
      <c r="E269" s="152" t="s">
        <v>3520</v>
      </c>
      <c r="F269" s="152" t="s">
        <v>3521</v>
      </c>
      <c r="G269" s="4">
        <v>52.0</v>
      </c>
      <c r="H269" s="152" t="s">
        <v>56</v>
      </c>
      <c r="I269" s="153">
        <f>IFERROR(VLOOKUP(E269, 'Database Resto'!C:P, 13, FALSE),"")</f>
        <v>19.51270651</v>
      </c>
      <c r="J269" s="154">
        <f t="shared" si="87"/>
        <v>19512.70651</v>
      </c>
      <c r="K269" s="154">
        <f>IFERROR(VLOOKUP(E269, 'Database Resto'!C:P, 13, FALSE)* G269, 0)</f>
        <v>1014.660738</v>
      </c>
      <c r="L269" s="137"/>
      <c r="M269" s="137"/>
      <c r="N269" s="137"/>
      <c r="O269" s="159">
        <v>23.41524780681319</v>
      </c>
      <c r="P269" s="156">
        <f t="shared" si="111"/>
        <v>1217.592886</v>
      </c>
      <c r="Q269" s="143"/>
      <c r="R269" s="137"/>
      <c r="S269" s="157"/>
    </row>
    <row r="270">
      <c r="A270" s="150"/>
      <c r="C270" s="136"/>
      <c r="D270" s="137"/>
      <c r="E270" s="152" t="s">
        <v>3510</v>
      </c>
      <c r="F270" s="152" t="s">
        <v>3511</v>
      </c>
      <c r="G270" s="4">
        <v>50.0</v>
      </c>
      <c r="H270" s="152" t="s">
        <v>56</v>
      </c>
      <c r="I270" s="153">
        <f>IFERROR(VLOOKUP(E270, 'Database Resto'!C:P, 13, FALSE),"")</f>
        <v>45</v>
      </c>
      <c r="J270" s="154">
        <f t="shared" si="87"/>
        <v>45000</v>
      </c>
      <c r="K270" s="154">
        <f>IFERROR(VLOOKUP(E270, 'Database Resto'!C:P, 13, FALSE)* G270, 0)</f>
        <v>2250</v>
      </c>
      <c r="L270" s="137"/>
      <c r="M270" s="137"/>
      <c r="N270" s="137"/>
      <c r="O270" s="159"/>
      <c r="P270" s="156">
        <f t="shared" si="111"/>
        <v>2250</v>
      </c>
      <c r="Q270" s="143"/>
      <c r="R270" s="137"/>
      <c r="S270" s="157"/>
    </row>
    <row r="271">
      <c r="A271" s="150"/>
      <c r="C271" s="136"/>
      <c r="D271" s="137"/>
      <c r="E271" s="152" t="s">
        <v>3527</v>
      </c>
      <c r="F271" s="152" t="s">
        <v>3528</v>
      </c>
      <c r="G271" s="4">
        <v>65.0</v>
      </c>
      <c r="H271" s="152" t="s">
        <v>56</v>
      </c>
      <c r="I271" s="153">
        <f>IFERROR(VLOOKUP(E271, 'Database Resto'!C:P, 13, FALSE),"")</f>
        <v>22.01707119</v>
      </c>
      <c r="J271" s="154">
        <f t="shared" si="87"/>
        <v>22017.07119</v>
      </c>
      <c r="K271" s="154">
        <f>IFERROR(VLOOKUP(E271, 'Database Resto'!C:P, 13, FALSE)* G271, 0)</f>
        <v>1431.109627</v>
      </c>
      <c r="L271" s="137"/>
      <c r="M271" s="137"/>
      <c r="N271" s="137"/>
      <c r="O271" s="159">
        <v>26.420485428595846</v>
      </c>
      <c r="P271" s="156">
        <f t="shared" si="111"/>
        <v>1717.331553</v>
      </c>
      <c r="Q271" s="143"/>
      <c r="R271" s="137"/>
      <c r="S271" s="157"/>
    </row>
    <row r="272">
      <c r="A272" s="150"/>
      <c r="C272" s="136"/>
      <c r="D272" s="137"/>
      <c r="E272" s="152" t="s">
        <v>3529</v>
      </c>
      <c r="F272" s="152" t="s">
        <v>3530</v>
      </c>
      <c r="G272" s="4">
        <v>22.0</v>
      </c>
      <c r="H272" s="152" t="s">
        <v>56</v>
      </c>
      <c r="I272" s="153">
        <f>IFERROR(VLOOKUP(E272, 'Database Resto'!C:P, 13, FALSE),"")</f>
        <v>10.92328674</v>
      </c>
      <c r="J272" s="154">
        <f t="shared" si="87"/>
        <v>10923.28674</v>
      </c>
      <c r="K272" s="154">
        <f>IFERROR(VLOOKUP(E272, 'Database Resto'!C:P, 13, FALSE)* G272, 0)</f>
        <v>240.3123082</v>
      </c>
      <c r="L272" s="137"/>
      <c r="M272" s="137"/>
      <c r="N272" s="137"/>
      <c r="O272" s="159">
        <v>13.107944084555063</v>
      </c>
      <c r="P272" s="156">
        <f t="shared" si="111"/>
        <v>288.3747699</v>
      </c>
      <c r="Q272" s="143"/>
      <c r="R272" s="137"/>
      <c r="S272" s="157"/>
    </row>
    <row r="273">
      <c r="A273" s="150"/>
      <c r="C273" s="136"/>
      <c r="D273" s="137"/>
      <c r="E273" s="152" t="s">
        <v>3531</v>
      </c>
      <c r="F273" s="152" t="s">
        <v>2224</v>
      </c>
      <c r="G273" s="4">
        <v>15.0</v>
      </c>
      <c r="H273" s="152" t="s">
        <v>56</v>
      </c>
      <c r="I273" s="153">
        <f>IFERROR(VLOOKUP(E273, 'Database Resto'!C:P, 13, FALSE),"")</f>
        <v>6</v>
      </c>
      <c r="J273" s="154">
        <f t="shared" si="87"/>
        <v>6000</v>
      </c>
      <c r="K273" s="154">
        <f>IFERROR(VLOOKUP(E273, 'Database Resto'!C:P, 13, FALSE)* G273, 0)</f>
        <v>90</v>
      </c>
      <c r="L273" s="137"/>
      <c r="M273" s="137"/>
      <c r="N273" s="137"/>
      <c r="O273" s="159">
        <v>7.2</v>
      </c>
      <c r="P273" s="156">
        <f t="shared" si="111"/>
        <v>108</v>
      </c>
      <c r="Q273" s="143"/>
      <c r="R273" s="137"/>
      <c r="S273" s="157"/>
    </row>
    <row r="274">
      <c r="A274" s="150"/>
      <c r="C274" s="136"/>
      <c r="D274" s="137"/>
      <c r="E274" s="358" t="str">
        <f>IFERROR(__xludf.DUMMYFUNCTION("IF($C$4, FILTER(Pembungkus!B:E, Pembungkus!A:A=""Mie""), """")
"),"")</f>
        <v/>
      </c>
      <c r="F274" s="358"/>
      <c r="G274" s="359"/>
      <c r="H274" s="358"/>
      <c r="I274" s="242" t="str">
        <f>IFERROR(VLOOKUP(E274, 'Database Resto'!C:P, 13, FALSE),"")</f>
        <v/>
      </c>
      <c r="J274" s="243">
        <f t="shared" si="87"/>
        <v>0</v>
      </c>
      <c r="K274" s="243">
        <f>IFERROR(VLOOKUP(E274, 'Database Resto'!C:P, 13, FALSE)* G274, 0)</f>
        <v>0</v>
      </c>
      <c r="L274" s="137"/>
      <c r="M274" s="137"/>
      <c r="N274" s="137"/>
      <c r="O274" s="244" t="s">
        <v>733</v>
      </c>
      <c r="P274" s="166">
        <f t="shared" si="111"/>
        <v>0</v>
      </c>
      <c r="Q274" s="143"/>
      <c r="R274" s="137"/>
      <c r="S274" s="157"/>
    </row>
    <row r="275">
      <c r="A275" s="150"/>
      <c r="C275" s="136"/>
      <c r="D275" s="137"/>
      <c r="E275" s="358"/>
      <c r="F275" s="358"/>
      <c r="G275" s="359"/>
      <c r="H275" s="358"/>
      <c r="I275" s="242" t="str">
        <f>IFERROR(VLOOKUP(E275, 'Database Resto'!C:P, 13, FALSE),"")</f>
        <v/>
      </c>
      <c r="J275" s="243">
        <f t="shared" si="87"/>
        <v>0</v>
      </c>
      <c r="K275" s="243">
        <f>IFERROR(VLOOKUP(E275, 'Database Resto'!C:P, 13, FALSE)* G275, 0)</f>
        <v>0</v>
      </c>
      <c r="L275" s="137"/>
      <c r="M275" s="137"/>
      <c r="N275" s="137"/>
      <c r="O275" s="244" t="s">
        <v>733</v>
      </c>
      <c r="P275" s="166">
        <f t="shared" si="111"/>
        <v>0</v>
      </c>
      <c r="Q275" s="143"/>
      <c r="R275" s="137"/>
      <c r="S275" s="157"/>
    </row>
    <row r="276">
      <c r="A276" s="150"/>
      <c r="C276" s="136"/>
      <c r="D276" s="137"/>
      <c r="E276" s="358"/>
      <c r="F276" s="358"/>
      <c r="G276" s="359"/>
      <c r="H276" s="358"/>
      <c r="I276" s="242" t="str">
        <f>IFERROR(VLOOKUP(E276, 'Database Resto'!C:P, 13, FALSE),"")</f>
        <v/>
      </c>
      <c r="J276" s="243">
        <f t="shared" si="87"/>
        <v>0</v>
      </c>
      <c r="K276" s="243">
        <f>IFERROR(VLOOKUP(E276, 'Database Resto'!C:P, 13, FALSE)* G276, 0)</f>
        <v>0</v>
      </c>
      <c r="L276" s="137"/>
      <c r="M276" s="137"/>
      <c r="N276" s="137"/>
      <c r="O276" s="244" t="s">
        <v>733</v>
      </c>
      <c r="P276" s="166">
        <f t="shared" si="111"/>
        <v>0</v>
      </c>
      <c r="Q276" s="143"/>
      <c r="R276" s="137"/>
      <c r="S276" s="157"/>
    </row>
    <row r="277">
      <c r="A277" s="150"/>
      <c r="C277" s="136"/>
      <c r="D277" s="137"/>
      <c r="E277" s="358"/>
      <c r="F277" s="358"/>
      <c r="G277" s="359"/>
      <c r="H277" s="358"/>
      <c r="I277" s="242" t="str">
        <f>IFERROR(VLOOKUP(E277, 'Database Resto'!C:P, 13, FALSE),"")</f>
        <v/>
      </c>
      <c r="J277" s="243">
        <f t="shared" si="87"/>
        <v>0</v>
      </c>
      <c r="K277" s="243">
        <f>IFERROR(VLOOKUP(E277, 'Database Resto'!C:P, 13, FALSE)* G277, 0)</f>
        <v>0</v>
      </c>
      <c r="L277" s="137"/>
      <c r="M277" s="137"/>
      <c r="N277" s="137"/>
      <c r="O277" s="244" t="s">
        <v>733</v>
      </c>
      <c r="P277" s="166">
        <f t="shared" si="111"/>
        <v>0</v>
      </c>
      <c r="Q277" s="143"/>
      <c r="R277" s="137"/>
      <c r="S277" s="157"/>
    </row>
    <row r="278">
      <c r="A278" s="150"/>
      <c r="B278" s="99"/>
      <c r="C278" s="136"/>
      <c r="D278" s="137"/>
      <c r="E278" s="360" t="str">
        <f>IFERROR(__xludf.DUMMYFUNCTION("IF($E$3="""","""",IFERROR(FILTER(Pembungkus!B:E, Pembungkus!C:C=$E$3),""""))"),"MNMN.30100")</f>
        <v>MNMN.30100</v>
      </c>
      <c r="F278" s="360" t="str">
        <f>IFERROR(__xludf.DUMMYFUNCTION("""COMPUTED_VALUE"""),"Air Mineral")</f>
        <v>Air Mineral</v>
      </c>
      <c r="G278" s="361">
        <f>IFERROR(__xludf.DUMMYFUNCTION("""COMPUTED_VALUE"""),1.0)</f>
        <v>1</v>
      </c>
      <c r="H278" s="360" t="str">
        <f>IFERROR(__xludf.DUMMYFUNCTION("""COMPUTED_VALUE"""),"Btl")</f>
        <v>Btl</v>
      </c>
      <c r="I278" s="250">
        <f>IFERROR(VLOOKUP(E278, 'Database Resto'!C:P, 13, FALSE),"")</f>
        <v>1833.333333</v>
      </c>
      <c r="J278" s="252">
        <f t="shared" si="87"/>
        <v>1833333.333</v>
      </c>
      <c r="K278" s="252">
        <f>IFERROR(VLOOKUP(E278, 'Database Resto'!C:P, 13, FALSE)* G278, 0)</f>
        <v>1833.333333</v>
      </c>
      <c r="L278" s="137"/>
      <c r="M278" s="137"/>
      <c r="N278" s="137"/>
      <c r="O278" s="253"/>
      <c r="P278" s="254">
        <f t="shared" si="111"/>
        <v>1833.333333</v>
      </c>
      <c r="Q278" s="143"/>
      <c r="R278" s="137"/>
      <c r="S278" s="157"/>
    </row>
    <row r="279" ht="18.0" customHeight="1">
      <c r="A279" s="150"/>
      <c r="B279" s="169"/>
      <c r="C279" s="362"/>
      <c r="D279" s="363">
        <f>D267</f>
        <v>28900</v>
      </c>
      <c r="E279" s="172"/>
      <c r="F279" s="172"/>
      <c r="G279" s="174"/>
      <c r="H279" s="172"/>
      <c r="I279" s="175" t="str">
        <f>IFERROR(VLOOKUP(E279, 'Database Resto'!C:P, 13, FALSE),"")</f>
        <v/>
      </c>
      <c r="J279" s="364">
        <f t="shared" si="87"/>
        <v>0</v>
      </c>
      <c r="K279" s="176">
        <f>SUM(K267:K278)</f>
        <v>11484.41601</v>
      </c>
      <c r="L279" s="365">
        <f>IFERROR(K279/D267, 0)</f>
        <v>0.3973846369</v>
      </c>
      <c r="M279" s="366">
        <f>D267-K279</f>
        <v>17415.58399</v>
      </c>
      <c r="N279" s="367">
        <f t="shared" ref="N279:N280" si="112">IFERROR(M279/D279, )</f>
        <v>0.6026153631</v>
      </c>
      <c r="O279" s="180" t="s">
        <v>733</v>
      </c>
      <c r="P279" s="181">
        <f>SUM(P267:P278)</f>
        <v>12039.63254</v>
      </c>
      <c r="Q279" s="368">
        <f>IFERROR(P279/D267, 0)</f>
        <v>0.4165962817</v>
      </c>
      <c r="R279" s="369">
        <f>D267-P279</f>
        <v>16860.36746</v>
      </c>
      <c r="S279" s="370">
        <f t="shared" ref="S279:S280" si="113">IFERROR(R279/D279, )</f>
        <v>0.5834037183</v>
      </c>
      <c r="T279" s="205"/>
    </row>
    <row r="280">
      <c r="A280" s="150"/>
      <c r="B280" s="236" t="s">
        <v>3593</v>
      </c>
      <c r="C280" s="188" t="s">
        <v>3594</v>
      </c>
      <c r="D280" s="190">
        <f>IFERROR(VLOOKUP(B280, 'Database Resto'!C:P, 9, FALSE),"")</f>
        <v>29900</v>
      </c>
      <c r="E280" s="152" t="s">
        <v>3485</v>
      </c>
      <c r="F280" s="152" t="s">
        <v>3486</v>
      </c>
      <c r="G280" s="4">
        <v>1.0</v>
      </c>
      <c r="H280" s="152" t="s">
        <v>7</v>
      </c>
      <c r="I280" s="153">
        <f>IFERROR(VLOOKUP(E280, 'Database Resto'!C:P, 13, FALSE),"")</f>
        <v>3150</v>
      </c>
      <c r="J280" s="154">
        <f t="shared" si="87"/>
        <v>3150000</v>
      </c>
      <c r="K280" s="154">
        <f>IFERROR(VLOOKUP(E280, 'Database Resto'!C:P, 13, FALSE)* G280, 0)</f>
        <v>3150</v>
      </c>
      <c r="L280" s="193">
        <f>IF(D280="","", IFERROR(SUM(K280:K291)/D280, ""))</f>
        <v>0.3674721073</v>
      </c>
      <c r="M280" s="212">
        <f>IF(D280="","", D280-SUM(K280:K291))</f>
        <v>18912.58399</v>
      </c>
      <c r="N280" s="196">
        <f t="shared" si="112"/>
        <v>0.6325278927</v>
      </c>
      <c r="O280" s="159"/>
      <c r="P280" s="156">
        <f t="shared" ref="P280:P291" si="114">IF(O280=0, G280*I280, G280*O280)</f>
        <v>3150</v>
      </c>
      <c r="Q280" s="240">
        <f>IF(D280="","", IFERROR(SUM(P280:P291)/D280, ""))</f>
        <v>0.3860412221</v>
      </c>
      <c r="R280" s="206">
        <f>IF(D280="","", D280-SUM(P280:P291))</f>
        <v>18357.36746</v>
      </c>
      <c r="S280" s="207">
        <f t="shared" si="113"/>
        <v>0.6139587779</v>
      </c>
    </row>
    <row r="281">
      <c r="A281" s="150"/>
      <c r="C281" s="136"/>
      <c r="D281" s="137"/>
      <c r="E281" s="152" t="s">
        <v>3518</v>
      </c>
      <c r="F281" s="152" t="s">
        <v>3577</v>
      </c>
      <c r="G281" s="4">
        <v>120.0</v>
      </c>
      <c r="H281" s="152" t="s">
        <v>56</v>
      </c>
      <c r="I281" s="153">
        <f>IFERROR(VLOOKUP(E281, 'Database Resto'!C:P, 13, FALSE),"")</f>
        <v>15.65</v>
      </c>
      <c r="J281" s="154">
        <f t="shared" si="87"/>
        <v>15650</v>
      </c>
      <c r="K281" s="154">
        <f>IFERROR(VLOOKUP(E281, 'Database Resto'!C:P, 13, FALSE)* G281, 0)</f>
        <v>1878</v>
      </c>
      <c r="L281" s="137"/>
      <c r="M281" s="137"/>
      <c r="N281" s="137"/>
      <c r="O281" s="159"/>
      <c r="P281" s="156">
        <f t="shared" si="114"/>
        <v>1878</v>
      </c>
      <c r="Q281" s="143"/>
      <c r="R281" s="137"/>
      <c r="S281" s="157"/>
    </row>
    <row r="282">
      <c r="A282" s="150"/>
      <c r="C282" s="136"/>
      <c r="D282" s="137"/>
      <c r="E282" s="152" t="s">
        <v>3520</v>
      </c>
      <c r="F282" s="152" t="s">
        <v>3521</v>
      </c>
      <c r="G282" s="4">
        <v>52.0</v>
      </c>
      <c r="H282" s="152" t="s">
        <v>56</v>
      </c>
      <c r="I282" s="153">
        <f>IFERROR(VLOOKUP(E282, 'Database Resto'!C:P, 13, FALSE),"")</f>
        <v>19.51270651</v>
      </c>
      <c r="J282" s="154">
        <f t="shared" si="87"/>
        <v>19512.70651</v>
      </c>
      <c r="K282" s="154">
        <f>IFERROR(VLOOKUP(E282, 'Database Resto'!C:P, 13, FALSE)* G282, 0)</f>
        <v>1014.660738</v>
      </c>
      <c r="L282" s="137"/>
      <c r="M282" s="137"/>
      <c r="N282" s="137"/>
      <c r="O282" s="159">
        <v>23.41524780681319</v>
      </c>
      <c r="P282" s="156">
        <f t="shared" si="114"/>
        <v>1217.592886</v>
      </c>
      <c r="Q282" s="143"/>
      <c r="R282" s="137"/>
      <c r="S282" s="157"/>
    </row>
    <row r="283">
      <c r="A283" s="150"/>
      <c r="C283" s="136"/>
      <c r="D283" s="137"/>
      <c r="E283" s="152" t="s">
        <v>3498</v>
      </c>
      <c r="F283" s="152" t="s">
        <v>3499</v>
      </c>
      <c r="G283" s="4">
        <v>50.0</v>
      </c>
      <c r="H283" s="152" t="s">
        <v>56</v>
      </c>
      <c r="I283" s="153">
        <f>IFERROR(VLOOKUP(E283, 'Database Resto'!C:P, 13, FALSE),"")</f>
        <v>27</v>
      </c>
      <c r="J283" s="154">
        <f t="shared" si="87"/>
        <v>27000</v>
      </c>
      <c r="K283" s="154">
        <f>IFERROR(VLOOKUP(E283, 'Database Resto'!C:P, 13, FALSE)* G283, 0)</f>
        <v>1350</v>
      </c>
      <c r="L283" s="137"/>
      <c r="M283" s="137"/>
      <c r="N283" s="137"/>
      <c r="O283" s="159"/>
      <c r="P283" s="156">
        <f t="shared" si="114"/>
        <v>1350</v>
      </c>
      <c r="Q283" s="143"/>
      <c r="R283" s="137"/>
      <c r="S283" s="157"/>
    </row>
    <row r="284">
      <c r="A284" s="150"/>
      <c r="C284" s="136"/>
      <c r="D284" s="137"/>
      <c r="E284" s="152" t="s">
        <v>3527</v>
      </c>
      <c r="F284" s="152" t="s">
        <v>3528</v>
      </c>
      <c r="G284" s="4">
        <v>65.0</v>
      </c>
      <c r="H284" s="152" t="s">
        <v>56</v>
      </c>
      <c r="I284" s="153">
        <f>IFERROR(VLOOKUP(E284, 'Database Resto'!C:P, 13, FALSE),"")</f>
        <v>22.01707119</v>
      </c>
      <c r="J284" s="154">
        <f t="shared" si="87"/>
        <v>22017.07119</v>
      </c>
      <c r="K284" s="154">
        <f>IFERROR(VLOOKUP(E284, 'Database Resto'!C:P, 13, FALSE)* G284, 0)</f>
        <v>1431.109627</v>
      </c>
      <c r="L284" s="137"/>
      <c r="M284" s="137"/>
      <c r="N284" s="137"/>
      <c r="O284" s="159">
        <v>26.420485428595846</v>
      </c>
      <c r="P284" s="156">
        <f t="shared" si="114"/>
        <v>1717.331553</v>
      </c>
      <c r="Q284" s="143"/>
      <c r="R284" s="137"/>
      <c r="S284" s="157"/>
    </row>
    <row r="285">
      <c r="A285" s="150"/>
      <c r="C285" s="136"/>
      <c r="D285" s="137"/>
      <c r="E285" s="152" t="s">
        <v>3529</v>
      </c>
      <c r="F285" s="152" t="s">
        <v>3530</v>
      </c>
      <c r="G285" s="4">
        <v>22.0</v>
      </c>
      <c r="H285" s="152" t="s">
        <v>56</v>
      </c>
      <c r="I285" s="153">
        <f>IFERROR(VLOOKUP(E285, 'Database Resto'!C:P, 13, FALSE),"")</f>
        <v>10.92328674</v>
      </c>
      <c r="J285" s="154">
        <f t="shared" si="87"/>
        <v>10923.28674</v>
      </c>
      <c r="K285" s="154">
        <f>IFERROR(VLOOKUP(E285, 'Database Resto'!C:P, 13, FALSE)* G285, 0)</f>
        <v>240.3123082</v>
      </c>
      <c r="L285" s="137"/>
      <c r="M285" s="137"/>
      <c r="N285" s="137"/>
      <c r="O285" s="159">
        <v>13.107944084555063</v>
      </c>
      <c r="P285" s="156">
        <f t="shared" si="114"/>
        <v>288.3747699</v>
      </c>
      <c r="Q285" s="143"/>
      <c r="R285" s="137"/>
      <c r="S285" s="157"/>
    </row>
    <row r="286">
      <c r="A286" s="150"/>
      <c r="C286" s="136"/>
      <c r="D286" s="137"/>
      <c r="E286" s="152" t="s">
        <v>3531</v>
      </c>
      <c r="F286" s="152" t="s">
        <v>2224</v>
      </c>
      <c r="G286" s="4">
        <v>15.0</v>
      </c>
      <c r="H286" s="152" t="s">
        <v>56</v>
      </c>
      <c r="I286" s="153">
        <f>IFERROR(VLOOKUP(E286, 'Database Resto'!C:P, 13, FALSE),"")</f>
        <v>6</v>
      </c>
      <c r="J286" s="154">
        <f t="shared" si="87"/>
        <v>6000</v>
      </c>
      <c r="K286" s="154">
        <f>IFERROR(VLOOKUP(E286, 'Database Resto'!C:P, 13, FALSE)* G286, 0)</f>
        <v>90</v>
      </c>
      <c r="L286" s="137"/>
      <c r="M286" s="137"/>
      <c r="N286" s="137"/>
      <c r="O286" s="159">
        <v>7.2</v>
      </c>
      <c r="P286" s="156">
        <f t="shared" si="114"/>
        <v>108</v>
      </c>
      <c r="Q286" s="143"/>
      <c r="R286" s="137"/>
      <c r="S286" s="157"/>
    </row>
    <row r="287">
      <c r="A287" s="150"/>
      <c r="C287" s="136"/>
      <c r="D287" s="137"/>
      <c r="E287" s="358" t="str">
        <f>IFERROR(__xludf.DUMMYFUNCTION("IF($C$4, FILTER(Pembungkus!B:E, Pembungkus!A:A=""Mie""), """")
"),"")</f>
        <v/>
      </c>
      <c r="F287" s="358"/>
      <c r="G287" s="359"/>
      <c r="H287" s="358"/>
      <c r="I287" s="242" t="str">
        <f>IFERROR(VLOOKUP(E287, 'Database Resto'!C:P, 13, FALSE),"")</f>
        <v/>
      </c>
      <c r="J287" s="243">
        <f t="shared" si="87"/>
        <v>0</v>
      </c>
      <c r="K287" s="243">
        <f>IFERROR(VLOOKUP(E287, 'Database Resto'!C:P, 13, FALSE)* G287, 0)</f>
        <v>0</v>
      </c>
      <c r="L287" s="137"/>
      <c r="M287" s="137"/>
      <c r="N287" s="137"/>
      <c r="O287" s="244" t="s">
        <v>733</v>
      </c>
      <c r="P287" s="166">
        <f t="shared" si="114"/>
        <v>0</v>
      </c>
      <c r="Q287" s="143"/>
      <c r="R287" s="137"/>
      <c r="S287" s="157"/>
    </row>
    <row r="288">
      <c r="A288" s="150"/>
      <c r="C288" s="136"/>
      <c r="D288" s="137"/>
      <c r="E288" s="358"/>
      <c r="F288" s="358"/>
      <c r="G288" s="359"/>
      <c r="H288" s="358"/>
      <c r="I288" s="242" t="str">
        <f>IFERROR(VLOOKUP(E288, 'Database Resto'!C:P, 13, FALSE),"")</f>
        <v/>
      </c>
      <c r="J288" s="243">
        <f t="shared" si="87"/>
        <v>0</v>
      </c>
      <c r="K288" s="243">
        <f>IFERROR(VLOOKUP(E288, 'Database Resto'!C:P, 13, FALSE)* G288, 0)</f>
        <v>0</v>
      </c>
      <c r="L288" s="137"/>
      <c r="M288" s="137"/>
      <c r="N288" s="137"/>
      <c r="O288" s="244" t="s">
        <v>733</v>
      </c>
      <c r="P288" s="166">
        <f t="shared" si="114"/>
        <v>0</v>
      </c>
      <c r="Q288" s="143"/>
      <c r="R288" s="137"/>
      <c r="S288" s="157"/>
    </row>
    <row r="289">
      <c r="A289" s="150"/>
      <c r="C289" s="136"/>
      <c r="D289" s="137"/>
      <c r="E289" s="358"/>
      <c r="F289" s="358"/>
      <c r="G289" s="359"/>
      <c r="H289" s="358"/>
      <c r="I289" s="242" t="str">
        <f>IFERROR(VLOOKUP(E289, 'Database Resto'!C:P, 13, FALSE),"")</f>
        <v/>
      </c>
      <c r="J289" s="243">
        <f t="shared" si="87"/>
        <v>0</v>
      </c>
      <c r="K289" s="243">
        <f>IFERROR(VLOOKUP(E289, 'Database Resto'!C:P, 13, FALSE)* G289, 0)</f>
        <v>0</v>
      </c>
      <c r="L289" s="137"/>
      <c r="M289" s="137"/>
      <c r="N289" s="137"/>
      <c r="O289" s="244" t="s">
        <v>733</v>
      </c>
      <c r="P289" s="166">
        <f t="shared" si="114"/>
        <v>0</v>
      </c>
      <c r="Q289" s="143"/>
      <c r="R289" s="137"/>
      <c r="S289" s="157"/>
    </row>
    <row r="290">
      <c r="A290" s="150"/>
      <c r="C290" s="136"/>
      <c r="D290" s="137"/>
      <c r="E290" s="358"/>
      <c r="F290" s="358"/>
      <c r="G290" s="359"/>
      <c r="H290" s="358"/>
      <c r="I290" s="242" t="str">
        <f>IFERROR(VLOOKUP(E290, 'Database Resto'!C:P, 13, FALSE),"")</f>
        <v/>
      </c>
      <c r="J290" s="243">
        <f t="shared" si="87"/>
        <v>0</v>
      </c>
      <c r="K290" s="243">
        <f>IFERROR(VLOOKUP(E290, 'Database Resto'!C:P, 13, FALSE)* G290, 0)</f>
        <v>0</v>
      </c>
      <c r="L290" s="137"/>
      <c r="M290" s="137"/>
      <c r="N290" s="137"/>
      <c r="O290" s="244" t="s">
        <v>733</v>
      </c>
      <c r="P290" s="166">
        <f t="shared" si="114"/>
        <v>0</v>
      </c>
      <c r="Q290" s="143"/>
      <c r="R290" s="137"/>
      <c r="S290" s="157"/>
    </row>
    <row r="291">
      <c r="A291" s="150"/>
      <c r="B291" s="99"/>
      <c r="C291" s="136"/>
      <c r="D291" s="137"/>
      <c r="E291" s="360" t="str">
        <f>IFERROR(__xludf.DUMMYFUNCTION("IF($E$3="""","""",IFERROR(FILTER(Pembungkus!B:E, Pembungkus!C:C=$E$3),""""))"),"MNMN.30100")</f>
        <v>MNMN.30100</v>
      </c>
      <c r="F291" s="360" t="str">
        <f>IFERROR(__xludf.DUMMYFUNCTION("""COMPUTED_VALUE"""),"Air Mineral")</f>
        <v>Air Mineral</v>
      </c>
      <c r="G291" s="361">
        <f>IFERROR(__xludf.DUMMYFUNCTION("""COMPUTED_VALUE"""),1.0)</f>
        <v>1</v>
      </c>
      <c r="H291" s="360" t="str">
        <f>IFERROR(__xludf.DUMMYFUNCTION("""COMPUTED_VALUE"""),"Btl")</f>
        <v>Btl</v>
      </c>
      <c r="I291" s="250">
        <f>IFERROR(VLOOKUP(E291, 'Database Resto'!C:P, 13, FALSE),"")</f>
        <v>1833.333333</v>
      </c>
      <c r="J291" s="252">
        <f t="shared" si="87"/>
        <v>1833333.333</v>
      </c>
      <c r="K291" s="252">
        <f>IFERROR(VLOOKUP(E291, 'Database Resto'!C:P, 13, FALSE)* G291, 0)</f>
        <v>1833.333333</v>
      </c>
      <c r="L291" s="137"/>
      <c r="M291" s="137"/>
      <c r="N291" s="137"/>
      <c r="O291" s="253"/>
      <c r="P291" s="254">
        <f t="shared" si="114"/>
        <v>1833.333333</v>
      </c>
      <c r="Q291" s="143"/>
      <c r="R291" s="137"/>
      <c r="S291" s="157"/>
    </row>
    <row r="292" ht="18.0" customHeight="1">
      <c r="A292" s="150"/>
      <c r="B292" s="169"/>
      <c r="C292" s="362"/>
      <c r="D292" s="363">
        <f>D280</f>
        <v>29900</v>
      </c>
      <c r="E292" s="172"/>
      <c r="F292" s="172"/>
      <c r="G292" s="174"/>
      <c r="H292" s="172"/>
      <c r="I292" s="175" t="str">
        <f>IFERROR(VLOOKUP(E292, 'Database Resto'!C:P, 13, FALSE),"")</f>
        <v/>
      </c>
      <c r="J292" s="364">
        <f t="shared" si="87"/>
        <v>0</v>
      </c>
      <c r="K292" s="176">
        <f>SUM(K280:K291)</f>
        <v>10987.41601</v>
      </c>
      <c r="L292" s="365">
        <f>IFERROR(K292/D280, 0)</f>
        <v>0.3674721073</v>
      </c>
      <c r="M292" s="366">
        <f>D280-K292</f>
        <v>18912.58399</v>
      </c>
      <c r="N292" s="367">
        <f t="shared" ref="N292:N293" si="115">IFERROR(M292/D292, )</f>
        <v>0.6325278927</v>
      </c>
      <c r="O292" s="180" t="s">
        <v>733</v>
      </c>
      <c r="P292" s="181">
        <f>SUM(P280:P291)</f>
        <v>11542.63254</v>
      </c>
      <c r="Q292" s="368">
        <f>IFERROR(P292/D280, 0)</f>
        <v>0.3860412221</v>
      </c>
      <c r="R292" s="369">
        <f>D280-P292</f>
        <v>18357.36746</v>
      </c>
      <c r="S292" s="370">
        <f t="shared" ref="S292:S293" si="116">IFERROR(R292/D292, )</f>
        <v>0.6139587779</v>
      </c>
      <c r="T292" s="205"/>
    </row>
    <row r="293">
      <c r="A293" s="150"/>
      <c r="B293" s="236" t="s">
        <v>3595</v>
      </c>
      <c r="C293" s="188" t="s">
        <v>3596</v>
      </c>
      <c r="D293" s="190">
        <f>IFERROR(VLOOKUP(B293, 'Database Resto'!C:P, 9, FALSE),"")</f>
        <v>29900</v>
      </c>
      <c r="E293" s="152" t="s">
        <v>3485</v>
      </c>
      <c r="F293" s="152" t="s">
        <v>3486</v>
      </c>
      <c r="G293" s="4">
        <v>2.0</v>
      </c>
      <c r="H293" s="152" t="s">
        <v>7</v>
      </c>
      <c r="I293" s="153">
        <f>IFERROR(VLOOKUP(E293, 'Database Resto'!C:P, 13, FALSE),"")</f>
        <v>3150</v>
      </c>
      <c r="J293" s="154">
        <f t="shared" si="87"/>
        <v>3150000</v>
      </c>
      <c r="K293" s="154">
        <f>IFERROR(VLOOKUP(E293, 'Database Resto'!C:P, 13, FALSE)* G293, 0)</f>
        <v>6300</v>
      </c>
      <c r="L293" s="193">
        <f>IF(D293="","", IFERROR(SUM(K293:K301)/D293, ""))</f>
        <v>0.4385061315</v>
      </c>
      <c r="M293" s="212">
        <f>IF(D293="","", D293-SUM(K293:K301))</f>
        <v>16788.66667</v>
      </c>
      <c r="N293" s="196">
        <f t="shared" si="115"/>
        <v>0.5614938685</v>
      </c>
      <c r="O293" s="159"/>
      <c r="P293" s="156">
        <f t="shared" ref="P293:P301" si="117">IF(O293=0, G293*I293, G293*O293)</f>
        <v>6300</v>
      </c>
      <c r="Q293" s="240">
        <f>IF(D293="","", IFERROR(SUM(P293:P301)/D293, ""))</f>
        <v>0.4385061315</v>
      </c>
      <c r="R293" s="206">
        <f>IF(D293="","", D293-SUM(P293:P301))</f>
        <v>16788.66667</v>
      </c>
      <c r="S293" s="207">
        <f t="shared" si="116"/>
        <v>0.5614938685</v>
      </c>
    </row>
    <row r="294">
      <c r="A294" s="150"/>
      <c r="C294" s="136"/>
      <c r="D294" s="137"/>
      <c r="E294" s="152" t="s">
        <v>3518</v>
      </c>
      <c r="F294" s="152" t="s">
        <v>3577</v>
      </c>
      <c r="G294" s="4">
        <v>120.0</v>
      </c>
      <c r="H294" s="152" t="s">
        <v>56</v>
      </c>
      <c r="I294" s="153">
        <f>IFERROR(VLOOKUP(E294, 'Database Resto'!C:P, 13, FALSE),"")</f>
        <v>15.65</v>
      </c>
      <c r="J294" s="154">
        <f t="shared" si="87"/>
        <v>15650</v>
      </c>
      <c r="K294" s="154">
        <f>IFERROR(VLOOKUP(E294, 'Database Resto'!C:P, 13, FALSE)* G294, 0)</f>
        <v>1878</v>
      </c>
      <c r="L294" s="137"/>
      <c r="M294" s="137"/>
      <c r="N294" s="137"/>
      <c r="O294" s="159"/>
      <c r="P294" s="156">
        <f t="shared" si="117"/>
        <v>1878</v>
      </c>
      <c r="Q294" s="143"/>
      <c r="R294" s="137"/>
      <c r="S294" s="157"/>
    </row>
    <row r="295">
      <c r="A295" s="150"/>
      <c r="C295" s="136"/>
      <c r="D295" s="137"/>
      <c r="E295" s="152" t="s">
        <v>3504</v>
      </c>
      <c r="F295" s="152" t="s">
        <v>3505</v>
      </c>
      <c r="G295" s="4">
        <v>50.0</v>
      </c>
      <c r="H295" s="152" t="s">
        <v>56</v>
      </c>
      <c r="I295" s="153">
        <f>IFERROR(VLOOKUP(E295, 'Database Resto'!C:P, 13, FALSE),"")</f>
        <v>35</v>
      </c>
      <c r="J295" s="154">
        <f t="shared" si="87"/>
        <v>35000</v>
      </c>
      <c r="K295" s="154">
        <f>IFERROR(VLOOKUP(E295, 'Database Resto'!C:P, 13, FALSE)* G295, 0)</f>
        <v>1750</v>
      </c>
      <c r="L295" s="137"/>
      <c r="M295" s="137"/>
      <c r="N295" s="137"/>
      <c r="O295" s="159"/>
      <c r="P295" s="156">
        <f t="shared" si="117"/>
        <v>1750</v>
      </c>
      <c r="Q295" s="143"/>
      <c r="R295" s="137"/>
      <c r="S295" s="157"/>
    </row>
    <row r="296">
      <c r="A296" s="150"/>
      <c r="C296" s="136"/>
      <c r="D296" s="137"/>
      <c r="E296" s="152" t="s">
        <v>3532</v>
      </c>
      <c r="F296" s="282" t="s">
        <v>3533</v>
      </c>
      <c r="G296" s="4">
        <v>50.0</v>
      </c>
      <c r="H296" s="152" t="s">
        <v>56</v>
      </c>
      <c r="I296" s="153">
        <f>IFERROR(VLOOKUP(E296, 'Database Resto'!C:P, 13, FALSE),"")</f>
        <v>27</v>
      </c>
      <c r="J296" s="154">
        <f t="shared" si="87"/>
        <v>27000</v>
      </c>
      <c r="K296" s="154">
        <f>IFERROR(VLOOKUP(E296, 'Database Resto'!C:P, 13, FALSE)* G296, 0)</f>
        <v>1350</v>
      </c>
      <c r="L296" s="137"/>
      <c r="M296" s="137"/>
      <c r="N296" s="137"/>
      <c r="O296" s="159"/>
      <c r="P296" s="156">
        <f t="shared" si="117"/>
        <v>1350</v>
      </c>
      <c r="Q296" s="143"/>
      <c r="R296" s="137"/>
      <c r="S296" s="157"/>
    </row>
    <row r="297">
      <c r="A297" s="150"/>
      <c r="C297" s="136"/>
      <c r="D297" s="137"/>
      <c r="E297" s="358" t="str">
        <f>IFERROR(__xludf.DUMMYFUNCTION("IF($C$4, FILTER(Pembungkus!B:E, Pembungkus!A:A=""Mie""), """")
"),"")</f>
        <v/>
      </c>
      <c r="F297" s="374"/>
      <c r="G297" s="359"/>
      <c r="H297" s="358"/>
      <c r="I297" s="242" t="str">
        <f>IFERROR(VLOOKUP(E297, 'Database Resto'!C:P, 13, FALSE),"")</f>
        <v/>
      </c>
      <c r="J297" s="243">
        <f t="shared" si="87"/>
        <v>0</v>
      </c>
      <c r="K297" s="243">
        <f>IFERROR(VLOOKUP(E297, 'Database Resto'!C:P, 13, FALSE)* G297, 0)</f>
        <v>0</v>
      </c>
      <c r="L297" s="137"/>
      <c r="M297" s="137"/>
      <c r="N297" s="137"/>
      <c r="O297" s="244" t="s">
        <v>733</v>
      </c>
      <c r="P297" s="166">
        <f t="shared" si="117"/>
        <v>0</v>
      </c>
      <c r="Q297" s="143"/>
      <c r="R297" s="137"/>
      <c r="S297" s="157"/>
    </row>
    <row r="298">
      <c r="A298" s="150"/>
      <c r="C298" s="136"/>
      <c r="D298" s="137"/>
      <c r="E298" s="358"/>
      <c r="F298" s="374"/>
      <c r="G298" s="359"/>
      <c r="H298" s="358"/>
      <c r="I298" s="242" t="str">
        <f>IFERROR(VLOOKUP(E298, 'Database Resto'!C:P, 13, FALSE),"")</f>
        <v/>
      </c>
      <c r="J298" s="243">
        <f t="shared" si="87"/>
        <v>0</v>
      </c>
      <c r="K298" s="243">
        <f>IFERROR(VLOOKUP(E298, 'Database Resto'!C:P, 13, FALSE)* G298, 0)</f>
        <v>0</v>
      </c>
      <c r="L298" s="137"/>
      <c r="M298" s="137"/>
      <c r="N298" s="137"/>
      <c r="O298" s="244" t="s">
        <v>733</v>
      </c>
      <c r="P298" s="166">
        <f t="shared" si="117"/>
        <v>0</v>
      </c>
      <c r="Q298" s="143"/>
      <c r="R298" s="137"/>
      <c r="S298" s="157"/>
    </row>
    <row r="299">
      <c r="A299" s="150"/>
      <c r="C299" s="136"/>
      <c r="D299" s="137"/>
      <c r="E299" s="358"/>
      <c r="F299" s="374"/>
      <c r="G299" s="359"/>
      <c r="H299" s="358"/>
      <c r="I299" s="242" t="str">
        <f>IFERROR(VLOOKUP(E299, 'Database Resto'!C:P, 13, FALSE),"")</f>
        <v/>
      </c>
      <c r="J299" s="243">
        <f t="shared" si="87"/>
        <v>0</v>
      </c>
      <c r="K299" s="243">
        <f>IFERROR(VLOOKUP(E299, 'Database Resto'!C:P, 13, FALSE)* G299, 0)</f>
        <v>0</v>
      </c>
      <c r="L299" s="137"/>
      <c r="M299" s="137"/>
      <c r="N299" s="137"/>
      <c r="O299" s="244" t="s">
        <v>733</v>
      </c>
      <c r="P299" s="166">
        <f t="shared" si="117"/>
        <v>0</v>
      </c>
      <c r="Q299" s="143"/>
      <c r="R299" s="137"/>
      <c r="S299" s="157"/>
    </row>
    <row r="300">
      <c r="A300" s="150"/>
      <c r="C300" s="136"/>
      <c r="D300" s="137"/>
      <c r="E300" s="358"/>
      <c r="F300" s="374"/>
      <c r="G300" s="359"/>
      <c r="H300" s="358"/>
      <c r="I300" s="242" t="str">
        <f>IFERROR(VLOOKUP(E300, 'Database Resto'!C:P, 13, FALSE),"")</f>
        <v/>
      </c>
      <c r="J300" s="243">
        <f t="shared" si="87"/>
        <v>0</v>
      </c>
      <c r="K300" s="243">
        <f>IFERROR(VLOOKUP(E300, 'Database Resto'!C:P, 13, FALSE)* G300, 0)</f>
        <v>0</v>
      </c>
      <c r="L300" s="137"/>
      <c r="M300" s="137"/>
      <c r="N300" s="137"/>
      <c r="O300" s="244" t="s">
        <v>733</v>
      </c>
      <c r="P300" s="166">
        <f t="shared" si="117"/>
        <v>0</v>
      </c>
      <c r="Q300" s="143"/>
      <c r="R300" s="137"/>
      <c r="S300" s="157"/>
    </row>
    <row r="301">
      <c r="A301" s="150"/>
      <c r="B301" s="99"/>
      <c r="C301" s="136"/>
      <c r="D301" s="137"/>
      <c r="E301" s="360" t="str">
        <f>IFERROR(__xludf.DUMMYFUNCTION("IF($E$3="""","""",IFERROR(FILTER(Pembungkus!B:E, Pembungkus!C:C=$E$3),""""))"),"MNMN.30100")</f>
        <v>MNMN.30100</v>
      </c>
      <c r="F301" s="375" t="str">
        <f>IFERROR(__xludf.DUMMYFUNCTION("""COMPUTED_VALUE"""),"Air Mineral")</f>
        <v>Air Mineral</v>
      </c>
      <c r="G301" s="361">
        <f>IFERROR(__xludf.DUMMYFUNCTION("""COMPUTED_VALUE"""),1.0)</f>
        <v>1</v>
      </c>
      <c r="H301" s="360" t="str">
        <f>IFERROR(__xludf.DUMMYFUNCTION("""COMPUTED_VALUE"""),"Btl")</f>
        <v>Btl</v>
      </c>
      <c r="I301" s="250">
        <f>IFERROR(VLOOKUP(E301, 'Database Resto'!C:P, 13, FALSE),"")</f>
        <v>1833.333333</v>
      </c>
      <c r="J301" s="252">
        <f t="shared" si="87"/>
        <v>1833333.333</v>
      </c>
      <c r="K301" s="252">
        <f>IFERROR(VLOOKUP(E301, 'Database Resto'!C:P, 13, FALSE)* G301, 0)</f>
        <v>1833.333333</v>
      </c>
      <c r="L301" s="137"/>
      <c r="M301" s="137"/>
      <c r="N301" s="137"/>
      <c r="O301" s="253"/>
      <c r="P301" s="254">
        <f t="shared" si="117"/>
        <v>1833.333333</v>
      </c>
      <c r="Q301" s="143"/>
      <c r="R301" s="137"/>
      <c r="S301" s="157"/>
    </row>
    <row r="302">
      <c r="A302" s="150"/>
      <c r="B302" s="169"/>
      <c r="C302" s="362"/>
      <c r="D302" s="363">
        <f>SUM(D293:D301)</f>
        <v>29900</v>
      </c>
      <c r="E302" s="172"/>
      <c r="F302" s="172"/>
      <c r="G302" s="174"/>
      <c r="H302" s="172"/>
      <c r="I302" s="180"/>
      <c r="J302" s="364">
        <f t="shared" si="87"/>
        <v>0</v>
      </c>
      <c r="K302" s="376">
        <f>SUM(K293:K301)</f>
        <v>13111.33333</v>
      </c>
      <c r="L302" s="365">
        <f>IFERROR(K302/D293, 0)</f>
        <v>0.4385061315</v>
      </c>
      <c r="M302" s="366">
        <f>D293-K302</f>
        <v>16788.66667</v>
      </c>
      <c r="N302" s="367">
        <f t="shared" ref="N302:N303" si="118">IFERROR(M302/D302, )</f>
        <v>0.5614938685</v>
      </c>
      <c r="O302" s="180" t="s">
        <v>733</v>
      </c>
      <c r="P302" s="181">
        <f>SUM(P293:P301)</f>
        <v>13111.33333</v>
      </c>
      <c r="Q302" s="368">
        <f>IFERROR(P302/D293, 0)</f>
        <v>0.4385061315</v>
      </c>
      <c r="R302" s="369">
        <f>D293-P302</f>
        <v>16788.66667</v>
      </c>
      <c r="S302" s="370">
        <f t="shared" ref="S302:S303" si="119">IFERROR(R302/D302, )</f>
        <v>0.5614938685</v>
      </c>
      <c r="T302" s="377"/>
    </row>
    <row r="303">
      <c r="A303" s="150"/>
      <c r="B303" s="236" t="s">
        <v>3597</v>
      </c>
      <c r="C303" s="188" t="s">
        <v>3598</v>
      </c>
      <c r="D303" s="190">
        <f>IFERROR(VLOOKUP(B303, 'Database Resto'!C:P, 9, FALSE),"")</f>
        <v>28900</v>
      </c>
      <c r="E303" s="152" t="s">
        <v>3514</v>
      </c>
      <c r="F303" s="152" t="s">
        <v>3515</v>
      </c>
      <c r="G303" s="4">
        <v>41.0</v>
      </c>
      <c r="H303" s="152" t="s">
        <v>56</v>
      </c>
      <c r="I303" s="153">
        <f>IFERROR(VLOOKUP(E303, 'Database Resto'!C:P, 13, FALSE),"")</f>
        <v>67</v>
      </c>
      <c r="J303" s="154">
        <f t="shared" si="87"/>
        <v>67000</v>
      </c>
      <c r="K303" s="154">
        <f>IFERROR(VLOOKUP(E303, 'Database Resto'!C:P, 13, FALSE)* G303, 0)</f>
        <v>2747</v>
      </c>
      <c r="L303" s="193">
        <f>IF(D303="","", IFERROR(SUM(K303:K314)/D303, ""))</f>
        <v>0.3852739103</v>
      </c>
      <c r="M303" s="212">
        <f>IF(D303="","", D303-SUM(K303:K314))</f>
        <v>17765.58399</v>
      </c>
      <c r="N303" s="196">
        <f t="shared" si="118"/>
        <v>0.6147260897</v>
      </c>
      <c r="O303" s="159"/>
      <c r="P303" s="156">
        <f t="shared" ref="P303:P314" si="120">IF(O303=0, G303*I303, G303*O303)</f>
        <v>2747</v>
      </c>
      <c r="Q303" s="240">
        <f>IF(D303="","", IFERROR(SUM(P303:P314)/D303, ""))</f>
        <v>0.4044855551</v>
      </c>
      <c r="R303" s="206">
        <f>IF(D303="","", D303-SUM(P303:P314))</f>
        <v>17210.36746</v>
      </c>
      <c r="S303" s="207">
        <f t="shared" si="119"/>
        <v>0.5955144449</v>
      </c>
    </row>
    <row r="304">
      <c r="A304" s="150"/>
      <c r="C304" s="136"/>
      <c r="D304" s="137"/>
      <c r="E304" s="152" t="s">
        <v>3518</v>
      </c>
      <c r="F304" s="152" t="s">
        <v>3577</v>
      </c>
      <c r="G304" s="4">
        <v>120.0</v>
      </c>
      <c r="H304" s="152" t="s">
        <v>56</v>
      </c>
      <c r="I304" s="153">
        <f>IFERROR(VLOOKUP(E304, 'Database Resto'!C:P, 13, FALSE),"")</f>
        <v>15.65</v>
      </c>
      <c r="J304" s="154">
        <f t="shared" si="87"/>
        <v>15650</v>
      </c>
      <c r="K304" s="154">
        <f>IFERROR(VLOOKUP(E304, 'Database Resto'!C:P, 13, FALSE)* G304, 0)</f>
        <v>1878</v>
      </c>
      <c r="L304" s="137"/>
      <c r="M304" s="137"/>
      <c r="N304" s="137"/>
      <c r="O304" s="159"/>
      <c r="P304" s="156">
        <f t="shared" si="120"/>
        <v>1878</v>
      </c>
      <c r="Q304" s="143"/>
      <c r="R304" s="137"/>
      <c r="S304" s="157"/>
    </row>
    <row r="305">
      <c r="A305" s="150"/>
      <c r="C305" s="136"/>
      <c r="D305" s="137"/>
      <c r="E305" s="152" t="s">
        <v>3520</v>
      </c>
      <c r="F305" s="152" t="s">
        <v>3521</v>
      </c>
      <c r="G305" s="4">
        <v>52.0</v>
      </c>
      <c r="H305" s="152" t="s">
        <v>56</v>
      </c>
      <c r="I305" s="153">
        <f>IFERROR(VLOOKUP(E305, 'Database Resto'!C:P, 13, FALSE),"")</f>
        <v>19.51270651</v>
      </c>
      <c r="J305" s="154">
        <f t="shared" si="87"/>
        <v>19512.70651</v>
      </c>
      <c r="K305" s="154">
        <f>IFERROR(VLOOKUP(E305, 'Database Resto'!C:P, 13, FALSE)* G305, 0)</f>
        <v>1014.660738</v>
      </c>
      <c r="L305" s="137"/>
      <c r="M305" s="137"/>
      <c r="N305" s="137"/>
      <c r="O305" s="159">
        <v>23.41524780681319</v>
      </c>
      <c r="P305" s="156">
        <f t="shared" si="120"/>
        <v>1217.592886</v>
      </c>
      <c r="Q305" s="143"/>
      <c r="R305" s="137"/>
      <c r="S305" s="157"/>
    </row>
    <row r="306">
      <c r="A306" s="150"/>
      <c r="C306" s="136"/>
      <c r="D306" s="137"/>
      <c r="E306" s="152" t="s">
        <v>3502</v>
      </c>
      <c r="F306" s="152" t="s">
        <v>3503</v>
      </c>
      <c r="G306" s="4">
        <v>50.0</v>
      </c>
      <c r="H306" s="152" t="s">
        <v>56</v>
      </c>
      <c r="I306" s="153">
        <f>IFERROR(VLOOKUP(E306, 'Database Resto'!C:P, 13, FALSE),"")</f>
        <v>38</v>
      </c>
      <c r="J306" s="154">
        <f t="shared" si="87"/>
        <v>38000</v>
      </c>
      <c r="K306" s="154">
        <f>IFERROR(VLOOKUP(E306, 'Database Resto'!C:P, 13, FALSE)* G306, 0)</f>
        <v>1900</v>
      </c>
      <c r="L306" s="137"/>
      <c r="M306" s="137"/>
      <c r="N306" s="137"/>
      <c r="O306" s="159"/>
      <c r="P306" s="156">
        <f t="shared" si="120"/>
        <v>1900</v>
      </c>
      <c r="Q306" s="143"/>
      <c r="R306" s="137"/>
      <c r="S306" s="157"/>
    </row>
    <row r="307">
      <c r="A307" s="150"/>
      <c r="C307" s="136"/>
      <c r="D307" s="137"/>
      <c r="E307" s="152" t="s">
        <v>3527</v>
      </c>
      <c r="F307" s="152" t="s">
        <v>3528</v>
      </c>
      <c r="G307" s="4">
        <v>65.0</v>
      </c>
      <c r="H307" s="152" t="s">
        <v>56</v>
      </c>
      <c r="I307" s="153">
        <f>IFERROR(VLOOKUP(E307, 'Database Resto'!C:P, 13, FALSE),"")</f>
        <v>22.01707119</v>
      </c>
      <c r="J307" s="154">
        <f t="shared" si="87"/>
        <v>22017.07119</v>
      </c>
      <c r="K307" s="154">
        <f>IFERROR(VLOOKUP(E307, 'Database Resto'!C:P, 13, FALSE)* G307, 0)</f>
        <v>1431.109627</v>
      </c>
      <c r="L307" s="137"/>
      <c r="M307" s="137"/>
      <c r="N307" s="137"/>
      <c r="O307" s="159">
        <v>26.420485428595846</v>
      </c>
      <c r="P307" s="156">
        <f t="shared" si="120"/>
        <v>1717.331553</v>
      </c>
      <c r="Q307" s="143"/>
      <c r="R307" s="137"/>
      <c r="S307" s="157"/>
    </row>
    <row r="308">
      <c r="A308" s="150"/>
      <c r="C308" s="136"/>
      <c r="D308" s="137"/>
      <c r="E308" s="152" t="s">
        <v>3529</v>
      </c>
      <c r="F308" s="152" t="s">
        <v>3530</v>
      </c>
      <c r="G308" s="4">
        <v>22.0</v>
      </c>
      <c r="H308" s="152" t="s">
        <v>56</v>
      </c>
      <c r="I308" s="153">
        <f>IFERROR(VLOOKUP(E308, 'Database Resto'!C:P, 13, FALSE),"")</f>
        <v>10.92328674</v>
      </c>
      <c r="J308" s="154">
        <f t="shared" si="87"/>
        <v>10923.28674</v>
      </c>
      <c r="K308" s="154">
        <f>IFERROR(VLOOKUP(E308, 'Database Resto'!C:P, 13, FALSE)* G308, 0)</f>
        <v>240.3123082</v>
      </c>
      <c r="L308" s="137"/>
      <c r="M308" s="137"/>
      <c r="N308" s="137"/>
      <c r="O308" s="159">
        <v>13.107944084555063</v>
      </c>
      <c r="P308" s="156">
        <f t="shared" si="120"/>
        <v>288.3747699</v>
      </c>
      <c r="Q308" s="143"/>
      <c r="R308" s="137"/>
      <c r="S308" s="157"/>
    </row>
    <row r="309">
      <c r="A309" s="150"/>
      <c r="C309" s="136"/>
      <c r="D309" s="137"/>
      <c r="E309" s="152" t="s">
        <v>3531</v>
      </c>
      <c r="F309" s="152" t="s">
        <v>2224</v>
      </c>
      <c r="G309" s="4">
        <v>15.0</v>
      </c>
      <c r="H309" s="152" t="s">
        <v>56</v>
      </c>
      <c r="I309" s="153">
        <f>IFERROR(VLOOKUP(E309, 'Database Resto'!C:P, 13, FALSE),"")</f>
        <v>6</v>
      </c>
      <c r="J309" s="154">
        <f t="shared" si="87"/>
        <v>6000</v>
      </c>
      <c r="K309" s="154">
        <f>IFERROR(VLOOKUP(E309, 'Database Resto'!C:P, 13, FALSE)* G309, 0)</f>
        <v>90</v>
      </c>
      <c r="L309" s="137"/>
      <c r="M309" s="137"/>
      <c r="N309" s="137"/>
      <c r="O309" s="159">
        <v>7.2</v>
      </c>
      <c r="P309" s="156">
        <f t="shared" si="120"/>
        <v>108</v>
      </c>
      <c r="Q309" s="143"/>
      <c r="R309" s="137"/>
      <c r="S309" s="157"/>
    </row>
    <row r="310">
      <c r="A310" s="150"/>
      <c r="C310" s="136"/>
      <c r="D310" s="137"/>
      <c r="E310" s="358" t="str">
        <f>IFERROR(__xludf.DUMMYFUNCTION("IF($C$4, FILTER(Pembungkus!B:E, Pembungkus!A:A=""Mie""), """")
"),"")</f>
        <v/>
      </c>
      <c r="F310" s="358"/>
      <c r="G310" s="359"/>
      <c r="H310" s="358"/>
      <c r="I310" s="242" t="str">
        <f>IFERROR(VLOOKUP(E310, 'Database Resto'!C:P, 13, FALSE),"")</f>
        <v/>
      </c>
      <c r="J310" s="243">
        <f t="shared" si="87"/>
        <v>0</v>
      </c>
      <c r="K310" s="243">
        <f>IFERROR(VLOOKUP(E310, 'Database Resto'!C:P, 13, FALSE)* G310, 0)</f>
        <v>0</v>
      </c>
      <c r="L310" s="137"/>
      <c r="M310" s="137"/>
      <c r="N310" s="137"/>
      <c r="O310" s="244" t="s">
        <v>733</v>
      </c>
      <c r="P310" s="166">
        <f t="shared" si="120"/>
        <v>0</v>
      </c>
      <c r="Q310" s="143"/>
      <c r="R310" s="137"/>
      <c r="S310" s="157"/>
    </row>
    <row r="311">
      <c r="A311" s="150"/>
      <c r="C311" s="136"/>
      <c r="D311" s="137"/>
      <c r="E311" s="358"/>
      <c r="F311" s="358"/>
      <c r="G311" s="359"/>
      <c r="H311" s="358"/>
      <c r="I311" s="242" t="str">
        <f>IFERROR(VLOOKUP(E311, 'Database Resto'!C:P, 13, FALSE),"")</f>
        <v/>
      </c>
      <c r="J311" s="243">
        <f t="shared" si="87"/>
        <v>0</v>
      </c>
      <c r="K311" s="243">
        <f>IFERROR(VLOOKUP(E311, 'Database Resto'!C:P, 13, FALSE)* G311, 0)</f>
        <v>0</v>
      </c>
      <c r="L311" s="137"/>
      <c r="M311" s="137"/>
      <c r="N311" s="137"/>
      <c r="O311" s="244" t="s">
        <v>733</v>
      </c>
      <c r="P311" s="166">
        <f t="shared" si="120"/>
        <v>0</v>
      </c>
      <c r="Q311" s="143"/>
      <c r="R311" s="137"/>
      <c r="S311" s="157"/>
    </row>
    <row r="312">
      <c r="A312" s="150"/>
      <c r="C312" s="136"/>
      <c r="D312" s="137"/>
      <c r="E312" s="358"/>
      <c r="F312" s="358"/>
      <c r="G312" s="359"/>
      <c r="H312" s="358"/>
      <c r="I312" s="242" t="str">
        <f>IFERROR(VLOOKUP(E312, 'Database Resto'!C:P, 13, FALSE),"")</f>
        <v/>
      </c>
      <c r="J312" s="243">
        <f t="shared" si="87"/>
        <v>0</v>
      </c>
      <c r="K312" s="243">
        <f>IFERROR(VLOOKUP(E312, 'Database Resto'!C:P, 13, FALSE)* G312, 0)</f>
        <v>0</v>
      </c>
      <c r="L312" s="137"/>
      <c r="M312" s="137"/>
      <c r="N312" s="137"/>
      <c r="O312" s="244" t="s">
        <v>733</v>
      </c>
      <c r="P312" s="166">
        <f t="shared" si="120"/>
        <v>0</v>
      </c>
      <c r="Q312" s="143"/>
      <c r="R312" s="137"/>
      <c r="S312" s="157"/>
    </row>
    <row r="313">
      <c r="A313" s="150"/>
      <c r="C313" s="136"/>
      <c r="D313" s="137"/>
      <c r="E313" s="358"/>
      <c r="F313" s="358"/>
      <c r="G313" s="359"/>
      <c r="H313" s="358"/>
      <c r="I313" s="242" t="str">
        <f>IFERROR(VLOOKUP(E313, 'Database Resto'!C:P, 13, FALSE),"")</f>
        <v/>
      </c>
      <c r="J313" s="243">
        <f t="shared" si="87"/>
        <v>0</v>
      </c>
      <c r="K313" s="243">
        <f>IFERROR(VLOOKUP(E313, 'Database Resto'!C:P, 13, FALSE)* G313, 0)</f>
        <v>0</v>
      </c>
      <c r="L313" s="137"/>
      <c r="M313" s="137"/>
      <c r="N313" s="137"/>
      <c r="O313" s="244" t="s">
        <v>733</v>
      </c>
      <c r="P313" s="166">
        <f t="shared" si="120"/>
        <v>0</v>
      </c>
      <c r="Q313" s="143"/>
      <c r="R313" s="137"/>
      <c r="S313" s="157"/>
    </row>
    <row r="314">
      <c r="A314" s="150"/>
      <c r="B314" s="99"/>
      <c r="C314" s="136"/>
      <c r="D314" s="137"/>
      <c r="E314" s="360" t="str">
        <f>IFERROR(__xludf.DUMMYFUNCTION("IF($E$3="""","""",IFERROR(FILTER(Pembungkus!B:E, Pembungkus!C:C=$E$3),""""))"),"MNMN.30100")</f>
        <v>MNMN.30100</v>
      </c>
      <c r="F314" s="360" t="str">
        <f>IFERROR(__xludf.DUMMYFUNCTION("""COMPUTED_VALUE"""),"Air Mineral")</f>
        <v>Air Mineral</v>
      </c>
      <c r="G314" s="361">
        <f>IFERROR(__xludf.DUMMYFUNCTION("""COMPUTED_VALUE"""),1.0)</f>
        <v>1</v>
      </c>
      <c r="H314" s="360" t="str">
        <f>IFERROR(__xludf.DUMMYFUNCTION("""COMPUTED_VALUE"""),"Btl")</f>
        <v>Btl</v>
      </c>
      <c r="I314" s="250">
        <f>IFERROR(VLOOKUP(E314, 'Database Resto'!C:P, 13, FALSE),"")</f>
        <v>1833.333333</v>
      </c>
      <c r="J314" s="252">
        <f t="shared" si="87"/>
        <v>1833333.333</v>
      </c>
      <c r="K314" s="252">
        <f>IFERROR(VLOOKUP(E314, 'Database Resto'!C:P, 13, FALSE)* G314, 0)</f>
        <v>1833.333333</v>
      </c>
      <c r="L314" s="137"/>
      <c r="M314" s="137"/>
      <c r="N314" s="137"/>
      <c r="O314" s="253"/>
      <c r="P314" s="254">
        <f t="shared" si="120"/>
        <v>1833.333333</v>
      </c>
      <c r="Q314" s="143"/>
      <c r="R314" s="137"/>
      <c r="S314" s="157"/>
    </row>
    <row r="315">
      <c r="A315" s="378"/>
      <c r="B315" s="379"/>
      <c r="C315" s="380"/>
      <c r="D315" s="381">
        <f>D303</f>
        <v>28900</v>
      </c>
      <c r="E315" s="382"/>
      <c r="F315" s="382"/>
      <c r="G315" s="383"/>
      <c r="H315" s="382"/>
      <c r="I315" s="384" t="str">
        <f>IFERROR(VLOOKUP(E315, 'Database Resto'!C:P, 13, FALSE),"")</f>
        <v/>
      </c>
      <c r="J315" s="385">
        <f t="shared" si="87"/>
        <v>0</v>
      </c>
      <c r="K315" s="386">
        <f>SUM(K303:K314)</f>
        <v>11134.41601</v>
      </c>
      <c r="L315" s="387">
        <f>IFERROR(K315/D303, 0)</f>
        <v>0.3852739103</v>
      </c>
      <c r="M315" s="388">
        <f>D303-K315</f>
        <v>17765.58399</v>
      </c>
      <c r="N315" s="389">
        <f t="shared" ref="N315:N322" si="121">IFERROR(M315/D315, )</f>
        <v>0.6147260897</v>
      </c>
      <c r="O315" s="390" t="s">
        <v>733</v>
      </c>
      <c r="P315" s="391">
        <f>SUM(P303:P314)</f>
        <v>11689.63254</v>
      </c>
      <c r="Q315" s="392">
        <f>IFERROR(P315/D303, 0)</f>
        <v>0.4044855551</v>
      </c>
      <c r="R315" s="393">
        <f>D303-P315</f>
        <v>17210.36746</v>
      </c>
      <c r="S315" s="394">
        <f t="shared" ref="S315:S322" si="122">IFERROR(R315/D315, )</f>
        <v>0.5955144449</v>
      </c>
      <c r="T315" s="205"/>
    </row>
    <row r="316" hidden="1">
      <c r="A316" s="395" t="s">
        <v>3599</v>
      </c>
      <c r="B316" s="122" t="s">
        <v>3600</v>
      </c>
      <c r="C316" s="396" t="s">
        <v>3601</v>
      </c>
      <c r="D316" s="397">
        <f>IFERROR(VLOOKUP(B316, 'Database Resto'!C:P, 9, FALSE),"")</f>
        <v>3000</v>
      </c>
      <c r="E316" s="398" t="s">
        <v>3518</v>
      </c>
      <c r="F316" s="398" t="s">
        <v>3577</v>
      </c>
      <c r="G316" s="399">
        <v>120.0</v>
      </c>
      <c r="H316" s="398" t="s">
        <v>56</v>
      </c>
      <c r="I316" s="400">
        <f>IFERROR(VLOOKUP(E316, 'Database Resto'!C:P, 13, FALSE),"")</f>
        <v>15.65</v>
      </c>
      <c r="J316" s="401">
        <f t="shared" si="87"/>
        <v>15650</v>
      </c>
      <c r="K316" s="401">
        <f>IFERROR(VLOOKUP(E316, 'Database Resto'!C:P, 13, FALSE)* G316, 0)</f>
        <v>1878</v>
      </c>
      <c r="L316" s="402">
        <f>IF(D316="","", IFERROR(IF(B316="", K316/D316, SUMIFS($K:$K, $B:$B, B316)/D316), ""))</f>
        <v>0.626</v>
      </c>
      <c r="M316" s="403">
        <f>D316-K316</f>
        <v>1122</v>
      </c>
      <c r="N316" s="404">
        <f t="shared" si="121"/>
        <v>0.374</v>
      </c>
      <c r="O316" s="405"/>
      <c r="P316" s="406">
        <f>IF(O316=0, G316*I316, G316*O316)</f>
        <v>1878</v>
      </c>
      <c r="Q316" s="407">
        <f>IF(D316="","", IFERROR(SUMIFS($P:$P, $B:$B, B316)/D316, 0))</f>
        <v>0.626</v>
      </c>
      <c r="R316" s="408">
        <f>IF(D316="","", D316 - SUMIFS($P:$P, $B:$B, B316))</f>
        <v>1122</v>
      </c>
      <c r="S316" s="404">
        <f t="shared" si="122"/>
        <v>0.374</v>
      </c>
    </row>
    <row r="317" ht="18.0" hidden="1" customHeight="1">
      <c r="A317" s="150"/>
      <c r="B317" s="169"/>
      <c r="C317" s="226"/>
      <c r="D317" s="171" t="str">
        <f>IFERROR(VLOOKUP(B317, 'Database Resto'!C:P, 9, FALSE),"")</f>
        <v/>
      </c>
      <c r="E317" s="172"/>
      <c r="F317" s="172"/>
      <c r="G317" s="174"/>
      <c r="H317" s="172"/>
      <c r="I317" s="175" t="str">
        <f>IFERROR(VLOOKUP(E317, 'Database Resto'!C:P, 13, FALSE),"")</f>
        <v/>
      </c>
      <c r="J317" s="227">
        <f t="shared" si="87"/>
        <v>0</v>
      </c>
      <c r="K317" s="176">
        <f>SUM(K316)</f>
        <v>1878</v>
      </c>
      <c r="L317" s="177">
        <f>IFERROR(K317/D316, 0)</f>
        <v>0.626</v>
      </c>
      <c r="M317" s="178">
        <f>D316-K317</f>
        <v>1122</v>
      </c>
      <c r="N317" s="179" t="str">
        <f t="shared" si="121"/>
        <v/>
      </c>
      <c r="O317" s="180" t="s">
        <v>733</v>
      </c>
      <c r="P317" s="181">
        <f>SUM(P316)</f>
        <v>1878</v>
      </c>
      <c r="Q317" s="211">
        <f>IFERROR(P317/D316, 0)</f>
        <v>0.626</v>
      </c>
      <c r="R317" s="184">
        <f>D316-P317</f>
        <v>1122</v>
      </c>
      <c r="S317" s="179" t="str">
        <f t="shared" si="122"/>
        <v/>
      </c>
    </row>
    <row r="318" hidden="1">
      <c r="A318" s="150"/>
      <c r="B318" s="151" t="s">
        <v>3602</v>
      </c>
      <c r="C318" s="290" t="s">
        <v>3603</v>
      </c>
      <c r="D318" s="291">
        <f>IFERROR(VLOOKUP(B318, 'Database Resto'!C:P, 9, FALSE),"")</f>
        <v>3000</v>
      </c>
      <c r="E318" s="152" t="s">
        <v>3527</v>
      </c>
      <c r="F318" s="152" t="s">
        <v>3528</v>
      </c>
      <c r="G318" s="4">
        <v>65.0</v>
      </c>
      <c r="H318" s="152" t="s">
        <v>56</v>
      </c>
      <c r="I318" s="153">
        <f>IFERROR(VLOOKUP(E318, 'Database Resto'!C:P, 13, FALSE),"")</f>
        <v>22.01707119</v>
      </c>
      <c r="J318" s="154">
        <f t="shared" si="87"/>
        <v>22017.07119</v>
      </c>
      <c r="K318" s="154">
        <f>IFERROR(VLOOKUP(E318, 'Database Resto'!C:P, 13, FALSE)* G318, 0)</f>
        <v>1431.109627</v>
      </c>
      <c r="L318" s="292">
        <f>IF(D318="","", IFERROR(IF(B318="", K318/D318, SUMIFS($K:$K, $B:$B, B318)/D318), ""))</f>
        <v>0.4770365425</v>
      </c>
      <c r="M318" s="293">
        <f>D318-K318</f>
        <v>1568.890373</v>
      </c>
      <c r="N318" s="294">
        <f t="shared" si="121"/>
        <v>0.5229634575</v>
      </c>
      <c r="O318" s="159">
        <v>26.420485428595846</v>
      </c>
      <c r="P318" s="156">
        <f>IF(O318=0, G318*I318, G318*O318)</f>
        <v>1717.331553</v>
      </c>
      <c r="Q318" s="409">
        <f>IF(D318="","", IFERROR(SUMIFS($P:$P, $B:$B, B318)/D318, 0))</f>
        <v>0.572443851</v>
      </c>
      <c r="R318" s="296">
        <f>IF(D318="","", D318 - SUMIFS($P:$P, $B:$B, B318))</f>
        <v>1282.668447</v>
      </c>
      <c r="S318" s="294">
        <f t="shared" si="122"/>
        <v>0.427556149</v>
      </c>
    </row>
    <row r="319" ht="18.0" hidden="1" customHeight="1">
      <c r="A319" s="150"/>
      <c r="B319" s="169"/>
      <c r="C319" s="226"/>
      <c r="D319" s="171" t="str">
        <f>IFERROR(VLOOKUP(B319, 'Database Resto'!C:P, 9, FALSE),"")</f>
        <v/>
      </c>
      <c r="E319" s="172"/>
      <c r="F319" s="172"/>
      <c r="G319" s="174"/>
      <c r="H319" s="172"/>
      <c r="I319" s="175" t="str">
        <f>IFERROR(VLOOKUP(E319, 'Database Resto'!C:P, 13, FALSE),"")</f>
        <v/>
      </c>
      <c r="J319" s="227">
        <f t="shared" si="87"/>
        <v>0</v>
      </c>
      <c r="K319" s="176">
        <f>SUM(K318)</f>
        <v>1431.109627</v>
      </c>
      <c r="L319" s="177">
        <f>IFERROR(K319/D318, 0)</f>
        <v>0.4770365425</v>
      </c>
      <c r="M319" s="178">
        <f>D318-K319</f>
        <v>1568.890373</v>
      </c>
      <c r="N319" s="179" t="str">
        <f t="shared" si="121"/>
        <v/>
      </c>
      <c r="O319" s="180" t="s">
        <v>733</v>
      </c>
      <c r="P319" s="181">
        <f>SUM(P318)</f>
        <v>1717.331553</v>
      </c>
      <c r="Q319" s="211">
        <f>IFERROR(P319/D318, 0)</f>
        <v>0.572443851</v>
      </c>
      <c r="R319" s="184">
        <f>D318-P319</f>
        <v>1282.668447</v>
      </c>
      <c r="S319" s="179" t="str">
        <f t="shared" si="122"/>
        <v/>
      </c>
    </row>
    <row r="320" hidden="1">
      <c r="A320" s="150"/>
      <c r="B320" s="151" t="s">
        <v>3604</v>
      </c>
      <c r="C320" s="290" t="s">
        <v>3605</v>
      </c>
      <c r="D320" s="291">
        <f>IFERROR(VLOOKUP(B320, 'Database Resto'!C:P, 9, FALSE),"")</f>
        <v>14000</v>
      </c>
      <c r="E320" s="152" t="s">
        <v>3485</v>
      </c>
      <c r="F320" s="152" t="s">
        <v>3486</v>
      </c>
      <c r="G320" s="4">
        <v>1.0</v>
      </c>
      <c r="H320" s="152" t="s">
        <v>7</v>
      </c>
      <c r="I320" s="153">
        <f>IFERROR(VLOOKUP(E320, 'Database Resto'!C:P, 13, FALSE),"")</f>
        <v>3150</v>
      </c>
      <c r="J320" s="154">
        <f>I320</f>
        <v>3150</v>
      </c>
      <c r="K320" s="154">
        <f>IFERROR(VLOOKUP(E320, 'Database Resto'!C:P, 13, FALSE)* G320, 0)</f>
        <v>3150</v>
      </c>
      <c r="L320" s="292">
        <f>IF(D320="","", IFERROR(IF(B320="", K320/D320, SUMIFS($K:$K, $B:$B, B320)/D320), ""))</f>
        <v>0.225</v>
      </c>
      <c r="M320" s="293">
        <f>D320-K320</f>
        <v>10850</v>
      </c>
      <c r="N320" s="294">
        <f t="shared" si="121"/>
        <v>0.775</v>
      </c>
      <c r="O320" s="159"/>
      <c r="P320" s="156">
        <f>IF(O320=0, G320*I320, G320*O320)</f>
        <v>3150</v>
      </c>
      <c r="Q320" s="409">
        <f>IF(D320="","", IFERROR(SUMIFS($P:$P, $B:$B, B320)/D320, 0))</f>
        <v>0.225</v>
      </c>
      <c r="R320" s="296">
        <f>IF(D320="","", D320 - SUMIFS($P:$P, $B:$B, B320))</f>
        <v>10850</v>
      </c>
      <c r="S320" s="294">
        <f t="shared" si="122"/>
        <v>0.775</v>
      </c>
    </row>
    <row r="321" ht="18.0" hidden="1" customHeight="1">
      <c r="A321" s="150"/>
      <c r="B321" s="169"/>
      <c r="C321" s="226"/>
      <c r="D321" s="171" t="str">
        <f>IFERROR(VLOOKUP(B321, 'Database Resto'!C:P, 9, FALSE),"")</f>
        <v/>
      </c>
      <c r="E321" s="172"/>
      <c r="F321" s="172"/>
      <c r="G321" s="174"/>
      <c r="H321" s="172"/>
      <c r="I321" s="175" t="str">
        <f>IFERROR(VLOOKUP(E321, 'Database Resto'!C:P, 13, FALSE),"")</f>
        <v/>
      </c>
      <c r="J321" s="227">
        <f t="shared" ref="J321:J336" si="123">I321*1000</f>
        <v>0</v>
      </c>
      <c r="K321" s="176">
        <f>SUM(K320)</f>
        <v>3150</v>
      </c>
      <c r="L321" s="177">
        <f>IFERROR(K321/D320, 0)</f>
        <v>0.225</v>
      </c>
      <c r="M321" s="178">
        <f>D320-K321</f>
        <v>10850</v>
      </c>
      <c r="N321" s="179" t="str">
        <f t="shared" si="121"/>
        <v/>
      </c>
      <c r="O321" s="180" t="s">
        <v>733</v>
      </c>
      <c r="P321" s="181">
        <f>SUM(P320)</f>
        <v>3150</v>
      </c>
      <c r="Q321" s="211">
        <f>IFERROR(P321/D320, 0)</f>
        <v>0.225</v>
      </c>
      <c r="R321" s="184">
        <f>D320-P321</f>
        <v>10850</v>
      </c>
      <c r="S321" s="179" t="str">
        <f t="shared" si="122"/>
        <v/>
      </c>
    </row>
    <row r="322" hidden="1">
      <c r="A322" s="150"/>
      <c r="B322" s="236" t="s">
        <v>3606</v>
      </c>
      <c r="C322" s="188" t="s">
        <v>3572</v>
      </c>
      <c r="D322" s="190">
        <f>IFERROR(VLOOKUP(B322, 'Database Resto'!C:P, 9, FALSE),"")</f>
        <v>10000</v>
      </c>
      <c r="E322" s="152" t="s">
        <v>196</v>
      </c>
      <c r="F322" s="152" t="s">
        <v>199</v>
      </c>
      <c r="G322" s="4">
        <v>80.0</v>
      </c>
      <c r="H322" s="152" t="s">
        <v>56</v>
      </c>
      <c r="I322" s="153">
        <f>IFERROR(VLOOKUP(E322, 'Database Resto'!C:P, 13, FALSE),"")</f>
        <v>30.01848285</v>
      </c>
      <c r="J322" s="154">
        <f t="shared" si="123"/>
        <v>30018.48285</v>
      </c>
      <c r="K322" s="154">
        <f>IFERROR(VLOOKUP(E322, 'Database Resto'!C:P, 13, FALSE)* G322, 0)</f>
        <v>2401.478628</v>
      </c>
      <c r="L322" s="193">
        <f>IF(D322="","", IFERROR(IF(B322="", K322/D322, SUMIFS($K:$K, $B:$B, B322)/D322), ""))</f>
        <v>0.2401478628</v>
      </c>
      <c r="M322" s="212">
        <f>D322-SUM(K322:K327)</f>
        <v>-1988.671163</v>
      </c>
      <c r="N322" s="196">
        <f t="shared" si="121"/>
        <v>-0.1988671163</v>
      </c>
      <c r="O322" s="159">
        <v>36.02217942069783</v>
      </c>
      <c r="P322" s="156">
        <f t="shared" ref="P322:P327" si="124">IF(O322=0, G322*I322, G322*O322)</f>
        <v>2881.774354</v>
      </c>
      <c r="Q322" s="200">
        <f>IF(D322="","", IFERROR(SUMIFS($P:$P, $B:$B, B322)/D322, 0))</f>
        <v>0.2881774354</v>
      </c>
      <c r="R322" s="206">
        <f>IF(D322="","", D322 - SUMIFS($P:$P, $B:$B, B322))</f>
        <v>7118.225646</v>
      </c>
      <c r="S322" s="196">
        <f t="shared" si="122"/>
        <v>0.7118225646</v>
      </c>
    </row>
    <row r="323" hidden="1">
      <c r="A323" s="150"/>
      <c r="C323" s="136"/>
      <c r="D323" s="137"/>
      <c r="E323" s="152" t="s">
        <v>438</v>
      </c>
      <c r="F323" s="152" t="s">
        <v>440</v>
      </c>
      <c r="G323" s="4">
        <v>95.0</v>
      </c>
      <c r="H323" s="152" t="s">
        <v>56</v>
      </c>
      <c r="I323" s="153">
        <f>IFERROR(VLOOKUP(E323, 'Database Resto'!C:P, 13, FALSE),"")</f>
        <v>25</v>
      </c>
      <c r="J323" s="154">
        <f t="shared" si="123"/>
        <v>25000</v>
      </c>
      <c r="K323" s="154">
        <f>IFERROR(VLOOKUP(E323, 'Database Resto'!C:P, 13, FALSE)* G323, 0)</f>
        <v>2375</v>
      </c>
      <c r="L323" s="137"/>
      <c r="M323" s="137"/>
      <c r="N323" s="137"/>
      <c r="O323" s="159"/>
      <c r="P323" s="156">
        <f t="shared" si="124"/>
        <v>2375</v>
      </c>
      <c r="Q323" s="157"/>
      <c r="R323" s="137"/>
      <c r="S323" s="137"/>
    </row>
    <row r="324" hidden="1">
      <c r="A324" s="150"/>
      <c r="C324" s="136"/>
      <c r="D324" s="137"/>
      <c r="E324" s="152" t="s">
        <v>503</v>
      </c>
      <c r="F324" s="152" t="s">
        <v>506</v>
      </c>
      <c r="G324" s="4">
        <v>80.0</v>
      </c>
      <c r="H324" s="152" t="s">
        <v>56</v>
      </c>
      <c r="I324" s="153">
        <f>IFERROR(VLOOKUP(E324, 'Database Resto'!C:P, 13, FALSE),"")</f>
        <v>18</v>
      </c>
      <c r="J324" s="154">
        <f t="shared" si="123"/>
        <v>18000</v>
      </c>
      <c r="K324" s="154">
        <f>IFERROR(VLOOKUP(E324, 'Database Resto'!C:P, 13, FALSE)* G324, 0)</f>
        <v>1440</v>
      </c>
      <c r="L324" s="137"/>
      <c r="M324" s="137"/>
      <c r="N324" s="137"/>
      <c r="O324" s="159"/>
      <c r="P324" s="156">
        <f t="shared" si="124"/>
        <v>1440</v>
      </c>
      <c r="Q324" s="157"/>
      <c r="R324" s="137"/>
      <c r="S324" s="137"/>
    </row>
    <row r="325" hidden="1">
      <c r="A325" s="150"/>
      <c r="C325" s="136"/>
      <c r="D325" s="137"/>
      <c r="E325" s="152" t="s">
        <v>551</v>
      </c>
      <c r="F325" s="152" t="s">
        <v>554</v>
      </c>
      <c r="G325" s="4">
        <v>80.0</v>
      </c>
      <c r="H325" s="152" t="s">
        <v>56</v>
      </c>
      <c r="I325" s="153">
        <f>IFERROR(VLOOKUP(E325, 'Database Resto'!C:P, 13, FALSE),"")</f>
        <v>25</v>
      </c>
      <c r="J325" s="154">
        <f t="shared" si="123"/>
        <v>25000</v>
      </c>
      <c r="K325" s="154">
        <f>IFERROR(VLOOKUP(E325, 'Database Resto'!C:P, 13, FALSE)* G325, 0)</f>
        <v>2000</v>
      </c>
      <c r="L325" s="137"/>
      <c r="M325" s="137"/>
      <c r="N325" s="137"/>
      <c r="O325" s="159"/>
      <c r="P325" s="156">
        <f t="shared" si="124"/>
        <v>2000</v>
      </c>
      <c r="Q325" s="157"/>
      <c r="R325" s="137"/>
      <c r="S325" s="137"/>
    </row>
    <row r="326" hidden="1">
      <c r="A326" s="150"/>
      <c r="C326" s="136"/>
      <c r="D326" s="137"/>
      <c r="E326" s="152" t="s">
        <v>584</v>
      </c>
      <c r="F326" s="152" t="s">
        <v>585</v>
      </c>
      <c r="G326" s="4">
        <v>80.0</v>
      </c>
      <c r="H326" s="152" t="s">
        <v>56</v>
      </c>
      <c r="I326" s="153">
        <f>IFERROR(VLOOKUP(E326, 'Database Resto'!C:P, 13, FALSE),"")</f>
        <v>25.23527994</v>
      </c>
      <c r="J326" s="154">
        <f t="shared" si="123"/>
        <v>25235.27994</v>
      </c>
      <c r="K326" s="154">
        <f>IFERROR(VLOOKUP(E326, 'Database Resto'!C:P, 13, FALSE)* G326, 0)</f>
        <v>2018.822395</v>
      </c>
      <c r="L326" s="137"/>
      <c r="M326" s="137"/>
      <c r="N326" s="137"/>
      <c r="O326" s="159">
        <v>30.282335931457133</v>
      </c>
      <c r="P326" s="156">
        <f t="shared" si="124"/>
        <v>2422.586875</v>
      </c>
      <c r="Q326" s="157"/>
      <c r="R326" s="137"/>
      <c r="S326" s="137"/>
    </row>
    <row r="327" hidden="1">
      <c r="A327" s="150"/>
      <c r="B327" s="99"/>
      <c r="C327" s="66"/>
      <c r="D327" s="67"/>
      <c r="E327" s="152" t="s">
        <v>627</v>
      </c>
      <c r="F327" s="152" t="s">
        <v>628</v>
      </c>
      <c r="G327" s="4">
        <v>80.0</v>
      </c>
      <c r="H327" s="152" t="s">
        <v>56</v>
      </c>
      <c r="I327" s="153">
        <f>IFERROR(VLOOKUP(E327, 'Database Resto'!C:P, 13, FALSE),"")</f>
        <v>21.91712674</v>
      </c>
      <c r="J327" s="154">
        <f t="shared" si="123"/>
        <v>21917.12674</v>
      </c>
      <c r="K327" s="154">
        <f>IFERROR(VLOOKUP(E327, 'Database Resto'!C:P, 13, FALSE)* G327, 0)</f>
        <v>1753.370139</v>
      </c>
      <c r="L327" s="67"/>
      <c r="M327" s="67"/>
      <c r="N327" s="67"/>
      <c r="O327" s="159">
        <v>26.300552090483155</v>
      </c>
      <c r="P327" s="156">
        <f t="shared" si="124"/>
        <v>2104.044167</v>
      </c>
      <c r="Q327" s="168"/>
      <c r="R327" s="67"/>
      <c r="S327" s="67"/>
    </row>
    <row r="328" ht="18.0" hidden="1" customHeight="1">
      <c r="A328" s="109"/>
      <c r="B328" s="169"/>
      <c r="C328" s="226"/>
      <c r="D328" s="171" t="str">
        <f>IFERROR(VLOOKUP(B328, 'Database Resto'!C:P, 9, FALSE),"")</f>
        <v/>
      </c>
      <c r="E328" s="172"/>
      <c r="F328" s="172"/>
      <c r="G328" s="174"/>
      <c r="H328" s="172"/>
      <c r="I328" s="175" t="str">
        <f>IFERROR(VLOOKUP(E328, 'Database Resto'!C:P, 13, FALSE),"")</f>
        <v/>
      </c>
      <c r="J328" s="227">
        <f t="shared" si="123"/>
        <v>0</v>
      </c>
      <c r="K328" s="176">
        <f>SUM(K322:K327)</f>
        <v>11988.67116</v>
      </c>
      <c r="L328" s="177">
        <f>IFERROR(K328/D322, 0)</f>
        <v>1.198867116</v>
      </c>
      <c r="M328" s="178">
        <f>D322-K328</f>
        <v>-1988.671163</v>
      </c>
      <c r="N328" s="179" t="str">
        <f t="shared" ref="N328:N385" si="125">IFERROR(M328/D328, )</f>
        <v/>
      </c>
      <c r="O328" s="180" t="s">
        <v>733</v>
      </c>
      <c r="P328" s="181">
        <f>SUM(P322:P327)</f>
        <v>13223.4054</v>
      </c>
      <c r="Q328" s="211">
        <f>IFERROR(P328/D322, 0)</f>
        <v>1.32234054</v>
      </c>
      <c r="R328" s="184">
        <f>D322-P328</f>
        <v>-3223.405395</v>
      </c>
      <c r="S328" s="179" t="str">
        <f t="shared" ref="S328:S385" si="126">IFERROR(R328/D328, )</f>
        <v/>
      </c>
    </row>
    <row r="329" hidden="1">
      <c r="A329" s="235" t="s">
        <v>3599</v>
      </c>
      <c r="B329" s="151" t="s">
        <v>3607</v>
      </c>
      <c r="C329" s="290" t="s">
        <v>3608</v>
      </c>
      <c r="D329" s="291">
        <f>IFERROR(VLOOKUP(B329, 'Database Resto'!C:P, 9, FALSE),"")</f>
        <v>11000</v>
      </c>
      <c r="E329" s="152" t="s">
        <v>3524</v>
      </c>
      <c r="F329" s="152" t="s">
        <v>3609</v>
      </c>
      <c r="G329" s="4">
        <v>50.0</v>
      </c>
      <c r="H329" s="152" t="s">
        <v>56</v>
      </c>
      <c r="I329" s="153">
        <f>IFERROR(VLOOKUP(E329, 'Database Resto'!C:P, 13, FALSE),"")</f>
        <v>23.625</v>
      </c>
      <c r="J329" s="154">
        <f t="shared" si="123"/>
        <v>23625</v>
      </c>
      <c r="K329" s="154">
        <f>IFERROR(VLOOKUP(E329, 'Database Resto'!C:P, 13, FALSE)* G329, 0)</f>
        <v>1181.25</v>
      </c>
      <c r="L329" s="292">
        <f>IF(D329="","", IFERROR(IF(B329="", K329/D329, SUMIFS($K:$K, $B:$B, B329)/D329), ""))</f>
        <v>0.1073863636</v>
      </c>
      <c r="M329" s="293">
        <f>D329-K329</f>
        <v>9818.75</v>
      </c>
      <c r="N329" s="294">
        <f t="shared" si="125"/>
        <v>0.8926136364</v>
      </c>
      <c r="O329" s="159">
        <v>25.9875</v>
      </c>
      <c r="P329" s="156">
        <f>IF(O329=0, G329*I329, G329*O329)</f>
        <v>1299.375</v>
      </c>
      <c r="Q329" s="409">
        <f>IF(D329="","", IFERROR(SUMIFS($P:$P, $B:$B, B329)/D329, 0))</f>
        <v>0.118125</v>
      </c>
      <c r="R329" s="296">
        <f>IF(D329="","", D329 - SUMIFS($P:$P, $B:$B, B329))</f>
        <v>9700.625</v>
      </c>
      <c r="S329" s="294">
        <f t="shared" si="126"/>
        <v>0.881875</v>
      </c>
    </row>
    <row r="330" ht="18.0" hidden="1" customHeight="1">
      <c r="A330" s="150"/>
      <c r="B330" s="169"/>
      <c r="C330" s="226"/>
      <c r="D330" s="171" t="str">
        <f>IFERROR(VLOOKUP(B330, 'Database Resto'!C:P, 9, FALSE),"")</f>
        <v/>
      </c>
      <c r="E330" s="172"/>
      <c r="F330" s="172"/>
      <c r="G330" s="174"/>
      <c r="H330" s="172"/>
      <c r="I330" s="175" t="str">
        <f>IFERROR(VLOOKUP(E330, 'Database Resto'!C:P, 13, FALSE),"")</f>
        <v/>
      </c>
      <c r="J330" s="227">
        <f t="shared" si="123"/>
        <v>0</v>
      </c>
      <c r="K330" s="176">
        <f>SUM(K329)</f>
        <v>1181.25</v>
      </c>
      <c r="L330" s="177">
        <f>IFERROR(K330/D329, 0)</f>
        <v>0.1073863636</v>
      </c>
      <c r="M330" s="178">
        <f>D329-K330</f>
        <v>9818.75</v>
      </c>
      <c r="N330" s="179" t="str">
        <f t="shared" si="125"/>
        <v/>
      </c>
      <c r="O330" s="180" t="s">
        <v>733</v>
      </c>
      <c r="P330" s="181">
        <f>SUM(P329)</f>
        <v>1299.375</v>
      </c>
      <c r="Q330" s="211">
        <f>IFERROR(P330/D329, 0)</f>
        <v>0.118125</v>
      </c>
      <c r="R330" s="184">
        <f>D329-P330</f>
        <v>9700.625</v>
      </c>
      <c r="S330" s="179" t="str">
        <f t="shared" si="126"/>
        <v/>
      </c>
    </row>
    <row r="331" hidden="1">
      <c r="A331" s="150"/>
      <c r="B331" s="151" t="s">
        <v>3610</v>
      </c>
      <c r="C331" s="290" t="s">
        <v>3611</v>
      </c>
      <c r="D331" s="291">
        <f>IFERROR(VLOOKUP(B331, 'Database Resto'!C:P, 9, FALSE),"")</f>
        <v>9000</v>
      </c>
      <c r="E331" s="152" t="s">
        <v>3524</v>
      </c>
      <c r="F331" s="152" t="s">
        <v>3609</v>
      </c>
      <c r="G331" s="4">
        <v>100.0</v>
      </c>
      <c r="H331" s="152" t="s">
        <v>56</v>
      </c>
      <c r="I331" s="153">
        <f>IFERROR(VLOOKUP(E331, 'Database Resto'!C:P, 13, FALSE),"")</f>
        <v>23.625</v>
      </c>
      <c r="J331" s="154">
        <f t="shared" si="123"/>
        <v>23625</v>
      </c>
      <c r="K331" s="154">
        <f>IFERROR(VLOOKUP(E331, 'Database Resto'!C:P, 13, FALSE)* G331, 0)</f>
        <v>2362.5</v>
      </c>
      <c r="L331" s="292">
        <f>IF(D331="","", IFERROR(IF(B331="", K331/D331, SUMIFS($K:$K, $B:$B, B331)/D331), ""))</f>
        <v>0.2625</v>
      </c>
      <c r="M331" s="293">
        <f>D331-K331</f>
        <v>6637.5</v>
      </c>
      <c r="N331" s="294">
        <f t="shared" si="125"/>
        <v>0.7375</v>
      </c>
      <c r="O331" s="159">
        <v>25.9875</v>
      </c>
      <c r="P331" s="156">
        <f>IF(O331=0, G331*I331, G331*O331)</f>
        <v>2598.75</v>
      </c>
      <c r="Q331" s="409">
        <f>IF(D331="","", IFERROR(SUMIFS($P:$P, $B:$B, B331)/D331, 0))</f>
        <v>0.28875</v>
      </c>
      <c r="R331" s="296">
        <f>IF(D331="","", D331 - SUMIFS($P:$P, $B:$B, B331))</f>
        <v>6401.25</v>
      </c>
      <c r="S331" s="294">
        <f t="shared" si="126"/>
        <v>0.71125</v>
      </c>
    </row>
    <row r="332" ht="18.0" hidden="1" customHeight="1">
      <c r="A332" s="150"/>
      <c r="B332" s="169"/>
      <c r="C332" s="226"/>
      <c r="D332" s="171" t="str">
        <f>IFERROR(VLOOKUP(B332, 'Database Resto'!C:P, 9, FALSE),"")</f>
        <v/>
      </c>
      <c r="E332" s="172"/>
      <c r="F332" s="172"/>
      <c r="G332" s="174"/>
      <c r="H332" s="172"/>
      <c r="I332" s="175" t="str">
        <f>IFERROR(VLOOKUP(E332, 'Database Resto'!C:P, 13, FALSE),"")</f>
        <v/>
      </c>
      <c r="J332" s="227">
        <f t="shared" si="123"/>
        <v>0</v>
      </c>
      <c r="K332" s="176">
        <f>SUM(K331)</f>
        <v>2362.5</v>
      </c>
      <c r="L332" s="177">
        <f>IFERROR(K332/D331, 0)</f>
        <v>0.2625</v>
      </c>
      <c r="M332" s="178">
        <f>D331-K332</f>
        <v>6637.5</v>
      </c>
      <c r="N332" s="179" t="str">
        <f t="shared" si="125"/>
        <v/>
      </c>
      <c r="O332" s="180" t="s">
        <v>733</v>
      </c>
      <c r="P332" s="181">
        <f>SUM(P331)</f>
        <v>2598.75</v>
      </c>
      <c r="Q332" s="211">
        <f>IFERROR(P332/D331, 0)</f>
        <v>0.28875</v>
      </c>
      <c r="R332" s="184">
        <f>D331-P332</f>
        <v>6401.25</v>
      </c>
      <c r="S332" s="179" t="str">
        <f t="shared" si="126"/>
        <v/>
      </c>
    </row>
    <row r="333" hidden="1">
      <c r="A333" s="150"/>
      <c r="B333" s="151" t="s">
        <v>3612</v>
      </c>
      <c r="C333" s="290" t="s">
        <v>3613</v>
      </c>
      <c r="D333" s="291">
        <f>IFERROR(VLOOKUP(B333, 'Database Resto'!C:P, 9, FALSE),"")</f>
        <v>13000</v>
      </c>
      <c r="E333" s="152" t="s">
        <v>3524</v>
      </c>
      <c r="F333" s="152" t="s">
        <v>3609</v>
      </c>
      <c r="G333" s="4">
        <v>100.0</v>
      </c>
      <c r="H333" s="152" t="s">
        <v>56</v>
      </c>
      <c r="I333" s="153">
        <f>IFERROR(VLOOKUP(E333, 'Database Resto'!C:P, 13, FALSE),"")</f>
        <v>23.625</v>
      </c>
      <c r="J333" s="154">
        <f t="shared" si="123"/>
        <v>23625</v>
      </c>
      <c r="K333" s="154">
        <f>IFERROR(VLOOKUP(E333, 'Database Resto'!C:P, 13, FALSE)* G333, 0)</f>
        <v>2362.5</v>
      </c>
      <c r="L333" s="292">
        <f>IF(D333="","", IFERROR(IF(B333="", K333/D333, SUMIFS($K:$K, $B:$B, B333)/D333), ""))</f>
        <v>0.1817307692</v>
      </c>
      <c r="M333" s="293">
        <f>D333-K333</f>
        <v>10637.5</v>
      </c>
      <c r="N333" s="294">
        <f t="shared" si="125"/>
        <v>0.8182692308</v>
      </c>
      <c r="O333" s="159">
        <v>25.9875</v>
      </c>
      <c r="P333" s="156">
        <f>IF(O333=0, G333*I333, G333*O333)</f>
        <v>2598.75</v>
      </c>
      <c r="Q333" s="409">
        <f>IF(D333="","", IFERROR(SUMIFS($P:$P, $B:$B, B333)/D333, 0))</f>
        <v>0.1999038462</v>
      </c>
      <c r="R333" s="296">
        <f>IF(D333="","", D333 - SUMIFS($P:$P, $B:$B, B333))</f>
        <v>10401.25</v>
      </c>
      <c r="S333" s="294">
        <f t="shared" si="126"/>
        <v>0.8000961538</v>
      </c>
    </row>
    <row r="334" ht="18.0" hidden="1" customHeight="1">
      <c r="A334" s="150"/>
      <c r="B334" s="169"/>
      <c r="C334" s="226"/>
      <c r="D334" s="171" t="str">
        <f>IFERROR(VLOOKUP(B334, 'Database Resto'!C:P, 9, FALSE),"")</f>
        <v/>
      </c>
      <c r="E334" s="172"/>
      <c r="F334" s="172"/>
      <c r="G334" s="174"/>
      <c r="H334" s="172"/>
      <c r="I334" s="175" t="str">
        <f>IFERROR(VLOOKUP(E334, 'Database Resto'!C:P, 13, FALSE),"")</f>
        <v/>
      </c>
      <c r="J334" s="227">
        <f t="shared" si="123"/>
        <v>0</v>
      </c>
      <c r="K334" s="176">
        <f>SUM(K333)</f>
        <v>2362.5</v>
      </c>
      <c r="L334" s="177">
        <f>IFERROR(K334/D333, 0)</f>
        <v>0.1817307692</v>
      </c>
      <c r="M334" s="178">
        <f>D333-K334</f>
        <v>10637.5</v>
      </c>
      <c r="N334" s="179" t="str">
        <f t="shared" si="125"/>
        <v/>
      </c>
      <c r="O334" s="180" t="s">
        <v>733</v>
      </c>
      <c r="P334" s="181">
        <f>SUM(P333)</f>
        <v>2598.75</v>
      </c>
      <c r="Q334" s="211">
        <f>IFERROR(P334/D333, 0)</f>
        <v>0.1999038462</v>
      </c>
      <c r="R334" s="184">
        <f>D333-P334</f>
        <v>10401.25</v>
      </c>
      <c r="S334" s="179" t="str">
        <f t="shared" si="126"/>
        <v/>
      </c>
    </row>
    <row r="335" hidden="1">
      <c r="A335" s="150"/>
      <c r="B335" s="151" t="s">
        <v>3614</v>
      </c>
      <c r="C335" s="290" t="s">
        <v>3615</v>
      </c>
      <c r="D335" s="291">
        <f>IFERROR(VLOOKUP(B335, 'Database Resto'!C:P, 9, FALSE),"")</f>
        <v>13000</v>
      </c>
      <c r="E335" s="152" t="s">
        <v>3524</v>
      </c>
      <c r="F335" s="152" t="s">
        <v>3609</v>
      </c>
      <c r="G335" s="4">
        <v>100.0</v>
      </c>
      <c r="H335" s="152" t="s">
        <v>56</v>
      </c>
      <c r="I335" s="153">
        <f>IFERROR(VLOOKUP(E335, 'Database Resto'!C:P, 13, FALSE),"")</f>
        <v>23.625</v>
      </c>
      <c r="J335" s="154">
        <f t="shared" si="123"/>
        <v>23625</v>
      </c>
      <c r="K335" s="154">
        <f>IFERROR(VLOOKUP(E335, 'Database Resto'!C:P, 13, FALSE)* G335, 0)</f>
        <v>2362.5</v>
      </c>
      <c r="L335" s="292">
        <f>IF(D335="","", IFERROR(IF(B335="", K335/D335, SUMIFS($K:$K, $B:$B, B335)/D335), ""))</f>
        <v>0.1817307692</v>
      </c>
      <c r="M335" s="293">
        <f>D335-K335</f>
        <v>10637.5</v>
      </c>
      <c r="N335" s="294">
        <f t="shared" si="125"/>
        <v>0.8182692308</v>
      </c>
      <c r="O335" s="159">
        <v>25.9875</v>
      </c>
      <c r="P335" s="156">
        <f>IF(O335=0, G335*I335, G335*O335)</f>
        <v>2598.75</v>
      </c>
      <c r="Q335" s="409">
        <f>IF(D335="","", IFERROR(SUMIFS($P:$P, $B:$B, B335)/D335, 0))</f>
        <v>0.1999038462</v>
      </c>
      <c r="R335" s="296">
        <f>IF(D335="","", D335 - SUMIFS($P:$P, $B:$B, B335))</f>
        <v>10401.25</v>
      </c>
      <c r="S335" s="294">
        <f t="shared" si="126"/>
        <v>0.8000961538</v>
      </c>
    </row>
    <row r="336" ht="18.0" hidden="1" customHeight="1">
      <c r="A336" s="150"/>
      <c r="B336" s="169"/>
      <c r="C336" s="226"/>
      <c r="D336" s="171" t="str">
        <f>IFERROR(VLOOKUP(B336, 'Database Resto'!C:P, 9, FALSE),"")</f>
        <v/>
      </c>
      <c r="E336" s="172"/>
      <c r="F336" s="172"/>
      <c r="G336" s="174"/>
      <c r="H336" s="172"/>
      <c r="I336" s="175" t="str">
        <f>IFERROR(VLOOKUP(E336, 'Database Resto'!C:P, 13, FALSE),"")</f>
        <v/>
      </c>
      <c r="J336" s="227">
        <f t="shared" si="123"/>
        <v>0</v>
      </c>
      <c r="K336" s="176">
        <f>SUM(K335)</f>
        <v>2362.5</v>
      </c>
      <c r="L336" s="177">
        <f>IFERROR(K336/D335, 0)</f>
        <v>0.1817307692</v>
      </c>
      <c r="M336" s="178">
        <f>D335-K336</f>
        <v>10637.5</v>
      </c>
      <c r="N336" s="179" t="str">
        <f t="shared" si="125"/>
        <v/>
      </c>
      <c r="O336" s="180" t="s">
        <v>733</v>
      </c>
      <c r="P336" s="181">
        <f>SUM(P335)</f>
        <v>2598.75</v>
      </c>
      <c r="Q336" s="211">
        <f>IFERROR(P336/D335, 0)</f>
        <v>0.1999038462</v>
      </c>
      <c r="R336" s="184">
        <f>D335-P336</f>
        <v>10401.25</v>
      </c>
      <c r="S336" s="179" t="str">
        <f t="shared" si="126"/>
        <v/>
      </c>
    </row>
    <row r="337" hidden="1">
      <c r="A337" s="150"/>
      <c r="B337" s="151" t="s">
        <v>3616</v>
      </c>
      <c r="C337" s="290" t="s">
        <v>3617</v>
      </c>
      <c r="D337" s="291">
        <f>IFERROR(VLOOKUP(B337, 'Database Resto'!C:P, 9, FALSE),"")</f>
        <v>9900</v>
      </c>
      <c r="E337" s="152" t="s">
        <v>3546</v>
      </c>
      <c r="F337" s="152" t="s">
        <v>3618</v>
      </c>
      <c r="G337" s="4">
        <v>3.0</v>
      </c>
      <c r="H337" s="152" t="s">
        <v>7</v>
      </c>
      <c r="I337" s="153">
        <f>IFERROR(VLOOKUP(E337, 'Database Resto'!C:P, 13, FALSE),"")</f>
        <v>1733.333333</v>
      </c>
      <c r="J337" s="154">
        <f>I337</f>
        <v>1733.333333</v>
      </c>
      <c r="K337" s="154">
        <f>IFERROR(VLOOKUP(E337, 'Database Resto'!C:P, 13, FALSE)* G337, 0)</f>
        <v>5199.999999</v>
      </c>
      <c r="L337" s="292">
        <f>IF(D337="","", IFERROR(IF(B337="", K337/D337, SUMIFS($K:$K, $B:$B, B337)/D337), ""))</f>
        <v>0.5252525252</v>
      </c>
      <c r="M337" s="293">
        <f>D337-K337</f>
        <v>4700.000001</v>
      </c>
      <c r="N337" s="294">
        <f t="shared" si="125"/>
        <v>0.4747474748</v>
      </c>
      <c r="O337" s="159"/>
      <c r="P337" s="156">
        <f>IF(O337=0, G337*I337, G337*O337)</f>
        <v>5199.999999</v>
      </c>
      <c r="Q337" s="409">
        <f>IF(D337="","", IFERROR(SUMIFS($P:$P, $B:$B, B337)/D337, 0))</f>
        <v>0.5252525252</v>
      </c>
      <c r="R337" s="296">
        <f>IF(D337="","", D337 - SUMIFS($P:$P, $B:$B, B337))</f>
        <v>4700.000001</v>
      </c>
      <c r="S337" s="294">
        <f t="shared" si="126"/>
        <v>0.4747474748</v>
      </c>
    </row>
    <row r="338" ht="18.0" hidden="1" customHeight="1">
      <c r="A338" s="150"/>
      <c r="B338" s="169"/>
      <c r="C338" s="226"/>
      <c r="D338" s="171" t="str">
        <f>IFERROR(VLOOKUP(B338, 'Database Resto'!C:P, 9, FALSE),"")</f>
        <v/>
      </c>
      <c r="E338" s="172"/>
      <c r="F338" s="172"/>
      <c r="G338" s="174"/>
      <c r="H338" s="172"/>
      <c r="I338" s="175" t="str">
        <f>IFERROR(VLOOKUP(E338, 'Database Resto'!C:P, 13, FALSE),"")</f>
        <v/>
      </c>
      <c r="J338" s="227">
        <f>I338*1000</f>
        <v>0</v>
      </c>
      <c r="K338" s="176">
        <f>SUM(K337)</f>
        <v>5199.999999</v>
      </c>
      <c r="L338" s="177">
        <f>IFERROR(K338/D337, 0)</f>
        <v>0.5252525252</v>
      </c>
      <c r="M338" s="178">
        <f>D337-K338</f>
        <v>4700.000001</v>
      </c>
      <c r="N338" s="179" t="str">
        <f t="shared" si="125"/>
        <v/>
      </c>
      <c r="O338" s="180" t="s">
        <v>733</v>
      </c>
      <c r="P338" s="181">
        <f>SUM(P337)</f>
        <v>5199.999999</v>
      </c>
      <c r="Q338" s="211">
        <f>IFERROR(P338/D337, 0)</f>
        <v>0.5252525252</v>
      </c>
      <c r="R338" s="184">
        <f>D337-P338</f>
        <v>4700.000001</v>
      </c>
      <c r="S338" s="179" t="str">
        <f t="shared" si="126"/>
        <v/>
      </c>
    </row>
    <row r="339" hidden="1">
      <c r="A339" s="150"/>
      <c r="B339" s="151" t="s">
        <v>3619</v>
      </c>
      <c r="C339" s="290" t="s">
        <v>3620</v>
      </c>
      <c r="D339" s="291">
        <f>IFERROR(VLOOKUP(B339, 'Database Resto'!C:P, 9, FALSE),"")</f>
        <v>9900</v>
      </c>
      <c r="E339" s="152" t="s">
        <v>3547</v>
      </c>
      <c r="F339" s="152" t="s">
        <v>3621</v>
      </c>
      <c r="G339" s="4">
        <v>3.0</v>
      </c>
      <c r="H339" s="152" t="s">
        <v>7</v>
      </c>
      <c r="I339" s="153">
        <f>IFERROR(VLOOKUP(E339, 'Database Resto'!C:P, 13, FALSE),"")</f>
        <v>2066.666667</v>
      </c>
      <c r="J339" s="154">
        <f>I339</f>
        <v>2066.666667</v>
      </c>
      <c r="K339" s="154">
        <f>IFERROR(VLOOKUP(E339, 'Database Resto'!C:P, 13, FALSE)* G339, 0)</f>
        <v>6200.000001</v>
      </c>
      <c r="L339" s="292">
        <f>IF(D339="","", IFERROR(IF(B339="", K339/D339, SUMIFS($K:$K, $B:$B, B339)/D339), ""))</f>
        <v>0.6262626264</v>
      </c>
      <c r="M339" s="293">
        <f>D339-K339</f>
        <v>3699.999999</v>
      </c>
      <c r="N339" s="294">
        <f t="shared" si="125"/>
        <v>0.3737373736</v>
      </c>
      <c r="O339" s="159"/>
      <c r="P339" s="156">
        <f>IF(O339=0, G339*I339, G339*O339)</f>
        <v>6200.000001</v>
      </c>
      <c r="Q339" s="409">
        <f>IF(D339="","", IFERROR(SUMIFS($P:$P, $B:$B, B339)/D339, 0))</f>
        <v>0.6262626264</v>
      </c>
      <c r="R339" s="296">
        <f>IF(D339="","", D339 - SUMIFS($P:$P, $B:$B, B339))</f>
        <v>3699.999999</v>
      </c>
      <c r="S339" s="294">
        <f t="shared" si="126"/>
        <v>0.3737373736</v>
      </c>
    </row>
    <row r="340" ht="18.0" hidden="1" customHeight="1">
      <c r="A340" s="150"/>
      <c r="B340" s="169"/>
      <c r="C340" s="226"/>
      <c r="D340" s="171" t="str">
        <f>IFERROR(VLOOKUP(B340, 'Database Resto'!C:P, 9, FALSE),"")</f>
        <v/>
      </c>
      <c r="E340" s="172"/>
      <c r="F340" s="172"/>
      <c r="G340" s="174"/>
      <c r="H340" s="172"/>
      <c r="I340" s="175" t="str">
        <f>IFERROR(VLOOKUP(E340, 'Database Resto'!C:P, 13, FALSE),"")</f>
        <v/>
      </c>
      <c r="J340" s="227">
        <f>I340*1000</f>
        <v>0</v>
      </c>
      <c r="K340" s="176">
        <f>SUM(K339)</f>
        <v>6200.000001</v>
      </c>
      <c r="L340" s="177">
        <f>IFERROR(K340/D339, 0)</f>
        <v>0.6262626264</v>
      </c>
      <c r="M340" s="178">
        <f>D339-K340</f>
        <v>3699.999999</v>
      </c>
      <c r="N340" s="179" t="str">
        <f t="shared" si="125"/>
        <v/>
      </c>
      <c r="O340" s="180" t="s">
        <v>733</v>
      </c>
      <c r="P340" s="181">
        <f>SUM(P339)</f>
        <v>6200.000001</v>
      </c>
      <c r="Q340" s="211">
        <f>IFERROR(P340/D339, 0)</f>
        <v>0.6262626264</v>
      </c>
      <c r="R340" s="184">
        <f>D339-P340</f>
        <v>3699.999999</v>
      </c>
      <c r="S340" s="179" t="str">
        <f t="shared" si="126"/>
        <v/>
      </c>
    </row>
    <row r="341" hidden="1">
      <c r="A341" s="150"/>
      <c r="B341" s="151" t="s">
        <v>3623</v>
      </c>
      <c r="C341" s="290" t="s">
        <v>3624</v>
      </c>
      <c r="D341" s="291">
        <f>IFERROR(VLOOKUP(B341, 'Database Resto'!C:P, 9, FALSE),"")</f>
        <v>9900</v>
      </c>
      <c r="E341" s="152" t="s">
        <v>3540</v>
      </c>
      <c r="F341" s="152" t="s">
        <v>3625</v>
      </c>
      <c r="G341" s="4">
        <v>3.0</v>
      </c>
      <c r="H341" s="152" t="s">
        <v>7</v>
      </c>
      <c r="I341" s="153">
        <f>IFERROR(VLOOKUP(E341, 'Database Resto'!C:P, 13, FALSE),"")</f>
        <v>2066.666667</v>
      </c>
      <c r="J341" s="154">
        <f>I341</f>
        <v>2066.666667</v>
      </c>
      <c r="K341" s="154">
        <f>IFERROR(VLOOKUP(E341, 'Database Resto'!C:P, 13, FALSE)* G341, 0)</f>
        <v>6200.000001</v>
      </c>
      <c r="L341" s="292">
        <f>IF(D341="","", IFERROR(IF(B341="", K341/D341, SUMIFS($K:$K, $B:$B, B341)/D341), ""))</f>
        <v>0.6262626264</v>
      </c>
      <c r="M341" s="293">
        <f>D341-K341</f>
        <v>3699.999999</v>
      </c>
      <c r="N341" s="294">
        <f t="shared" si="125"/>
        <v>0.3737373736</v>
      </c>
      <c r="O341" s="159"/>
      <c r="P341" s="156">
        <f>IF(O341=0, G341*I341, G341*O341)</f>
        <v>6200.000001</v>
      </c>
      <c r="Q341" s="409">
        <f>IF(D341="","", IFERROR(SUMIFS($P:$P, $B:$B, B341)/D341, 0))</f>
        <v>0.6262626264</v>
      </c>
      <c r="R341" s="296">
        <f>IF(D341="","", D341 - SUMIFS($P:$P, $B:$B, B341))</f>
        <v>3699.999999</v>
      </c>
      <c r="S341" s="294">
        <f t="shared" si="126"/>
        <v>0.3737373736</v>
      </c>
    </row>
    <row r="342" ht="18.0" hidden="1" customHeight="1">
      <c r="A342" s="150"/>
      <c r="B342" s="169"/>
      <c r="C342" s="226"/>
      <c r="D342" s="171" t="str">
        <f>IFERROR(VLOOKUP(B342, 'Database Resto'!C:P, 9, FALSE),"")</f>
        <v/>
      </c>
      <c r="E342" s="172"/>
      <c r="F342" s="172"/>
      <c r="G342" s="174"/>
      <c r="H342" s="172"/>
      <c r="I342" s="175" t="str">
        <f>IFERROR(VLOOKUP(E342, 'Database Resto'!C:P, 13, FALSE),"")</f>
        <v/>
      </c>
      <c r="J342" s="227">
        <f t="shared" ref="J342:J344" si="127">I342*1000</f>
        <v>0</v>
      </c>
      <c r="K342" s="176">
        <f>SUM(K341)</f>
        <v>6200.000001</v>
      </c>
      <c r="L342" s="177">
        <f>IFERROR(K342/D341, 0)</f>
        <v>0.6262626264</v>
      </c>
      <c r="M342" s="178">
        <f>D341-K342</f>
        <v>3699.999999</v>
      </c>
      <c r="N342" s="179" t="str">
        <f t="shared" si="125"/>
        <v/>
      </c>
      <c r="O342" s="180" t="s">
        <v>733</v>
      </c>
      <c r="P342" s="181">
        <f>SUM(P341)</f>
        <v>6200.000001</v>
      </c>
      <c r="Q342" s="211">
        <f>IFERROR(P342/D341, 0)</f>
        <v>0.6262626264</v>
      </c>
      <c r="R342" s="184">
        <f>D341-P342</f>
        <v>3699.999999</v>
      </c>
      <c r="S342" s="179" t="str">
        <f t="shared" si="126"/>
        <v/>
      </c>
    </row>
    <row r="343" hidden="1">
      <c r="A343" s="150"/>
      <c r="B343" s="151" t="s">
        <v>3626</v>
      </c>
      <c r="C343" s="290" t="s">
        <v>3627</v>
      </c>
      <c r="D343" s="291">
        <f>IFERROR(VLOOKUP(B343, 'Database Resto'!C:P, 9, FALSE),"")</f>
        <v>13000</v>
      </c>
      <c r="E343" s="152" t="s">
        <v>3524</v>
      </c>
      <c r="F343" s="152" t="s">
        <v>3609</v>
      </c>
      <c r="G343" s="4">
        <v>100.0</v>
      </c>
      <c r="H343" s="152" t="s">
        <v>56</v>
      </c>
      <c r="I343" s="153">
        <f>IFERROR(VLOOKUP(E343, 'Database Resto'!C:P, 13, FALSE),"")</f>
        <v>23.625</v>
      </c>
      <c r="J343" s="154">
        <f t="shared" si="127"/>
        <v>23625</v>
      </c>
      <c r="K343" s="154">
        <f>IFERROR(VLOOKUP(E343, 'Database Resto'!C:P, 13, FALSE)* G343, 0)</f>
        <v>2362.5</v>
      </c>
      <c r="L343" s="292">
        <f>IF(D343="","", IFERROR(IF(B343="", K343/D343, SUMIFS($K:$K, $B:$B, B343)/D343), ""))</f>
        <v>0.1817307692</v>
      </c>
      <c r="M343" s="293">
        <f>D343-K343</f>
        <v>10637.5</v>
      </c>
      <c r="N343" s="294">
        <f t="shared" si="125"/>
        <v>0.8182692308</v>
      </c>
      <c r="O343" s="159">
        <v>25.9875</v>
      </c>
      <c r="P343" s="156">
        <f>IF(O343=0, G343*I343, G343*O343)</f>
        <v>2598.75</v>
      </c>
      <c r="Q343" s="409">
        <f>IF(D343="","", IFERROR(SUMIFS($P:$P, $B:$B, B343)/D343, 0))</f>
        <v>0.1999038462</v>
      </c>
      <c r="R343" s="296">
        <f>IF(D343="","", D343 - SUMIFS($P:$P, $B:$B, B343))</f>
        <v>10401.25</v>
      </c>
      <c r="S343" s="294">
        <f t="shared" si="126"/>
        <v>0.8000961538</v>
      </c>
    </row>
    <row r="344" ht="18.0" hidden="1" customHeight="1">
      <c r="A344" s="150"/>
      <c r="B344" s="169"/>
      <c r="C344" s="226"/>
      <c r="D344" s="171" t="str">
        <f>IFERROR(VLOOKUP(B344, 'Database Resto'!C:P, 9, FALSE),"")</f>
        <v/>
      </c>
      <c r="E344" s="172"/>
      <c r="F344" s="172"/>
      <c r="G344" s="174"/>
      <c r="H344" s="172"/>
      <c r="I344" s="175" t="str">
        <f>IFERROR(VLOOKUP(E344, 'Database Resto'!C:P, 13, FALSE),"")</f>
        <v/>
      </c>
      <c r="J344" s="227">
        <f t="shared" si="127"/>
        <v>0</v>
      </c>
      <c r="K344" s="176">
        <f>SUM(K343)</f>
        <v>2362.5</v>
      </c>
      <c r="L344" s="177">
        <f>IFERROR(K344/D343, 0)</f>
        <v>0.1817307692</v>
      </c>
      <c r="M344" s="178">
        <f>D343-K344</f>
        <v>10637.5</v>
      </c>
      <c r="N344" s="179" t="str">
        <f t="shared" si="125"/>
        <v/>
      </c>
      <c r="O344" s="180" t="s">
        <v>733</v>
      </c>
      <c r="P344" s="181">
        <f>SUM(P343)</f>
        <v>2598.75</v>
      </c>
      <c r="Q344" s="211">
        <f>IFERROR(P344/D343, 0)</f>
        <v>0.1999038462</v>
      </c>
      <c r="R344" s="184">
        <f>D343-P344</f>
        <v>10401.25</v>
      </c>
      <c r="S344" s="179" t="str">
        <f t="shared" si="126"/>
        <v/>
      </c>
    </row>
    <row r="345" hidden="1">
      <c r="A345" s="150"/>
      <c r="B345" s="151" t="s">
        <v>3628</v>
      </c>
      <c r="C345" s="290" t="s">
        <v>3629</v>
      </c>
      <c r="D345" s="291">
        <f>IFERROR(VLOOKUP(B345, 'Database Resto'!C:P, 9, FALSE),"")</f>
        <v>9900</v>
      </c>
      <c r="E345" s="152" t="s">
        <v>3487</v>
      </c>
      <c r="F345" s="152" t="s">
        <v>3488</v>
      </c>
      <c r="G345" s="4">
        <v>1.0</v>
      </c>
      <c r="H345" s="152" t="s">
        <v>7</v>
      </c>
      <c r="I345" s="153">
        <f>IFERROR(VLOOKUP(E345, 'Database Resto'!C:P, 13, FALSE),"")</f>
        <v>6000</v>
      </c>
      <c r="J345" s="154">
        <f>I345</f>
        <v>6000</v>
      </c>
      <c r="K345" s="154">
        <f>IFERROR(VLOOKUP(E345, 'Database Resto'!C:P, 13, FALSE)* G345, 0)</f>
        <v>6000</v>
      </c>
      <c r="L345" s="292">
        <f>IF(D345="","", IFERROR(IF(B345="", K345/D345, SUMIFS($K:$K, $B:$B, B345)/D345), ""))</f>
        <v>0.6060606061</v>
      </c>
      <c r="M345" s="293">
        <f>D345-K345</f>
        <v>3900</v>
      </c>
      <c r="N345" s="294">
        <f t="shared" si="125"/>
        <v>0.3939393939</v>
      </c>
      <c r="O345" s="159"/>
      <c r="P345" s="156">
        <f>IF(O345=0, G345*I345, G345*O345)</f>
        <v>6000</v>
      </c>
      <c r="Q345" s="409">
        <f>IF(D345="","", IFERROR(SUMIFS($P:$P, $B:$B, B345)/D345, 0))</f>
        <v>0.6060606061</v>
      </c>
      <c r="R345" s="296">
        <f>IF(D345="","", D345 - SUMIFS($P:$P, $B:$B, B345))</f>
        <v>3900</v>
      </c>
      <c r="S345" s="294">
        <f t="shared" si="126"/>
        <v>0.3939393939</v>
      </c>
    </row>
    <row r="346" ht="18.0" hidden="1" customHeight="1">
      <c r="A346" s="150"/>
      <c r="B346" s="169"/>
      <c r="C346" s="226"/>
      <c r="D346" s="171" t="str">
        <f>IFERROR(VLOOKUP(B346, 'Database Resto'!C:P, 9, FALSE),"")</f>
        <v/>
      </c>
      <c r="E346" s="172"/>
      <c r="F346" s="172"/>
      <c r="G346" s="174"/>
      <c r="H346" s="172"/>
      <c r="I346" s="175" t="str">
        <f>IFERROR(VLOOKUP(E346, 'Database Resto'!C:P, 13, FALSE),"")</f>
        <v/>
      </c>
      <c r="J346" s="227">
        <f>I346*1000</f>
        <v>0</v>
      </c>
      <c r="K346" s="176">
        <f>SUM(K345)</f>
        <v>6000</v>
      </c>
      <c r="L346" s="177">
        <f>IFERROR(K346/D345, 0)</f>
        <v>0.6060606061</v>
      </c>
      <c r="M346" s="178">
        <f>D345-K346</f>
        <v>3900</v>
      </c>
      <c r="N346" s="179" t="str">
        <f t="shared" si="125"/>
        <v/>
      </c>
      <c r="O346" s="180" t="s">
        <v>733</v>
      </c>
      <c r="P346" s="181">
        <f>SUM(P345)</f>
        <v>6000</v>
      </c>
      <c r="Q346" s="211">
        <f>IFERROR(P346/D345, 0)</f>
        <v>0.6060606061</v>
      </c>
      <c r="R346" s="184">
        <f>D345-P346</f>
        <v>3900</v>
      </c>
      <c r="S346" s="179" t="str">
        <f t="shared" si="126"/>
        <v/>
      </c>
    </row>
    <row r="347" hidden="1">
      <c r="A347" s="150"/>
      <c r="B347" s="151" t="s">
        <v>3630</v>
      </c>
      <c r="C347" s="290" t="s">
        <v>3631</v>
      </c>
      <c r="D347" s="291">
        <f>IFERROR(VLOOKUP(B347, 'Database Resto'!C:P, 9, FALSE),"")</f>
        <v>9900</v>
      </c>
      <c r="E347" s="152" t="s">
        <v>3489</v>
      </c>
      <c r="F347" s="152" t="s">
        <v>3490</v>
      </c>
      <c r="G347" s="4">
        <v>1.0</v>
      </c>
      <c r="H347" s="152" t="s">
        <v>7</v>
      </c>
      <c r="I347" s="153">
        <f>IFERROR(VLOOKUP(E347, 'Database Resto'!C:P, 13, FALSE),"")</f>
        <v>6000</v>
      </c>
      <c r="J347" s="154">
        <f>I347</f>
        <v>6000</v>
      </c>
      <c r="K347" s="154">
        <f>IFERROR(VLOOKUP(E347, 'Database Resto'!C:P, 13, FALSE)* G347, 0)</f>
        <v>6000</v>
      </c>
      <c r="L347" s="292">
        <f>IF(D347="","", IFERROR(IF(B347="", K347/D347, SUMIFS($K:$K, $B:$B, B347)/D347), ""))</f>
        <v>0.6060606061</v>
      </c>
      <c r="M347" s="293">
        <f>D347-K347</f>
        <v>3900</v>
      </c>
      <c r="N347" s="294">
        <f t="shared" si="125"/>
        <v>0.3939393939</v>
      </c>
      <c r="O347" s="159"/>
      <c r="P347" s="156">
        <f>IF(O347=0, G347*I347, G347*O347)</f>
        <v>6000</v>
      </c>
      <c r="Q347" s="409">
        <f>IF(D347="","", IFERROR(SUMIFS($P:$P, $B:$B, B347)/D347, 0))</f>
        <v>0.6060606061</v>
      </c>
      <c r="R347" s="296">
        <f>IF(D347="","", D347 - SUMIFS($P:$P, $B:$B, B347))</f>
        <v>3900</v>
      </c>
      <c r="S347" s="294">
        <f t="shared" si="126"/>
        <v>0.3939393939</v>
      </c>
    </row>
    <row r="348" ht="18.0" hidden="1" customHeight="1">
      <c r="A348" s="150"/>
      <c r="B348" s="169"/>
      <c r="C348" s="226"/>
      <c r="D348" s="171" t="str">
        <f>IFERROR(VLOOKUP(B348, 'Database Resto'!C:P, 9, FALSE),"")</f>
        <v/>
      </c>
      <c r="E348" s="172"/>
      <c r="F348" s="172"/>
      <c r="G348" s="174"/>
      <c r="H348" s="172"/>
      <c r="I348" s="175" t="str">
        <f>IFERROR(VLOOKUP(E348, 'Database Resto'!C:P, 13, FALSE),"")</f>
        <v/>
      </c>
      <c r="J348" s="227">
        <f>I348*1000</f>
        <v>0</v>
      </c>
      <c r="K348" s="176">
        <f>SUM(K347)</f>
        <v>6000</v>
      </c>
      <c r="L348" s="177">
        <f>IFERROR(K348/D347, 0)</f>
        <v>0.6060606061</v>
      </c>
      <c r="M348" s="178">
        <f>D347-K348</f>
        <v>3900</v>
      </c>
      <c r="N348" s="179" t="str">
        <f t="shared" si="125"/>
        <v/>
      </c>
      <c r="O348" s="180" t="s">
        <v>733</v>
      </c>
      <c r="P348" s="181">
        <f>SUM(P347)</f>
        <v>6000</v>
      </c>
      <c r="Q348" s="211">
        <f>IFERROR(P348/D347, 0)</f>
        <v>0.6060606061</v>
      </c>
      <c r="R348" s="184">
        <f>D347-P348</f>
        <v>3900</v>
      </c>
      <c r="S348" s="179" t="str">
        <f t="shared" si="126"/>
        <v/>
      </c>
    </row>
    <row r="349" hidden="1">
      <c r="A349" s="150"/>
      <c r="B349" s="151" t="s">
        <v>3633</v>
      </c>
      <c r="C349" s="290" t="s">
        <v>3634</v>
      </c>
      <c r="D349" s="291">
        <f>IFERROR(VLOOKUP(B349, 'Database Resto'!C:P, 9, FALSE),"")</f>
        <v>9900</v>
      </c>
      <c r="E349" s="152" t="s">
        <v>3491</v>
      </c>
      <c r="F349" s="152" t="s">
        <v>3492</v>
      </c>
      <c r="G349" s="4">
        <v>1.0</v>
      </c>
      <c r="H349" s="152" t="s">
        <v>7</v>
      </c>
      <c r="I349" s="153">
        <f>IFERROR(VLOOKUP(E349, 'Database Resto'!C:P, 13, FALSE),"")</f>
        <v>6000</v>
      </c>
      <c r="J349" s="154">
        <f>I349</f>
        <v>6000</v>
      </c>
      <c r="K349" s="154">
        <f>IFERROR(VLOOKUP(E349, 'Database Resto'!C:P, 13, FALSE)* G349, 0)</f>
        <v>6000</v>
      </c>
      <c r="L349" s="292">
        <f>IF(D349="","", IFERROR(IF(B349="", K349/D349, SUMIFS($K:$K, $B:$B, B349)/D349), ""))</f>
        <v>0.6060606061</v>
      </c>
      <c r="M349" s="293">
        <f>D349-K349</f>
        <v>3900</v>
      </c>
      <c r="N349" s="294">
        <f t="shared" si="125"/>
        <v>0.3939393939</v>
      </c>
      <c r="O349" s="159"/>
      <c r="P349" s="156">
        <f>IF(O349=0, G349*I349, G349*O349)</f>
        <v>6000</v>
      </c>
      <c r="Q349" s="409">
        <f>IF(D349="","", IFERROR(SUMIFS($P:$P, $B:$B, B349)/D349, 0))</f>
        <v>0.6060606061</v>
      </c>
      <c r="R349" s="296">
        <f>IF(D349="","", D349 - SUMIFS($P:$P, $B:$B, B349))</f>
        <v>3900</v>
      </c>
      <c r="S349" s="294">
        <f t="shared" si="126"/>
        <v>0.3939393939</v>
      </c>
    </row>
    <row r="350" ht="18.0" hidden="1" customHeight="1">
      <c r="A350" s="150"/>
      <c r="B350" s="169"/>
      <c r="C350" s="226"/>
      <c r="D350" s="171" t="str">
        <f>IFERROR(VLOOKUP(B350, 'Database Resto'!C:P, 9, FALSE),"")</f>
        <v/>
      </c>
      <c r="E350" s="172"/>
      <c r="F350" s="172"/>
      <c r="G350" s="174"/>
      <c r="H350" s="172"/>
      <c r="I350" s="175" t="str">
        <f>IFERROR(VLOOKUP(E350, 'Database Resto'!C:P, 13, FALSE),"")</f>
        <v/>
      </c>
      <c r="J350" s="227">
        <f>I350*1000</f>
        <v>0</v>
      </c>
      <c r="K350" s="176">
        <f>SUM(K349)</f>
        <v>6000</v>
      </c>
      <c r="L350" s="177">
        <f>IFERROR(K350/D349, 0)</f>
        <v>0.6060606061</v>
      </c>
      <c r="M350" s="178">
        <f>D349-K350</f>
        <v>3900</v>
      </c>
      <c r="N350" s="179" t="str">
        <f t="shared" si="125"/>
        <v/>
      </c>
      <c r="O350" s="180" t="s">
        <v>733</v>
      </c>
      <c r="P350" s="181">
        <f>SUM(P349)</f>
        <v>6000</v>
      </c>
      <c r="Q350" s="211">
        <f>IFERROR(P350/D349, 0)</f>
        <v>0.6060606061</v>
      </c>
      <c r="R350" s="184">
        <f>D349-P350</f>
        <v>3900</v>
      </c>
      <c r="S350" s="179" t="str">
        <f t="shared" si="126"/>
        <v/>
      </c>
    </row>
    <row r="351" hidden="1">
      <c r="A351" s="150"/>
      <c r="B351" s="151" t="s">
        <v>3635</v>
      </c>
      <c r="C351" s="290" t="s">
        <v>3636</v>
      </c>
      <c r="D351" s="291">
        <f>IFERROR(VLOOKUP(B351, 'Database Resto'!C:P, 9, FALSE),"")</f>
        <v>0</v>
      </c>
      <c r="E351" s="152" t="s">
        <v>3491</v>
      </c>
      <c r="F351" s="152" t="s">
        <v>3492</v>
      </c>
      <c r="G351" s="4">
        <v>1.0</v>
      </c>
      <c r="H351" s="152" t="s">
        <v>7</v>
      </c>
      <c r="I351" s="153">
        <f>IFERROR(VLOOKUP(E351, 'Database Resto'!C:P, 13, FALSE),"")</f>
        <v>6000</v>
      </c>
      <c r="J351" s="154">
        <f>I351</f>
        <v>6000</v>
      </c>
      <c r="K351" s="154">
        <f>IFERROR(VLOOKUP(E351, 'Database Resto'!C:P, 13, FALSE)* G351, 0)</f>
        <v>6000</v>
      </c>
      <c r="L351" s="292" t="str">
        <f>IF(D351="","", IFERROR(IF(B351="", K351/D351, SUMIFS($K:$K, $B:$B, B351)/D351), ""))</f>
        <v/>
      </c>
      <c r="M351" s="293">
        <f>D351-K351</f>
        <v>-6000</v>
      </c>
      <c r="N351" s="294" t="str">
        <f t="shared" si="125"/>
        <v/>
      </c>
      <c r="O351" s="159"/>
      <c r="P351" s="156">
        <f>IF(O351=0, G351*I351, G351*O351)</f>
        <v>6000</v>
      </c>
      <c r="Q351" s="409">
        <f>IF(D351="","", IFERROR(SUMIFS($P:$P, $B:$B, B351)/D351, 0))</f>
        <v>0</v>
      </c>
      <c r="R351" s="296">
        <f>IF(D351="","", D351 - SUMIFS($P:$P, $B:$B, B351))</f>
        <v>-6000</v>
      </c>
      <c r="S351" s="294" t="str">
        <f t="shared" si="126"/>
        <v/>
      </c>
    </row>
    <row r="352" ht="18.0" hidden="1" customHeight="1">
      <c r="A352" s="150"/>
      <c r="B352" s="169"/>
      <c r="C352" s="226"/>
      <c r="D352" s="171" t="str">
        <f>IFERROR(VLOOKUP(B352, 'Database Resto'!C:P, 9, FALSE),"")</f>
        <v/>
      </c>
      <c r="E352" s="172"/>
      <c r="F352" s="172"/>
      <c r="G352" s="174"/>
      <c r="H352" s="172"/>
      <c r="I352" s="175" t="str">
        <f>IFERROR(VLOOKUP(E352, 'Database Resto'!C:P, 13, FALSE),"")</f>
        <v/>
      </c>
      <c r="J352" s="227">
        <f>I352*1000</f>
        <v>0</v>
      </c>
      <c r="K352" s="176">
        <f>SUM(K351)</f>
        <v>6000</v>
      </c>
      <c r="L352" s="177">
        <f>IFERROR(K352/D351, 0)</f>
        <v>0</v>
      </c>
      <c r="M352" s="178">
        <f>D351-K352</f>
        <v>-6000</v>
      </c>
      <c r="N352" s="179" t="str">
        <f t="shared" si="125"/>
        <v/>
      </c>
      <c r="O352" s="180" t="s">
        <v>733</v>
      </c>
      <c r="P352" s="181">
        <f>SUM(P351)</f>
        <v>6000</v>
      </c>
      <c r="Q352" s="211">
        <f>IFERROR(P352/D351, 0)</f>
        <v>0</v>
      </c>
      <c r="R352" s="184">
        <f>D351-P352</f>
        <v>-6000</v>
      </c>
      <c r="S352" s="179" t="str">
        <f t="shared" si="126"/>
        <v/>
      </c>
    </row>
    <row r="353" hidden="1">
      <c r="A353" s="150"/>
      <c r="B353" s="151" t="s">
        <v>3637</v>
      </c>
      <c r="C353" s="290" t="s">
        <v>3638</v>
      </c>
      <c r="D353" s="291">
        <f>IFERROR(VLOOKUP(B353, 'Database Resto'!C:P, 9, FALSE),"")</f>
        <v>0</v>
      </c>
      <c r="E353" s="152" t="s">
        <v>3489</v>
      </c>
      <c r="F353" s="152" t="s">
        <v>3490</v>
      </c>
      <c r="G353" s="4">
        <v>1.0</v>
      </c>
      <c r="H353" s="152" t="s">
        <v>7</v>
      </c>
      <c r="I353" s="153">
        <f>IFERROR(VLOOKUP(E353, 'Database Resto'!C:P, 13, FALSE),"")</f>
        <v>6000</v>
      </c>
      <c r="J353" s="154">
        <f>I353</f>
        <v>6000</v>
      </c>
      <c r="K353" s="154">
        <f>IFERROR(VLOOKUP(E353, 'Database Resto'!C:P, 13, FALSE)* G353, 0)</f>
        <v>6000</v>
      </c>
      <c r="L353" s="292" t="str">
        <f>IF(D353="","", IFERROR(IF(B353="", K353/D353, SUMIFS($K:$K, $B:$B, B353)/D353), ""))</f>
        <v/>
      </c>
      <c r="M353" s="293">
        <f>D353-K353</f>
        <v>-6000</v>
      </c>
      <c r="N353" s="294" t="str">
        <f t="shared" si="125"/>
        <v/>
      </c>
      <c r="O353" s="159"/>
      <c r="P353" s="156">
        <f>IF(O353=0, G353*I353, G353*O353)</f>
        <v>6000</v>
      </c>
      <c r="Q353" s="409">
        <f>IF(D353="","", IFERROR(SUMIFS($P:$P, $B:$B, B353)/D353, 0))</f>
        <v>0</v>
      </c>
      <c r="R353" s="296">
        <f>IF(D353="","", D353 - SUMIFS($P:$P, $B:$B, B353))</f>
        <v>-6000</v>
      </c>
      <c r="S353" s="294" t="str">
        <f t="shared" si="126"/>
        <v/>
      </c>
    </row>
    <row r="354" ht="18.0" hidden="1" customHeight="1">
      <c r="A354" s="150"/>
      <c r="B354" s="169"/>
      <c r="C354" s="226"/>
      <c r="D354" s="171" t="str">
        <f>IFERROR(VLOOKUP(B354, 'Database Resto'!C:P, 9, FALSE),"")</f>
        <v/>
      </c>
      <c r="E354" s="172"/>
      <c r="F354" s="172"/>
      <c r="G354" s="174"/>
      <c r="H354" s="172"/>
      <c r="I354" s="175" t="str">
        <f>IFERROR(VLOOKUP(E354, 'Database Resto'!C:P, 13, FALSE),"")</f>
        <v/>
      </c>
      <c r="J354" s="227">
        <f>I354*1000</f>
        <v>0</v>
      </c>
      <c r="K354" s="176">
        <f>SUM(K353)</f>
        <v>6000</v>
      </c>
      <c r="L354" s="177">
        <f>IFERROR(K354/D353, 0)</f>
        <v>0</v>
      </c>
      <c r="M354" s="178">
        <f>D353-K354</f>
        <v>-6000</v>
      </c>
      <c r="N354" s="179" t="str">
        <f t="shared" si="125"/>
        <v/>
      </c>
      <c r="O354" s="180" t="s">
        <v>733</v>
      </c>
      <c r="P354" s="181">
        <f>SUM(P353)</f>
        <v>6000</v>
      </c>
      <c r="Q354" s="211">
        <f>IFERROR(P354/D353, 0)</f>
        <v>0</v>
      </c>
      <c r="R354" s="184">
        <f>D353-P354</f>
        <v>-6000</v>
      </c>
      <c r="S354" s="179" t="str">
        <f t="shared" si="126"/>
        <v/>
      </c>
    </row>
    <row r="355" hidden="1">
      <c r="A355" s="150"/>
      <c r="B355" s="151" t="s">
        <v>3640</v>
      </c>
      <c r="C355" s="290" t="s">
        <v>3641</v>
      </c>
      <c r="D355" s="291">
        <f>IFERROR(VLOOKUP(B355, 'Database Resto'!C:P, 9, FALSE),"")</f>
        <v>0</v>
      </c>
      <c r="E355" s="152" t="s">
        <v>3487</v>
      </c>
      <c r="F355" s="152" t="s">
        <v>3488</v>
      </c>
      <c r="G355" s="4">
        <v>1.0</v>
      </c>
      <c r="H355" s="152" t="s">
        <v>7</v>
      </c>
      <c r="I355" s="153">
        <f>IFERROR(VLOOKUP(E355, 'Database Resto'!C:P, 13, FALSE),"")</f>
        <v>6000</v>
      </c>
      <c r="J355" s="154">
        <f>I355</f>
        <v>6000</v>
      </c>
      <c r="K355" s="154">
        <f>IFERROR(VLOOKUP(E355, 'Database Resto'!C:P, 13, FALSE)* G355, 0)</f>
        <v>6000</v>
      </c>
      <c r="L355" s="292" t="str">
        <f>IF(D355="","", IFERROR(IF(B355="", K355/D355, SUMIFS($K:$K, $B:$B, B355)/D355), ""))</f>
        <v/>
      </c>
      <c r="M355" s="293">
        <f>D355-K355</f>
        <v>-6000</v>
      </c>
      <c r="N355" s="294" t="str">
        <f t="shared" si="125"/>
        <v/>
      </c>
      <c r="O355" s="159"/>
      <c r="P355" s="156">
        <f>IF(O355=0, G355*I355, G355*O355)</f>
        <v>6000</v>
      </c>
      <c r="Q355" s="409">
        <f>IF(D355="","", IFERROR(SUMIFS($P:$P, $B:$B, B355)/D355, 0))</f>
        <v>0</v>
      </c>
      <c r="R355" s="296">
        <f>IF(D355="","", D355 - SUMIFS($P:$P, $B:$B, B355))</f>
        <v>-6000</v>
      </c>
      <c r="S355" s="294" t="str">
        <f t="shared" si="126"/>
        <v/>
      </c>
    </row>
    <row r="356" ht="18.0" hidden="1" customHeight="1">
      <c r="A356" s="150"/>
      <c r="B356" s="169"/>
      <c r="C356" s="226"/>
      <c r="D356" s="171" t="str">
        <f>IFERROR(VLOOKUP(B356, 'Database Resto'!C:P, 9, FALSE),"")</f>
        <v/>
      </c>
      <c r="E356" s="172"/>
      <c r="F356" s="172"/>
      <c r="G356" s="174"/>
      <c r="H356" s="172"/>
      <c r="I356" s="175" t="str">
        <f>IFERROR(VLOOKUP(E356, 'Database Resto'!C:P, 13, FALSE),"")</f>
        <v/>
      </c>
      <c r="J356" s="227">
        <f>I356*1000</f>
        <v>0</v>
      </c>
      <c r="K356" s="176">
        <f>SUM(K355)</f>
        <v>6000</v>
      </c>
      <c r="L356" s="177">
        <f>IFERROR(K356/D355, 0)</f>
        <v>0</v>
      </c>
      <c r="M356" s="178">
        <f>D355-K356</f>
        <v>-6000</v>
      </c>
      <c r="N356" s="179" t="str">
        <f t="shared" si="125"/>
        <v/>
      </c>
      <c r="O356" s="180" t="s">
        <v>733</v>
      </c>
      <c r="P356" s="181">
        <f>SUM(P355)</f>
        <v>6000</v>
      </c>
      <c r="Q356" s="211">
        <f>IFERROR(P356/D355, 0)</f>
        <v>0</v>
      </c>
      <c r="R356" s="184">
        <f>D355-P356</f>
        <v>-6000</v>
      </c>
      <c r="S356" s="179" t="str">
        <f t="shared" si="126"/>
        <v/>
      </c>
    </row>
    <row r="357" hidden="1">
      <c r="A357" s="150"/>
      <c r="B357" s="151" t="s">
        <v>3642</v>
      </c>
      <c r="C357" s="290" t="s">
        <v>3643</v>
      </c>
      <c r="D357" s="291">
        <f>IFERROR(VLOOKUP(B357, 'Database Resto'!C:P, 9, FALSE),"")</f>
        <v>5400</v>
      </c>
      <c r="E357" s="152" t="s">
        <v>3534</v>
      </c>
      <c r="F357" s="152" t="s">
        <v>3535</v>
      </c>
      <c r="G357" s="4">
        <v>3.0</v>
      </c>
      <c r="H357" s="152" t="s">
        <v>7</v>
      </c>
      <c r="I357" s="153">
        <f>IFERROR(VLOOKUP(E357, 'Database Resto'!C:P, 13, FALSE),"")</f>
        <v>775.0575339</v>
      </c>
      <c r="J357" s="154">
        <f>I357*40</f>
        <v>31002.30136</v>
      </c>
      <c r="K357" s="154">
        <f>IFERROR(VLOOKUP(E357, 'Database Resto'!C:P, 13, FALSE)* G357, 0)</f>
        <v>2325.172602</v>
      </c>
      <c r="L357" s="292">
        <f>IF(D357="","", IFERROR(IF(B357="", K357/D357, SUMIFS($K:$K, $B:$B, B357)/D357), ""))</f>
        <v>0.4305875188</v>
      </c>
      <c r="M357" s="293">
        <f>D357-K357</f>
        <v>3074.827398</v>
      </c>
      <c r="N357" s="294">
        <f t="shared" si="125"/>
        <v>0.5694124812</v>
      </c>
      <c r="O357" s="159"/>
      <c r="P357" s="156">
        <f>IF(O357=0, G357*I357, G357*O357)</f>
        <v>2325.172602</v>
      </c>
      <c r="Q357" s="409">
        <f>IF(D357="","", IFERROR(SUMIFS($P:$P, $B:$B, B357)/D357, 0))</f>
        <v>0.4305875188</v>
      </c>
      <c r="R357" s="296">
        <f>IF(D357="","", D357 - SUMIFS($P:$P, $B:$B, B357))</f>
        <v>3074.827398</v>
      </c>
      <c r="S357" s="294">
        <f t="shared" si="126"/>
        <v>0.5694124812</v>
      </c>
    </row>
    <row r="358" ht="18.0" hidden="1" customHeight="1">
      <c r="A358" s="150"/>
      <c r="B358" s="169"/>
      <c r="C358" s="226"/>
      <c r="D358" s="171" t="str">
        <f>IFERROR(VLOOKUP(B358, 'Database Resto'!C:P, 9, FALSE),"")</f>
        <v/>
      </c>
      <c r="E358" s="172"/>
      <c r="F358" s="172"/>
      <c r="G358" s="174"/>
      <c r="H358" s="172"/>
      <c r="I358" s="175" t="str">
        <f>IFERROR(VLOOKUP(E358, 'Database Resto'!C:P, 13, FALSE),"")</f>
        <v/>
      </c>
      <c r="J358" s="227">
        <f>I358*1000</f>
        <v>0</v>
      </c>
      <c r="K358" s="176">
        <f>SUM(K357)</f>
        <v>2325.172602</v>
      </c>
      <c r="L358" s="177">
        <f>IFERROR(K358/D357, 0)</f>
        <v>0.4305875188</v>
      </c>
      <c r="M358" s="178">
        <f>D357-K358</f>
        <v>3074.827398</v>
      </c>
      <c r="N358" s="179" t="str">
        <f t="shared" si="125"/>
        <v/>
      </c>
      <c r="O358" s="180" t="s">
        <v>733</v>
      </c>
      <c r="P358" s="181">
        <f>SUM(P357)</f>
        <v>2325.172602</v>
      </c>
      <c r="Q358" s="211">
        <f>IFERROR(P358/D357, 0)</f>
        <v>0.4305875188</v>
      </c>
      <c r="R358" s="184">
        <f>D357-P358</f>
        <v>3074.827398</v>
      </c>
      <c r="S358" s="179" t="str">
        <f t="shared" si="126"/>
        <v/>
      </c>
    </row>
    <row r="359" hidden="1">
      <c r="A359" s="150"/>
      <c r="B359" s="151" t="s">
        <v>3644</v>
      </c>
      <c r="C359" s="290" t="s">
        <v>3645</v>
      </c>
      <c r="D359" s="291">
        <f>IFERROR(VLOOKUP(B359, 'Database Resto'!C:P, 9, FALSE),"")</f>
        <v>5400</v>
      </c>
      <c r="E359" s="152" t="s">
        <v>3536</v>
      </c>
      <c r="F359" s="152" t="s">
        <v>3646</v>
      </c>
      <c r="G359" s="4">
        <v>3.0</v>
      </c>
      <c r="H359" s="152" t="s">
        <v>7</v>
      </c>
      <c r="I359" s="153">
        <f>IFERROR(VLOOKUP(E359, 'Database Resto'!C:P, 13, FALSE),"")</f>
        <v>471.9567691</v>
      </c>
      <c r="J359" s="154">
        <f>I359*40</f>
        <v>18878.27076</v>
      </c>
      <c r="K359" s="154">
        <f>IFERROR(VLOOKUP(E359, 'Database Resto'!C:P, 13, FALSE)* G359, 0)</f>
        <v>1415.870307</v>
      </c>
      <c r="L359" s="292">
        <f>IF(D359="","", IFERROR(IF(B359="", K359/D359, SUMIFS($K:$K, $B:$B, B359)/D359), ""))</f>
        <v>0.262198205</v>
      </c>
      <c r="M359" s="293">
        <f>D359-K359</f>
        <v>3984.129693</v>
      </c>
      <c r="N359" s="294">
        <f t="shared" si="125"/>
        <v>0.737801795</v>
      </c>
      <c r="O359" s="159"/>
      <c r="P359" s="156">
        <f>IF(O359=0, G359*I359, G359*O359)</f>
        <v>1415.870307</v>
      </c>
      <c r="Q359" s="409">
        <f>IF(D359="","", IFERROR(SUMIFS($P:$P, $B:$B, B359)/D359, 0))</f>
        <v>0.262198205</v>
      </c>
      <c r="R359" s="296">
        <f>IF(D359="","", D359 - SUMIFS($P:$P, $B:$B, B359))</f>
        <v>3984.129693</v>
      </c>
      <c r="S359" s="294">
        <f t="shared" si="126"/>
        <v>0.737801795</v>
      </c>
    </row>
    <row r="360" ht="18.0" hidden="1" customHeight="1">
      <c r="A360" s="150"/>
      <c r="B360" s="169"/>
      <c r="C360" s="226"/>
      <c r="D360" s="171" t="str">
        <f>IFERROR(VLOOKUP(B360, 'Database Resto'!C:P, 9, FALSE),"")</f>
        <v/>
      </c>
      <c r="E360" s="172"/>
      <c r="F360" s="172"/>
      <c r="G360" s="174"/>
      <c r="H360" s="172"/>
      <c r="I360" s="175" t="str">
        <f>IFERROR(VLOOKUP(E360, 'Database Resto'!C:P, 13, FALSE),"")</f>
        <v/>
      </c>
      <c r="J360" s="227">
        <f>I360*1000</f>
        <v>0</v>
      </c>
      <c r="K360" s="176">
        <f>SUM(K359)</f>
        <v>1415.870307</v>
      </c>
      <c r="L360" s="177">
        <f>IFERROR(K360/D359, 0)</f>
        <v>0.262198205</v>
      </c>
      <c r="M360" s="178">
        <f>D359-K360</f>
        <v>3984.129693</v>
      </c>
      <c r="N360" s="179" t="str">
        <f t="shared" si="125"/>
        <v/>
      </c>
      <c r="O360" s="180" t="s">
        <v>733</v>
      </c>
      <c r="P360" s="181">
        <f>SUM(P359)</f>
        <v>1415.870307</v>
      </c>
      <c r="Q360" s="211">
        <f>IFERROR(P360/D359, 0)</f>
        <v>0.262198205</v>
      </c>
      <c r="R360" s="184">
        <f>D359-P360</f>
        <v>3984.129693</v>
      </c>
      <c r="S360" s="179" t="str">
        <f t="shared" si="126"/>
        <v/>
      </c>
    </row>
    <row r="361" hidden="1">
      <c r="A361" s="150"/>
      <c r="B361" s="151" t="s">
        <v>3647</v>
      </c>
      <c r="C361" s="290" t="s">
        <v>3648</v>
      </c>
      <c r="D361" s="291">
        <f>IFERROR(VLOOKUP(B361, 'Database Resto'!C:P, 9, FALSE),"")</f>
        <v>5400</v>
      </c>
      <c r="E361" s="152" t="s">
        <v>3544</v>
      </c>
      <c r="F361" s="152" t="s">
        <v>3649</v>
      </c>
      <c r="G361" s="4">
        <v>3.0</v>
      </c>
      <c r="H361" s="152" t="s">
        <v>7</v>
      </c>
      <c r="I361" s="153">
        <f>IFERROR(VLOOKUP(E361, 'Database Resto'!C:P, 13, FALSE),"")</f>
        <v>369.5932029</v>
      </c>
      <c r="J361" s="154">
        <f>I361*36</f>
        <v>13305.3553</v>
      </c>
      <c r="K361" s="154">
        <f>IFERROR(VLOOKUP(E361, 'Database Resto'!C:P, 13, FALSE)* G361, 0)</f>
        <v>1108.779609</v>
      </c>
      <c r="L361" s="292">
        <f>IF(D361="","", IFERROR(IF(B361="", K361/D361, SUMIFS($K:$K, $B:$B, B361)/D361), ""))</f>
        <v>0.2053295572</v>
      </c>
      <c r="M361" s="293">
        <f>D361-K361</f>
        <v>4291.220391</v>
      </c>
      <c r="N361" s="294">
        <f t="shared" si="125"/>
        <v>0.7946704428</v>
      </c>
      <c r="O361" s="159"/>
      <c r="P361" s="156">
        <f>IF(O361=0, G361*I361, G361*O361)</f>
        <v>1108.779609</v>
      </c>
      <c r="Q361" s="409">
        <f>IF(D361="","", IFERROR(SUMIFS($P:$P, $B:$B, B361)/D361, 0))</f>
        <v>0.2053295572</v>
      </c>
      <c r="R361" s="296">
        <f>IF(D361="","", D361 - SUMIFS($P:$P, $B:$B, B361))</f>
        <v>4291.220391</v>
      </c>
      <c r="S361" s="294">
        <f t="shared" si="126"/>
        <v>0.7946704428</v>
      </c>
    </row>
    <row r="362" ht="18.0" hidden="1" customHeight="1">
      <c r="A362" s="150"/>
      <c r="B362" s="169"/>
      <c r="C362" s="226"/>
      <c r="D362" s="171" t="str">
        <f>IFERROR(VLOOKUP(B362, 'Database Resto'!C:P, 9, FALSE),"")</f>
        <v/>
      </c>
      <c r="E362" s="172"/>
      <c r="F362" s="172"/>
      <c r="G362" s="174"/>
      <c r="H362" s="172"/>
      <c r="I362" s="175" t="str">
        <f>IFERROR(VLOOKUP(E362, 'Database Resto'!C:P, 13, FALSE),"")</f>
        <v/>
      </c>
      <c r="J362" s="227">
        <f>I362*1000</f>
        <v>0</v>
      </c>
      <c r="K362" s="176">
        <f>SUM(K361)</f>
        <v>1108.779609</v>
      </c>
      <c r="L362" s="177">
        <f>IFERROR(K362/D361, 0)</f>
        <v>0.2053295572</v>
      </c>
      <c r="M362" s="178">
        <f>D361-K362</f>
        <v>4291.220391</v>
      </c>
      <c r="N362" s="179" t="str">
        <f t="shared" si="125"/>
        <v/>
      </c>
      <c r="O362" s="180" t="s">
        <v>733</v>
      </c>
      <c r="P362" s="181">
        <f>SUM(P361)</f>
        <v>1108.779609</v>
      </c>
      <c r="Q362" s="211">
        <f>IFERROR(P362/D361, 0)</f>
        <v>0.2053295572</v>
      </c>
      <c r="R362" s="184">
        <f>D361-P362</f>
        <v>4291.220391</v>
      </c>
      <c r="S362" s="179" t="str">
        <f t="shared" si="126"/>
        <v/>
      </c>
    </row>
    <row r="363" hidden="1">
      <c r="A363" s="150"/>
      <c r="B363" s="151" t="s">
        <v>3650</v>
      </c>
      <c r="C363" s="290" t="s">
        <v>3651</v>
      </c>
      <c r="D363" s="291">
        <f>IFERROR(VLOOKUP(B363, 'Database Resto'!C:P, 9, FALSE),"")</f>
        <v>5400</v>
      </c>
      <c r="E363" s="152" t="s">
        <v>3542</v>
      </c>
      <c r="F363" s="152" t="s">
        <v>3543</v>
      </c>
      <c r="G363" s="4">
        <v>3.0</v>
      </c>
      <c r="H363" s="152" t="s">
        <v>7</v>
      </c>
      <c r="I363" s="153">
        <f>IFERROR(VLOOKUP(E363, 'Database Resto'!C:P, 13, FALSE),"")</f>
        <v>656.573117</v>
      </c>
      <c r="J363" s="154">
        <f>I363*30</f>
        <v>19697.19351</v>
      </c>
      <c r="K363" s="154">
        <f>IFERROR(VLOOKUP(E363, 'Database Resto'!C:P, 13, FALSE)* G363, 0)</f>
        <v>1969.719351</v>
      </c>
      <c r="L363" s="292">
        <f>IF(D363="","", IFERROR(IF(B363="", K363/D363, SUMIFS($K:$K, $B:$B, B363)/D363), ""))</f>
        <v>0.3647628428</v>
      </c>
      <c r="M363" s="293">
        <f>D363-K363</f>
        <v>3430.280649</v>
      </c>
      <c r="N363" s="294">
        <f t="shared" si="125"/>
        <v>0.6352371572</v>
      </c>
      <c r="O363" s="159"/>
      <c r="P363" s="156">
        <f>IF(O363=0, G363*I363, G363*O363)</f>
        <v>1969.719351</v>
      </c>
      <c r="Q363" s="409">
        <f>IF(D363="","", IFERROR(SUMIFS($P:$P, $B:$B, B363)/D363, 0))</f>
        <v>0.3647628428</v>
      </c>
      <c r="R363" s="296">
        <f>IF(D363="","", D363 - SUMIFS($P:$P, $B:$B, B363))</f>
        <v>3430.280649</v>
      </c>
      <c r="S363" s="294">
        <f t="shared" si="126"/>
        <v>0.6352371572</v>
      </c>
    </row>
    <row r="364" ht="18.0" hidden="1" customHeight="1">
      <c r="A364" s="150"/>
      <c r="B364" s="169"/>
      <c r="C364" s="226"/>
      <c r="D364" s="171" t="str">
        <f>IFERROR(VLOOKUP(B364, 'Database Resto'!C:P, 9, FALSE),"")</f>
        <v/>
      </c>
      <c r="E364" s="172"/>
      <c r="F364" s="172"/>
      <c r="G364" s="174"/>
      <c r="H364" s="172"/>
      <c r="I364" s="175" t="str">
        <f>IFERROR(VLOOKUP(E364, 'Database Resto'!C:P, 13, FALSE),"")</f>
        <v/>
      </c>
      <c r="J364" s="227">
        <f>I364*1000</f>
        <v>0</v>
      </c>
      <c r="K364" s="176">
        <f>SUM(K363)</f>
        <v>1969.719351</v>
      </c>
      <c r="L364" s="177">
        <f>IFERROR(K364/D363, 0)</f>
        <v>0.3647628428</v>
      </c>
      <c r="M364" s="178">
        <f>D363-K364</f>
        <v>3430.280649</v>
      </c>
      <c r="N364" s="179" t="str">
        <f t="shared" si="125"/>
        <v/>
      </c>
      <c r="O364" s="180" t="s">
        <v>733</v>
      </c>
      <c r="P364" s="181">
        <f>SUM(P363)</f>
        <v>1969.719351</v>
      </c>
      <c r="Q364" s="211">
        <f>IFERROR(P364/D363, 0)</f>
        <v>0.3647628428</v>
      </c>
      <c r="R364" s="184">
        <f>D363-P364</f>
        <v>3430.280649</v>
      </c>
      <c r="S364" s="179" t="str">
        <f t="shared" si="126"/>
        <v/>
      </c>
    </row>
    <row r="365" hidden="1">
      <c r="A365" s="150"/>
      <c r="B365" s="151" t="s">
        <v>3652</v>
      </c>
      <c r="C365" s="290" t="s">
        <v>3653</v>
      </c>
      <c r="D365" s="291">
        <f>IFERROR(VLOOKUP(B365, 'Database Resto'!C:P, 9, FALSE),"")</f>
        <v>5400</v>
      </c>
      <c r="E365" s="152" t="s">
        <v>3538</v>
      </c>
      <c r="F365" s="152" t="s">
        <v>3654</v>
      </c>
      <c r="G365" s="4">
        <v>3.0</v>
      </c>
      <c r="H365" s="152" t="s">
        <v>7</v>
      </c>
      <c r="I365" s="153">
        <f>IFERROR(VLOOKUP(E365, 'Database Resto'!C:P, 13, FALSE),"")</f>
        <v>341.5787161</v>
      </c>
      <c r="J365" s="154">
        <f>I365*36</f>
        <v>12296.83378</v>
      </c>
      <c r="K365" s="154">
        <f>IFERROR(VLOOKUP(E365, 'Database Resto'!C:P, 13, FALSE)* G365, 0)</f>
        <v>1024.736148</v>
      </c>
      <c r="L365" s="292">
        <f>IF(D365="","", IFERROR(IF(B365="", K365/D365, SUMIFS($K:$K, $B:$B, B365)/D365), ""))</f>
        <v>0.1897659534</v>
      </c>
      <c r="M365" s="293">
        <f>D365-K365</f>
        <v>4375.263852</v>
      </c>
      <c r="N365" s="294">
        <f t="shared" si="125"/>
        <v>0.8102340466</v>
      </c>
      <c r="O365" s="159"/>
      <c r="P365" s="156">
        <f>IF(O365=0, G365*I365, G365*O365)</f>
        <v>1024.736148</v>
      </c>
      <c r="Q365" s="409">
        <f>IF(D365="","", IFERROR(SUMIFS($P:$P, $B:$B, B365)/D365, 0))</f>
        <v>0.1897659534</v>
      </c>
      <c r="R365" s="296">
        <f>IF(D365="","", D365 - SUMIFS($P:$P, $B:$B, B365))</f>
        <v>4375.263852</v>
      </c>
      <c r="S365" s="294">
        <f t="shared" si="126"/>
        <v>0.8102340466</v>
      </c>
    </row>
    <row r="366" ht="18.0" hidden="1" customHeight="1">
      <c r="A366" s="150"/>
      <c r="B366" s="169"/>
      <c r="C366" s="226"/>
      <c r="D366" s="171" t="str">
        <f>IFERROR(VLOOKUP(B366, 'Database Resto'!C:P, 9, FALSE),"")</f>
        <v/>
      </c>
      <c r="E366" s="172"/>
      <c r="F366" s="172"/>
      <c r="G366" s="174"/>
      <c r="H366" s="172"/>
      <c r="I366" s="175" t="str">
        <f>IFERROR(VLOOKUP(E366, 'Database Resto'!C:P, 13, FALSE),"")</f>
        <v/>
      </c>
      <c r="J366" s="227">
        <f>I366*1000</f>
        <v>0</v>
      </c>
      <c r="K366" s="176">
        <f>SUM(K365)</f>
        <v>1024.736148</v>
      </c>
      <c r="L366" s="177">
        <f>IFERROR(K366/D365, 0)</f>
        <v>0.1897659534</v>
      </c>
      <c r="M366" s="178">
        <f>D365-K366</f>
        <v>4375.263852</v>
      </c>
      <c r="N366" s="179" t="str">
        <f t="shared" si="125"/>
        <v/>
      </c>
      <c r="O366" s="180" t="s">
        <v>733</v>
      </c>
      <c r="P366" s="181">
        <f>SUM(P365)</f>
        <v>1024.736148</v>
      </c>
      <c r="Q366" s="211">
        <f>IFERROR(P366/D365, 0)</f>
        <v>0.1897659534</v>
      </c>
      <c r="R366" s="184">
        <f>D365-P366</f>
        <v>4375.263852</v>
      </c>
      <c r="S366" s="179" t="str">
        <f t="shared" si="126"/>
        <v/>
      </c>
    </row>
    <row r="367" hidden="1">
      <c r="A367" s="150"/>
      <c r="B367" s="151" t="s">
        <v>3655</v>
      </c>
      <c r="C367" s="290" t="s">
        <v>3656</v>
      </c>
      <c r="D367" s="291">
        <f>IFERROR(VLOOKUP(B367, 'Database Resto'!C:P, 9, FALSE),"")</f>
        <v>5400</v>
      </c>
      <c r="E367" s="152" t="s">
        <v>3548</v>
      </c>
      <c r="F367" s="152" t="s">
        <v>3657</v>
      </c>
      <c r="G367" s="2">
        <v>3.0</v>
      </c>
      <c r="H367" s="152" t="s">
        <v>7</v>
      </c>
      <c r="I367" s="153">
        <f>IFERROR(VLOOKUP(E367, 'Database Resto'!C:P, 13, FALSE),"")</f>
        <v>625</v>
      </c>
      <c r="J367" s="154">
        <f>I367*15</f>
        <v>9375</v>
      </c>
      <c r="K367" s="154">
        <f>IFERROR(VLOOKUP(E367, 'Database Resto'!C:P, 13, FALSE)* G367, 0)</f>
        <v>1875</v>
      </c>
      <c r="L367" s="292">
        <f>IF(D367="","", IFERROR(IF(B367="", K367/D367, SUMIFS($K:$K, $B:$B, B367)/D367), ""))</f>
        <v>0.3472222222</v>
      </c>
      <c r="M367" s="293">
        <f>D367-K367</f>
        <v>3525</v>
      </c>
      <c r="N367" s="294">
        <f t="shared" si="125"/>
        <v>0.6527777778</v>
      </c>
      <c r="O367" s="159"/>
      <c r="P367" s="156">
        <f>IF(O367=0, G367*I367, G367*O367)</f>
        <v>1875</v>
      </c>
      <c r="Q367" s="409">
        <f>IF(D367="","", IFERROR(SUMIFS($P:$P, $B:$B, B367)/D367, 0))</f>
        <v>0.3472222222</v>
      </c>
      <c r="R367" s="296">
        <f>IF(D367="","", D367 - SUMIFS($P:$P, $B:$B, B367))</f>
        <v>3525</v>
      </c>
      <c r="S367" s="294">
        <f t="shared" si="126"/>
        <v>0.6527777778</v>
      </c>
    </row>
    <row r="368" ht="18.0" hidden="1" customHeight="1">
      <c r="A368" s="150"/>
      <c r="B368" s="169"/>
      <c r="C368" s="226"/>
      <c r="D368" s="171" t="str">
        <f>IFERROR(VLOOKUP(B368, 'Database Resto'!C:P, 9, FALSE),"")</f>
        <v/>
      </c>
      <c r="E368" s="172"/>
      <c r="F368" s="172"/>
      <c r="G368" s="174"/>
      <c r="H368" s="172"/>
      <c r="I368" s="175" t="str">
        <f>IFERROR(VLOOKUP(E368, 'Database Resto'!C:P, 13, FALSE),"")</f>
        <v/>
      </c>
      <c r="J368" s="227">
        <f>I368*1000</f>
        <v>0</v>
      </c>
      <c r="K368" s="176">
        <f>SUM(K367)</f>
        <v>1875</v>
      </c>
      <c r="L368" s="177">
        <f>IFERROR(K368/D367, 0)</f>
        <v>0.3472222222</v>
      </c>
      <c r="M368" s="178">
        <f>D367-K368</f>
        <v>3525</v>
      </c>
      <c r="N368" s="179" t="str">
        <f t="shared" si="125"/>
        <v/>
      </c>
      <c r="O368" s="180" t="s">
        <v>733</v>
      </c>
      <c r="P368" s="181">
        <f>SUM(P367)</f>
        <v>1875</v>
      </c>
      <c r="Q368" s="211">
        <f>IFERROR(P368/D367, 0)</f>
        <v>0.3472222222</v>
      </c>
      <c r="R368" s="184">
        <f>D367-P368</f>
        <v>3525</v>
      </c>
      <c r="S368" s="179" t="str">
        <f t="shared" si="126"/>
        <v/>
      </c>
    </row>
    <row r="369" hidden="1">
      <c r="A369" s="150"/>
      <c r="B369" s="151" t="s">
        <v>3658</v>
      </c>
      <c r="C369" s="290" t="s">
        <v>3659</v>
      </c>
      <c r="D369" s="291">
        <f>IFERROR(VLOOKUP(B369, 'Database Resto'!C:P, 9, FALSE),"")</f>
        <v>10800</v>
      </c>
      <c r="E369" s="152" t="s">
        <v>3534</v>
      </c>
      <c r="F369" s="152" t="s">
        <v>3535</v>
      </c>
      <c r="G369" s="4">
        <v>6.0</v>
      </c>
      <c r="H369" s="152" t="s">
        <v>7</v>
      </c>
      <c r="I369" s="153">
        <f>IFERROR(VLOOKUP(E369, 'Database Resto'!C:P, 13, FALSE),"")</f>
        <v>775.0575339</v>
      </c>
      <c r="J369" s="154">
        <f>I369*40</f>
        <v>31002.30136</v>
      </c>
      <c r="K369" s="154">
        <f>IFERROR(VLOOKUP(E369, 'Database Resto'!C:P, 13, FALSE)* G369, 0)</f>
        <v>4650.345203</v>
      </c>
      <c r="L369" s="292">
        <f>IF(D369="","", IFERROR(IF(B369="", K369/D369, SUMIFS($K:$K, $B:$B, B369)/D369), ""))</f>
        <v>0.4305875188</v>
      </c>
      <c r="M369" s="293">
        <f>D369-K369</f>
        <v>6149.654797</v>
      </c>
      <c r="N369" s="294">
        <f t="shared" si="125"/>
        <v>0.5694124812</v>
      </c>
      <c r="O369" s="159"/>
      <c r="P369" s="156">
        <f>IF(O369=0, G369*I369, G369*O369)</f>
        <v>4650.345203</v>
      </c>
      <c r="Q369" s="409">
        <f>IF(D369="","", IFERROR(SUMIFS($P:$P, $B:$B, B369)/D369, 0))</f>
        <v>0.4305875188</v>
      </c>
      <c r="R369" s="296">
        <f>IF(D369="","", D369 - SUMIFS($P:$P, $B:$B, B369))</f>
        <v>6149.654797</v>
      </c>
      <c r="S369" s="294">
        <f t="shared" si="126"/>
        <v>0.5694124812</v>
      </c>
    </row>
    <row r="370" ht="18.0" hidden="1" customHeight="1">
      <c r="A370" s="150"/>
      <c r="B370" s="169"/>
      <c r="C370" s="226"/>
      <c r="D370" s="171" t="str">
        <f>IFERROR(VLOOKUP(B370, 'Database Resto'!C:P, 9, FALSE),"")</f>
        <v/>
      </c>
      <c r="E370" s="172"/>
      <c r="F370" s="172"/>
      <c r="G370" s="174"/>
      <c r="H370" s="172"/>
      <c r="I370" s="175" t="str">
        <f>IFERROR(VLOOKUP(E370, 'Database Resto'!C:P, 13, FALSE),"")</f>
        <v/>
      </c>
      <c r="J370" s="227">
        <f>I370*1000</f>
        <v>0</v>
      </c>
      <c r="K370" s="176">
        <f>SUM(K369)</f>
        <v>4650.345203</v>
      </c>
      <c r="L370" s="177">
        <f>IFERROR(K370/D369, 0)</f>
        <v>0.4305875188</v>
      </c>
      <c r="M370" s="178">
        <f>D369-K370</f>
        <v>6149.654797</v>
      </c>
      <c r="N370" s="179" t="str">
        <f t="shared" si="125"/>
        <v/>
      </c>
      <c r="O370" s="180" t="s">
        <v>733</v>
      </c>
      <c r="P370" s="181">
        <f>SUM(P369)</f>
        <v>4650.345203</v>
      </c>
      <c r="Q370" s="211">
        <f>IFERROR(P370/D369, 0)</f>
        <v>0.4305875188</v>
      </c>
      <c r="R370" s="184">
        <f>D369-P370</f>
        <v>6149.654797</v>
      </c>
      <c r="S370" s="179" t="str">
        <f t="shared" si="126"/>
        <v/>
      </c>
    </row>
    <row r="371" hidden="1">
      <c r="A371" s="150"/>
      <c r="B371" s="151" t="s">
        <v>3660</v>
      </c>
      <c r="C371" s="290" t="s">
        <v>3661</v>
      </c>
      <c r="D371" s="291">
        <f>IFERROR(VLOOKUP(B371, 'Database Resto'!C:P, 9, FALSE),"")</f>
        <v>10800</v>
      </c>
      <c r="E371" s="152" t="s">
        <v>3536</v>
      </c>
      <c r="F371" s="152" t="s">
        <v>3646</v>
      </c>
      <c r="G371" s="4">
        <v>6.0</v>
      </c>
      <c r="H371" s="152" t="s">
        <v>7</v>
      </c>
      <c r="I371" s="153">
        <f>IFERROR(VLOOKUP(E371, 'Database Resto'!C:P, 13, FALSE),"")</f>
        <v>471.9567691</v>
      </c>
      <c r="J371" s="154">
        <f>I371*40</f>
        <v>18878.27076</v>
      </c>
      <c r="K371" s="154">
        <f>IFERROR(VLOOKUP(E371, 'Database Resto'!C:P, 13, FALSE)* G371, 0)</f>
        <v>2831.740614</v>
      </c>
      <c r="L371" s="292">
        <f>IF(D371="","", IFERROR(IF(B371="", K371/D371, SUMIFS($K:$K, $B:$B, B371)/D371), ""))</f>
        <v>0.262198205</v>
      </c>
      <c r="M371" s="293">
        <f>D371-K371</f>
        <v>7968.259386</v>
      </c>
      <c r="N371" s="294">
        <f t="shared" si="125"/>
        <v>0.737801795</v>
      </c>
      <c r="O371" s="159"/>
      <c r="P371" s="156">
        <f>IF(O371=0, G371*I371, G371*O371)</f>
        <v>2831.740614</v>
      </c>
      <c r="Q371" s="409">
        <f>IF(D371="","", IFERROR(SUMIFS($P:$P, $B:$B, B371)/D371, 0))</f>
        <v>0.262198205</v>
      </c>
      <c r="R371" s="296">
        <f>IF(D371="","", D371 - SUMIFS($P:$P, $B:$B, B371))</f>
        <v>7968.259386</v>
      </c>
      <c r="S371" s="294">
        <f t="shared" si="126"/>
        <v>0.737801795</v>
      </c>
    </row>
    <row r="372" ht="18.0" hidden="1" customHeight="1">
      <c r="A372" s="150"/>
      <c r="B372" s="169"/>
      <c r="C372" s="226"/>
      <c r="D372" s="171" t="str">
        <f>IFERROR(VLOOKUP(B372, 'Database Resto'!C:P, 9, FALSE),"")</f>
        <v/>
      </c>
      <c r="E372" s="172"/>
      <c r="F372" s="172"/>
      <c r="G372" s="174"/>
      <c r="H372" s="172"/>
      <c r="I372" s="175" t="str">
        <f>IFERROR(VLOOKUP(E372, 'Database Resto'!C:P, 13, FALSE),"")</f>
        <v/>
      </c>
      <c r="J372" s="227">
        <f>I372*1000</f>
        <v>0</v>
      </c>
      <c r="K372" s="176">
        <f>SUM(K371)</f>
        <v>2831.740614</v>
      </c>
      <c r="L372" s="177">
        <f>IFERROR(K372/D371, 0)</f>
        <v>0.262198205</v>
      </c>
      <c r="M372" s="178">
        <f>D371-K372</f>
        <v>7968.259386</v>
      </c>
      <c r="N372" s="179" t="str">
        <f t="shared" si="125"/>
        <v/>
      </c>
      <c r="O372" s="180" t="s">
        <v>733</v>
      </c>
      <c r="P372" s="181">
        <f>SUM(P371)</f>
        <v>2831.740614</v>
      </c>
      <c r="Q372" s="211">
        <f>IFERROR(P372/D371, 0)</f>
        <v>0.262198205</v>
      </c>
      <c r="R372" s="184">
        <f>D371-P372</f>
        <v>7968.259386</v>
      </c>
      <c r="S372" s="179" t="str">
        <f t="shared" si="126"/>
        <v/>
      </c>
    </row>
    <row r="373" hidden="1">
      <c r="A373" s="150"/>
      <c r="B373" s="151" t="s">
        <v>3662</v>
      </c>
      <c r="C373" s="290" t="s">
        <v>3663</v>
      </c>
      <c r="D373" s="291">
        <f>IFERROR(VLOOKUP(B373, 'Database Resto'!C:P, 9, FALSE),"")</f>
        <v>10800</v>
      </c>
      <c r="E373" s="152" t="s">
        <v>3544</v>
      </c>
      <c r="F373" s="152" t="s">
        <v>3649</v>
      </c>
      <c r="G373" s="4">
        <v>6.0</v>
      </c>
      <c r="H373" s="152" t="s">
        <v>7</v>
      </c>
      <c r="I373" s="153">
        <f>IFERROR(VLOOKUP(E373, 'Database Resto'!C:P, 13, FALSE),"")</f>
        <v>369.5932029</v>
      </c>
      <c r="J373" s="154">
        <f>I373*36</f>
        <v>13305.3553</v>
      </c>
      <c r="K373" s="154">
        <f>IFERROR(VLOOKUP(E373, 'Database Resto'!C:P, 13, FALSE)* G373, 0)</f>
        <v>2217.559217</v>
      </c>
      <c r="L373" s="292">
        <f>IF(D373="","", IFERROR(IF(B373="", K373/D373, SUMIFS($K:$K, $B:$B, B373)/D373), ""))</f>
        <v>0.2053295572</v>
      </c>
      <c r="M373" s="293">
        <f>D373-K373</f>
        <v>8582.440783</v>
      </c>
      <c r="N373" s="294">
        <f t="shared" si="125"/>
        <v>0.7946704428</v>
      </c>
      <c r="O373" s="159"/>
      <c r="P373" s="156">
        <f>IF(O373=0, G373*I373, G373*O373)</f>
        <v>2217.559217</v>
      </c>
      <c r="Q373" s="409">
        <f>IF(D373="","", IFERROR(SUMIFS($P:$P, $B:$B, B373)/D373, 0))</f>
        <v>0.2053295572</v>
      </c>
      <c r="R373" s="296">
        <f>IF(D373="","", D373 - SUMIFS($P:$P, $B:$B, B373))</f>
        <v>8582.440783</v>
      </c>
      <c r="S373" s="294">
        <f t="shared" si="126"/>
        <v>0.7946704428</v>
      </c>
    </row>
    <row r="374" ht="18.0" hidden="1" customHeight="1">
      <c r="A374" s="150"/>
      <c r="B374" s="169"/>
      <c r="C374" s="226"/>
      <c r="D374" s="171" t="str">
        <f>IFERROR(VLOOKUP(B374, 'Database Resto'!C:P, 9, FALSE),"")</f>
        <v/>
      </c>
      <c r="E374" s="172"/>
      <c r="F374" s="172"/>
      <c r="G374" s="174"/>
      <c r="H374" s="172"/>
      <c r="I374" s="175" t="str">
        <f>IFERROR(VLOOKUP(E374, 'Database Resto'!C:P, 13, FALSE),"")</f>
        <v/>
      </c>
      <c r="J374" s="227">
        <f>I374*1000</f>
        <v>0</v>
      </c>
      <c r="K374" s="176">
        <f>SUM(K373)</f>
        <v>2217.559217</v>
      </c>
      <c r="L374" s="177">
        <f>IFERROR(K374/D373, 0)</f>
        <v>0.2053295572</v>
      </c>
      <c r="M374" s="178">
        <f>D373-K374</f>
        <v>8582.440783</v>
      </c>
      <c r="N374" s="179" t="str">
        <f t="shared" si="125"/>
        <v/>
      </c>
      <c r="O374" s="180" t="s">
        <v>733</v>
      </c>
      <c r="P374" s="181">
        <f>SUM(P373)</f>
        <v>2217.559217</v>
      </c>
      <c r="Q374" s="211">
        <f>IFERROR(P374/D373, 0)</f>
        <v>0.2053295572</v>
      </c>
      <c r="R374" s="184">
        <f>D373-P374</f>
        <v>8582.440783</v>
      </c>
      <c r="S374" s="179" t="str">
        <f t="shared" si="126"/>
        <v/>
      </c>
    </row>
    <row r="375" hidden="1">
      <c r="A375" s="150"/>
      <c r="B375" s="151" t="s">
        <v>3664</v>
      </c>
      <c r="C375" s="290" t="s">
        <v>3665</v>
      </c>
      <c r="D375" s="291">
        <f>IFERROR(VLOOKUP(B375, 'Database Resto'!C:P, 9, FALSE),"")</f>
        <v>10800</v>
      </c>
      <c r="E375" s="152" t="s">
        <v>3542</v>
      </c>
      <c r="F375" s="152" t="s">
        <v>3543</v>
      </c>
      <c r="G375" s="4">
        <v>6.0</v>
      </c>
      <c r="H375" s="152" t="s">
        <v>7</v>
      </c>
      <c r="I375" s="153">
        <f>IFERROR(VLOOKUP(E375, 'Database Resto'!C:P, 13, FALSE),"")</f>
        <v>656.573117</v>
      </c>
      <c r="J375" s="154">
        <f>I375*30</f>
        <v>19697.19351</v>
      </c>
      <c r="K375" s="154">
        <f>IFERROR(VLOOKUP(E375, 'Database Resto'!C:P, 13, FALSE)* G375, 0)</f>
        <v>3939.438702</v>
      </c>
      <c r="L375" s="292">
        <f>IF(D375="","", IFERROR(IF(B375="", K375/D375, SUMIFS($K:$K, $B:$B, B375)/D375), ""))</f>
        <v>0.3647628428</v>
      </c>
      <c r="M375" s="293">
        <f>D375-K375</f>
        <v>6860.561298</v>
      </c>
      <c r="N375" s="294">
        <f t="shared" si="125"/>
        <v>0.6352371572</v>
      </c>
      <c r="O375" s="159"/>
      <c r="P375" s="156">
        <f>IF(O375=0, G375*I375, G375*O375)</f>
        <v>3939.438702</v>
      </c>
      <c r="Q375" s="409">
        <f>IF(D375="","", IFERROR(SUMIFS($P:$P, $B:$B, B375)/D375, 0))</f>
        <v>0.3647628428</v>
      </c>
      <c r="R375" s="296">
        <f>IF(D375="","", D375 - SUMIFS($P:$P, $B:$B, B375))</f>
        <v>6860.561298</v>
      </c>
      <c r="S375" s="294">
        <f t="shared" si="126"/>
        <v>0.6352371572</v>
      </c>
    </row>
    <row r="376" ht="18.0" hidden="1" customHeight="1">
      <c r="A376" s="150"/>
      <c r="B376" s="169"/>
      <c r="C376" s="226"/>
      <c r="D376" s="171" t="str">
        <f>IFERROR(VLOOKUP(B376, 'Database Resto'!C:P, 9, FALSE),"")</f>
        <v/>
      </c>
      <c r="E376" s="172"/>
      <c r="F376" s="172"/>
      <c r="G376" s="174"/>
      <c r="H376" s="172"/>
      <c r="I376" s="175" t="str">
        <f>IFERROR(VLOOKUP(E376, 'Database Resto'!C:P, 13, FALSE),"")</f>
        <v/>
      </c>
      <c r="J376" s="227">
        <f>I376*1000</f>
        <v>0</v>
      </c>
      <c r="K376" s="176">
        <f>SUM(K375)</f>
        <v>3939.438702</v>
      </c>
      <c r="L376" s="177">
        <f>IFERROR(K376/D375, 0)</f>
        <v>0.3647628428</v>
      </c>
      <c r="M376" s="178">
        <f>D375-K376</f>
        <v>6860.561298</v>
      </c>
      <c r="N376" s="179" t="str">
        <f t="shared" si="125"/>
        <v/>
      </c>
      <c r="O376" s="180" t="s">
        <v>733</v>
      </c>
      <c r="P376" s="181">
        <f>SUM(P375)</f>
        <v>3939.438702</v>
      </c>
      <c r="Q376" s="211">
        <f>IFERROR(P376/D375, 0)</f>
        <v>0.3647628428</v>
      </c>
      <c r="R376" s="184">
        <f>D375-P376</f>
        <v>6860.561298</v>
      </c>
      <c r="S376" s="179" t="str">
        <f t="shared" si="126"/>
        <v/>
      </c>
    </row>
    <row r="377" hidden="1">
      <c r="A377" s="150"/>
      <c r="B377" s="151" t="s">
        <v>3666</v>
      </c>
      <c r="C377" s="290" t="s">
        <v>3667</v>
      </c>
      <c r="D377" s="291">
        <f>IFERROR(VLOOKUP(B377, 'Database Resto'!C:P, 9, FALSE),"")</f>
        <v>10800</v>
      </c>
      <c r="E377" s="152" t="s">
        <v>3548</v>
      </c>
      <c r="F377" s="152" t="s">
        <v>3657</v>
      </c>
      <c r="G377" s="2">
        <v>6.0</v>
      </c>
      <c r="H377" s="152" t="s">
        <v>7</v>
      </c>
      <c r="I377" s="153">
        <f>IFERROR(VLOOKUP(E377, 'Database Resto'!C:P, 13, FALSE),"")</f>
        <v>625</v>
      </c>
      <c r="J377" s="154">
        <f>I377*15</f>
        <v>9375</v>
      </c>
      <c r="K377" s="154">
        <f>IFERROR(VLOOKUP(E377, 'Database Resto'!C:P, 13, FALSE)* G377, 0)</f>
        <v>3750</v>
      </c>
      <c r="L377" s="292">
        <f>IF(D377="","", IFERROR(IF(B377="", K377/D377, SUMIFS($K:$K, $B:$B, B377)/D377), ""))</f>
        <v>0.3472222222</v>
      </c>
      <c r="M377" s="293">
        <f>D377-K377</f>
        <v>7050</v>
      </c>
      <c r="N377" s="294">
        <f t="shared" si="125"/>
        <v>0.6527777778</v>
      </c>
      <c r="O377" s="159"/>
      <c r="P377" s="156">
        <f>IF(O377=0, G377*I377, G377*O377)</f>
        <v>3750</v>
      </c>
      <c r="Q377" s="409">
        <f>IF(D377="","", IFERROR(SUMIFS($P:$P, $B:$B, B377)/D377, 0))</f>
        <v>0.3472222222</v>
      </c>
      <c r="R377" s="296">
        <f>IF(D377="","", D377 - SUMIFS($P:$P, $B:$B, B377))</f>
        <v>7050</v>
      </c>
      <c r="S377" s="294">
        <f t="shared" si="126"/>
        <v>0.6527777778</v>
      </c>
    </row>
    <row r="378" ht="18.0" hidden="1" customHeight="1">
      <c r="A378" s="150"/>
      <c r="B378" s="169"/>
      <c r="C378" s="226"/>
      <c r="D378" s="171" t="str">
        <f>IFERROR(VLOOKUP(B378, 'Database Resto'!C:P, 9, FALSE),"")</f>
        <v/>
      </c>
      <c r="E378" s="172"/>
      <c r="F378" s="172"/>
      <c r="G378" s="174"/>
      <c r="H378" s="172"/>
      <c r="I378" s="175" t="str">
        <f>IFERROR(VLOOKUP(E378, 'Database Resto'!C:P, 13, FALSE),"")</f>
        <v/>
      </c>
      <c r="J378" s="227">
        <f>I378*1000</f>
        <v>0</v>
      </c>
      <c r="K378" s="176">
        <f>SUM(K377)</f>
        <v>3750</v>
      </c>
      <c r="L378" s="177">
        <f>IFERROR(K378/D377, 0)</f>
        <v>0.3472222222</v>
      </c>
      <c r="M378" s="178">
        <f>D377-K378</f>
        <v>7050</v>
      </c>
      <c r="N378" s="179" t="str">
        <f t="shared" si="125"/>
        <v/>
      </c>
      <c r="O378" s="180" t="s">
        <v>733</v>
      </c>
      <c r="P378" s="181">
        <f>SUM(P377)</f>
        <v>3750</v>
      </c>
      <c r="Q378" s="211">
        <f>IFERROR(P378/D377, 0)</f>
        <v>0.3472222222</v>
      </c>
      <c r="R378" s="184">
        <f>D377-P378</f>
        <v>7050</v>
      </c>
      <c r="S378" s="179" t="str">
        <f t="shared" si="126"/>
        <v/>
      </c>
    </row>
    <row r="379" hidden="1">
      <c r="A379" s="150"/>
      <c r="B379" s="151" t="s">
        <v>3668</v>
      </c>
      <c r="C379" s="290" t="s">
        <v>3669</v>
      </c>
      <c r="D379" s="291">
        <f>IFERROR(VLOOKUP(B379, 'Database Resto'!C:P, 9, FALSE),"")</f>
        <v>10800</v>
      </c>
      <c r="E379" s="152" t="s">
        <v>3538</v>
      </c>
      <c r="F379" s="152" t="s">
        <v>3654</v>
      </c>
      <c r="G379" s="4">
        <v>6.0</v>
      </c>
      <c r="H379" s="152" t="s">
        <v>7</v>
      </c>
      <c r="I379" s="153">
        <f>IFERROR(VLOOKUP(E379, 'Database Resto'!C:P, 13, FALSE),"")</f>
        <v>341.5787161</v>
      </c>
      <c r="J379" s="154">
        <f>I379*36</f>
        <v>12296.83378</v>
      </c>
      <c r="K379" s="154">
        <f>IFERROR(VLOOKUP(E379, 'Database Resto'!C:P, 13, FALSE)* G379, 0)</f>
        <v>2049.472297</v>
      </c>
      <c r="L379" s="292">
        <f>IF(D379="","", IFERROR(IF(B379="", K379/D379, SUMIFS($K:$K, $B:$B, B379)/D379), ""))</f>
        <v>0.1897659534</v>
      </c>
      <c r="M379" s="293">
        <f>D379-K379</f>
        <v>8750.527703</v>
      </c>
      <c r="N379" s="294">
        <f t="shared" si="125"/>
        <v>0.8102340466</v>
      </c>
      <c r="O379" s="159"/>
      <c r="P379" s="156">
        <f>IF(O379=0, G379*I379, G379*O379)</f>
        <v>2049.472297</v>
      </c>
      <c r="Q379" s="409">
        <f>IF(D379="","", IFERROR(SUMIFS($P:$P, $B:$B, B379)/D379, 0))</f>
        <v>0.1897659534</v>
      </c>
      <c r="R379" s="296">
        <f>IF(D379="","", D379 - SUMIFS($P:$P, $B:$B, B379))</f>
        <v>8750.527703</v>
      </c>
      <c r="S379" s="294">
        <f t="shared" si="126"/>
        <v>0.8102340466</v>
      </c>
    </row>
    <row r="380" ht="18.0" hidden="1" customHeight="1">
      <c r="A380" s="150"/>
      <c r="B380" s="169"/>
      <c r="C380" s="226"/>
      <c r="D380" s="171" t="str">
        <f>IFERROR(VLOOKUP(B380, 'Database Resto'!C:P, 9, FALSE),"")</f>
        <v/>
      </c>
      <c r="E380" s="172"/>
      <c r="F380" s="172"/>
      <c r="G380" s="174"/>
      <c r="H380" s="172"/>
      <c r="I380" s="175" t="str">
        <f>IFERROR(VLOOKUP(E380, 'Database Resto'!C:P, 13, FALSE),"")</f>
        <v/>
      </c>
      <c r="J380" s="227">
        <f t="shared" ref="J380:J396" si="128">I380*1000</f>
        <v>0</v>
      </c>
      <c r="K380" s="176">
        <f>SUM(K379)</f>
        <v>2049.472297</v>
      </c>
      <c r="L380" s="177">
        <f>IFERROR(K380/D379, 0)</f>
        <v>0.1897659534</v>
      </c>
      <c r="M380" s="178">
        <f>D379-K380</f>
        <v>8750.527703</v>
      </c>
      <c r="N380" s="179" t="str">
        <f t="shared" si="125"/>
        <v/>
      </c>
      <c r="O380" s="180" t="s">
        <v>733</v>
      </c>
      <c r="P380" s="181">
        <f>SUM(P379)</f>
        <v>2049.472297</v>
      </c>
      <c r="Q380" s="211">
        <f>IFERROR(P380/D379, 0)</f>
        <v>0.1897659534</v>
      </c>
      <c r="R380" s="184">
        <f>D379-P380</f>
        <v>8750.527703</v>
      </c>
      <c r="S380" s="179" t="str">
        <f t="shared" si="126"/>
        <v/>
      </c>
    </row>
    <row r="381" hidden="1">
      <c r="A381" s="150"/>
      <c r="B381" s="151" t="s">
        <v>3670</v>
      </c>
      <c r="C381" s="290" t="s">
        <v>3671</v>
      </c>
      <c r="D381" s="291">
        <f>IFERROR(VLOOKUP(B381, 'Database Resto'!C:P, 9, FALSE),"")</f>
        <v>5400</v>
      </c>
      <c r="E381" s="152" t="s">
        <v>3550</v>
      </c>
      <c r="F381" s="152" t="s">
        <v>3551</v>
      </c>
      <c r="G381" s="4">
        <v>3.0</v>
      </c>
      <c r="H381" s="152" t="s">
        <v>7</v>
      </c>
      <c r="I381" s="153">
        <f>IFERROR(VLOOKUP(E381, 'Database Resto'!C:P, 13, FALSE),"")</f>
        <v>500</v>
      </c>
      <c r="J381" s="154">
        <f t="shared" si="128"/>
        <v>500000</v>
      </c>
      <c r="K381" s="154">
        <f>IFERROR(VLOOKUP(E381, 'Database Resto'!C:P, 13, FALSE)* G381, 0)</f>
        <v>1500</v>
      </c>
      <c r="L381" s="292">
        <f>IF(D381="","", IFERROR(IF(B381="", K381/D381, SUMIFS($K:$K, $B:$B, B381)/D381), ""))</f>
        <v>0.2777777778</v>
      </c>
      <c r="M381" s="293">
        <f>D381-K381</f>
        <v>3900</v>
      </c>
      <c r="N381" s="294">
        <f t="shared" si="125"/>
        <v>0.7222222222</v>
      </c>
      <c r="O381" s="159"/>
      <c r="P381" s="156">
        <f>IF(O381=0, G381*I381, G381*O381)</f>
        <v>1500</v>
      </c>
      <c r="Q381" s="409">
        <f>IF(D381="","", IFERROR(SUMIFS($P:$P, $B:$B, B381)/D381, 0))</f>
        <v>0.2777777778</v>
      </c>
      <c r="R381" s="296">
        <f>IF(D381="","", D381 - SUMIFS($P:$P, $B:$B, B381))</f>
        <v>3900</v>
      </c>
      <c r="S381" s="294">
        <f t="shared" si="126"/>
        <v>0.7222222222</v>
      </c>
    </row>
    <row r="382" ht="18.0" hidden="1" customHeight="1">
      <c r="A382" s="150"/>
      <c r="B382" s="169"/>
      <c r="C382" s="226"/>
      <c r="D382" s="171" t="str">
        <f>IFERROR(VLOOKUP(B382, 'Database Resto'!C:P, 9, FALSE),"")</f>
        <v/>
      </c>
      <c r="E382" s="172"/>
      <c r="F382" s="172"/>
      <c r="G382" s="174"/>
      <c r="H382" s="172"/>
      <c r="I382" s="175" t="str">
        <f>IFERROR(VLOOKUP(E382, 'Database Resto'!C:P, 13, FALSE),"")</f>
        <v/>
      </c>
      <c r="J382" s="227">
        <f t="shared" si="128"/>
        <v>0</v>
      </c>
      <c r="K382" s="176">
        <f>SUM(K381)</f>
        <v>1500</v>
      </c>
      <c r="L382" s="177">
        <f>IFERROR(K382/D381, 0)</f>
        <v>0.2777777778</v>
      </c>
      <c r="M382" s="178">
        <f>D381-K382</f>
        <v>3900</v>
      </c>
      <c r="N382" s="179" t="str">
        <f t="shared" si="125"/>
        <v/>
      </c>
      <c r="O382" s="180" t="s">
        <v>733</v>
      </c>
      <c r="P382" s="181">
        <f>SUM(P381)</f>
        <v>1500</v>
      </c>
      <c r="Q382" s="211">
        <f>IFERROR(P382/D381, 0)</f>
        <v>0.2777777778</v>
      </c>
      <c r="R382" s="184">
        <f>D381-P382</f>
        <v>3900</v>
      </c>
      <c r="S382" s="179" t="str">
        <f t="shared" si="126"/>
        <v/>
      </c>
    </row>
    <row r="383" hidden="1">
      <c r="A383" s="150"/>
      <c r="B383" s="151" t="s">
        <v>3672</v>
      </c>
      <c r="C383" s="290" t="s">
        <v>3673</v>
      </c>
      <c r="D383" s="291">
        <f>IFERROR(VLOOKUP(B383, 'Database Resto'!C:P, 9, FALSE),"")</f>
        <v>10800</v>
      </c>
      <c r="E383" s="152" t="s">
        <v>3550</v>
      </c>
      <c r="F383" s="152" t="s">
        <v>3551</v>
      </c>
      <c r="G383" s="4">
        <v>6.0</v>
      </c>
      <c r="H383" s="152" t="s">
        <v>7</v>
      </c>
      <c r="I383" s="153">
        <f>IFERROR(VLOOKUP(E383, 'Database Resto'!C:P, 13, FALSE),"")</f>
        <v>500</v>
      </c>
      <c r="J383" s="154">
        <f t="shared" si="128"/>
        <v>500000</v>
      </c>
      <c r="K383" s="154">
        <f>IFERROR(VLOOKUP(E383, 'Database Resto'!C:P, 13, FALSE)* G383, 0)</f>
        <v>3000</v>
      </c>
      <c r="L383" s="292">
        <f>IF(D383="","", IFERROR(IF(B383="", K383/D383, SUMIFS($K:$K, $B:$B, B383)/D383), ""))</f>
        <v>0.2777777778</v>
      </c>
      <c r="M383" s="293">
        <f>D383-K383</f>
        <v>7800</v>
      </c>
      <c r="N383" s="294">
        <f t="shared" si="125"/>
        <v>0.7222222222</v>
      </c>
      <c r="O383" s="159"/>
      <c r="P383" s="156">
        <f>IF(O383=0, G383*I383, G383*O383)</f>
        <v>3000</v>
      </c>
      <c r="Q383" s="409">
        <f>IF(D383="","", IFERROR(SUMIFS($P:$P, $B:$B, B383)/D383, 0))</f>
        <v>0.2777777778</v>
      </c>
      <c r="R383" s="296">
        <f>IF(D383="","", D383 - SUMIFS($P:$P, $B:$B, B383))</f>
        <v>7800</v>
      </c>
      <c r="S383" s="294">
        <f t="shared" si="126"/>
        <v>0.7222222222</v>
      </c>
    </row>
    <row r="384" ht="18.0" hidden="1" customHeight="1">
      <c r="A384" s="150"/>
      <c r="B384" s="169"/>
      <c r="C384" s="226"/>
      <c r="D384" s="171" t="str">
        <f>IFERROR(VLOOKUP(B384, 'Database Resto'!C:P, 9, FALSE),"")</f>
        <v/>
      </c>
      <c r="E384" s="172"/>
      <c r="F384" s="172"/>
      <c r="G384" s="288"/>
      <c r="H384" s="289"/>
      <c r="I384" s="175" t="str">
        <f>IFERROR(VLOOKUP(E384, 'Database Resto'!C:P, 13, FALSE),"")</f>
        <v/>
      </c>
      <c r="J384" s="227">
        <f t="shared" si="128"/>
        <v>0</v>
      </c>
      <c r="K384" s="176">
        <f>SUM(K383)</f>
        <v>3000</v>
      </c>
      <c r="L384" s="177">
        <f>IFERROR(K384/D383, 0)</f>
        <v>0.2777777778</v>
      </c>
      <c r="M384" s="178">
        <f>D383-K384</f>
        <v>7800</v>
      </c>
      <c r="N384" s="179" t="str">
        <f t="shared" si="125"/>
        <v/>
      </c>
      <c r="O384" s="180" t="s">
        <v>733</v>
      </c>
      <c r="P384" s="181">
        <f>SUM(P383)</f>
        <v>3000</v>
      </c>
      <c r="Q384" s="211">
        <f>IFERROR(P384/D383, 0)</f>
        <v>0.2777777778</v>
      </c>
      <c r="R384" s="184">
        <f>D383-P384</f>
        <v>7800</v>
      </c>
      <c r="S384" s="179" t="str">
        <f t="shared" si="126"/>
        <v/>
      </c>
    </row>
    <row r="385" hidden="1">
      <c r="A385" s="150"/>
      <c r="B385" s="236" t="s">
        <v>3674</v>
      </c>
      <c r="C385" s="188" t="s">
        <v>3675</v>
      </c>
      <c r="D385" s="190">
        <f>IFERROR(VLOOKUP(B385, 'Database Resto'!C:P, 9, FALSE),"")</f>
        <v>7900</v>
      </c>
      <c r="E385" s="152" t="s">
        <v>3534</v>
      </c>
      <c r="F385" s="152" t="s">
        <v>3535</v>
      </c>
      <c r="G385" s="4">
        <v>1.0</v>
      </c>
      <c r="H385" s="152" t="s">
        <v>7</v>
      </c>
      <c r="I385" s="153">
        <f>IFERROR(VLOOKUP(E385, 'Database Resto'!C:P, 13, FALSE),"")</f>
        <v>775.0575339</v>
      </c>
      <c r="J385" s="154">
        <f t="shared" si="128"/>
        <v>775057.5339</v>
      </c>
      <c r="K385" s="154">
        <f>IFERROR(VLOOKUP(E385, 'Database Resto'!C:P, 13, FALSE)* G385, 0)</f>
        <v>775.0575339</v>
      </c>
      <c r="L385" s="193">
        <f>IF(D385="","", IFERROR(IF(B385="", K385/D385, SUMIFS($K:$K, $B:$B, B385)/D385), ""))</f>
        <v>0.0981085486</v>
      </c>
      <c r="M385" s="212">
        <f>D385-SUM(K385:K388)</f>
        <v>5757.19743</v>
      </c>
      <c r="N385" s="196">
        <f t="shared" si="125"/>
        <v>0.7287591684</v>
      </c>
      <c r="O385" s="159"/>
      <c r="P385" s="156">
        <f t="shared" ref="P385:P388" si="129">IF(O385=0, G385*I385, G385*O385)</f>
        <v>775.0575339</v>
      </c>
      <c r="Q385" s="200">
        <f>IF(D385="","", IFERROR(SUMIFS($P:$P, $B:$B, B385)/D385, 0))</f>
        <v>0.0981085486</v>
      </c>
      <c r="R385" s="206">
        <f>IF(D385="","", D385 - SUMIFS($P:$P, $B:$B, B385))</f>
        <v>7124.942466</v>
      </c>
      <c r="S385" s="196">
        <f t="shared" si="126"/>
        <v>0.9018914514</v>
      </c>
    </row>
    <row r="386" hidden="1">
      <c r="A386" s="150"/>
      <c r="C386" s="136"/>
      <c r="D386" s="137"/>
      <c r="E386" s="152" t="s">
        <v>3538</v>
      </c>
      <c r="F386" s="152" t="s">
        <v>3654</v>
      </c>
      <c r="G386" s="4">
        <v>1.0</v>
      </c>
      <c r="H386" s="152" t="s">
        <v>7</v>
      </c>
      <c r="I386" s="153">
        <f>IFERROR(VLOOKUP(E386, 'Database Resto'!C:P, 13, FALSE),"")</f>
        <v>341.5787161</v>
      </c>
      <c r="J386" s="154">
        <f t="shared" si="128"/>
        <v>341578.7161</v>
      </c>
      <c r="K386" s="154">
        <f>IFERROR(VLOOKUP(E386, 'Database Resto'!C:P, 13, FALSE)* G386, 0)</f>
        <v>341.5787161</v>
      </c>
      <c r="L386" s="137"/>
      <c r="M386" s="137"/>
      <c r="N386" s="137"/>
      <c r="O386" s="159"/>
      <c r="P386" s="156">
        <f t="shared" si="129"/>
        <v>341.5787161</v>
      </c>
      <c r="Q386" s="157"/>
      <c r="R386" s="137"/>
      <c r="S386" s="137"/>
    </row>
    <row r="387" hidden="1">
      <c r="A387" s="150"/>
      <c r="C387" s="136"/>
      <c r="D387" s="137"/>
      <c r="E387" s="152" t="s">
        <v>3542</v>
      </c>
      <c r="F387" s="152" t="s">
        <v>3543</v>
      </c>
      <c r="G387" s="4">
        <v>1.0</v>
      </c>
      <c r="H387" s="152" t="s">
        <v>7</v>
      </c>
      <c r="I387" s="153">
        <f>IFERROR(VLOOKUP(E387, 'Database Resto'!C:P, 13, FALSE),"")</f>
        <v>656.573117</v>
      </c>
      <c r="J387" s="154">
        <f t="shared" si="128"/>
        <v>656573.117</v>
      </c>
      <c r="K387" s="154">
        <f>IFERROR(VLOOKUP(E387, 'Database Resto'!C:P, 13, FALSE)* G387, 0)</f>
        <v>656.573117</v>
      </c>
      <c r="L387" s="137"/>
      <c r="M387" s="137"/>
      <c r="N387" s="137"/>
      <c r="O387" s="159"/>
      <c r="P387" s="156">
        <f t="shared" si="129"/>
        <v>656.573117</v>
      </c>
      <c r="Q387" s="157"/>
      <c r="R387" s="137"/>
      <c r="S387" s="137"/>
    </row>
    <row r="388" hidden="1">
      <c r="A388" s="150"/>
      <c r="B388" s="99"/>
      <c r="C388" s="66"/>
      <c r="D388" s="67"/>
      <c r="E388" s="152" t="s">
        <v>3544</v>
      </c>
      <c r="F388" s="152" t="s">
        <v>3649</v>
      </c>
      <c r="G388" s="4">
        <v>1.0</v>
      </c>
      <c r="H388" s="152" t="s">
        <v>7</v>
      </c>
      <c r="I388" s="153">
        <f>IFERROR(VLOOKUP(E388, 'Database Resto'!C:P, 13, FALSE),"")</f>
        <v>369.5932029</v>
      </c>
      <c r="J388" s="154">
        <f t="shared" si="128"/>
        <v>369593.2029</v>
      </c>
      <c r="K388" s="154">
        <f>IFERROR(VLOOKUP(E388, 'Database Resto'!C:P, 13, FALSE)* G388, 0)</f>
        <v>369.5932029</v>
      </c>
      <c r="L388" s="67"/>
      <c r="M388" s="67"/>
      <c r="N388" s="67"/>
      <c r="O388" s="159"/>
      <c r="P388" s="156">
        <f t="shared" si="129"/>
        <v>369.5932029</v>
      </c>
      <c r="Q388" s="168"/>
      <c r="R388" s="67"/>
      <c r="S388" s="67"/>
    </row>
    <row r="389" ht="18.0" hidden="1" customHeight="1">
      <c r="A389" s="150"/>
      <c r="B389" s="169"/>
      <c r="C389" s="226"/>
      <c r="D389" s="171" t="str">
        <f>IFERROR(VLOOKUP(B389, 'Database Resto'!C:P, 9, FALSE),"")</f>
        <v/>
      </c>
      <c r="E389" s="172"/>
      <c r="F389" s="172"/>
      <c r="G389" s="174"/>
      <c r="H389" s="172"/>
      <c r="I389" s="175" t="str">
        <f>IFERROR(VLOOKUP(E389, 'Database Resto'!C:P, 13, FALSE),"")</f>
        <v/>
      </c>
      <c r="J389" s="227">
        <f t="shared" si="128"/>
        <v>0</v>
      </c>
      <c r="K389" s="176">
        <f>SUM(K385:K388)</f>
        <v>2142.80257</v>
      </c>
      <c r="L389" s="177">
        <f>IFERROR(K389/D385, 0)</f>
        <v>0.2712408316</v>
      </c>
      <c r="M389" s="178">
        <f>D385-K389</f>
        <v>5757.19743</v>
      </c>
      <c r="N389" s="179" t="str">
        <f t="shared" ref="N389:N390" si="130">IFERROR(M389/D389, )</f>
        <v/>
      </c>
      <c r="O389" s="180" t="s">
        <v>733</v>
      </c>
      <c r="P389" s="181">
        <f>SUM(P385:P388)</f>
        <v>2142.80257</v>
      </c>
      <c r="Q389" s="211">
        <f>IFERROR(P389/D385, 0)</f>
        <v>0.2712408316</v>
      </c>
      <c r="R389" s="184">
        <f>D385-P389</f>
        <v>5757.19743</v>
      </c>
      <c r="S389" s="179" t="str">
        <f t="shared" ref="S389:S390" si="131">IFERROR(R389/D389, )</f>
        <v/>
      </c>
    </row>
    <row r="390" hidden="1">
      <c r="A390" s="150"/>
      <c r="B390" s="236" t="s">
        <v>3676</v>
      </c>
      <c r="C390" s="188" t="s">
        <v>3677</v>
      </c>
      <c r="D390" s="190">
        <f>IFERROR(VLOOKUP(B390, 'Database Resto'!C:P, 9, FALSE),"")</f>
        <v>10800</v>
      </c>
      <c r="E390" s="152" t="s">
        <v>3534</v>
      </c>
      <c r="F390" s="152" t="s">
        <v>3535</v>
      </c>
      <c r="G390" s="2">
        <v>1.0</v>
      </c>
      <c r="H390" s="152" t="s">
        <v>7</v>
      </c>
      <c r="I390" s="153">
        <f>IFERROR(VLOOKUP(E390, 'Database Resto'!C:P, 13, FALSE),"")</f>
        <v>775.0575339</v>
      </c>
      <c r="J390" s="154">
        <f t="shared" si="128"/>
        <v>775057.5339</v>
      </c>
      <c r="K390" s="154">
        <f>IFERROR(VLOOKUP(E390, 'Database Resto'!C:P, 13, FALSE)* G390, 0)</f>
        <v>775.0575339</v>
      </c>
      <c r="L390" s="193">
        <f>IF(D390="","", IFERROR(IF(B390="", K390/D390, SUMIFS($K:$K, $B:$B, B390)/D390), ""))</f>
        <v>0.07176458647</v>
      </c>
      <c r="M390" s="212">
        <f>D390-SUM(K390:K395)</f>
        <v>7560.240661</v>
      </c>
      <c r="N390" s="196">
        <f t="shared" si="130"/>
        <v>0.7000222834</v>
      </c>
      <c r="O390" s="159"/>
      <c r="P390" s="156">
        <f t="shared" ref="P390:P395" si="132">IF(O390=0, G390*I390, G390*O390)</f>
        <v>775.0575339</v>
      </c>
      <c r="Q390" s="200">
        <f>IF(D390="","", IFERROR(SUMIFS($P:$P, $B:$B, B390)/D390, 0))</f>
        <v>0.07176458647</v>
      </c>
      <c r="R390" s="206">
        <f>IF(D390="","", D390 - SUMIFS($P:$P, $B:$B, B390))</f>
        <v>10024.94247</v>
      </c>
      <c r="S390" s="196">
        <f t="shared" si="131"/>
        <v>0.9282354135</v>
      </c>
    </row>
    <row r="391" hidden="1">
      <c r="A391" s="150"/>
      <c r="C391" s="136"/>
      <c r="D391" s="137"/>
      <c r="E391" s="152" t="s">
        <v>3536</v>
      </c>
      <c r="F391" s="152" t="s">
        <v>3646</v>
      </c>
      <c r="G391" s="2">
        <v>1.0</v>
      </c>
      <c r="H391" s="152" t="s">
        <v>7</v>
      </c>
      <c r="I391" s="153">
        <f>IFERROR(VLOOKUP(E391, 'Database Resto'!C:P, 13, FALSE),"")</f>
        <v>471.9567691</v>
      </c>
      <c r="J391" s="154">
        <f t="shared" si="128"/>
        <v>471956.7691</v>
      </c>
      <c r="K391" s="154">
        <f>IFERROR(VLOOKUP(E391, 'Database Resto'!C:P, 13, FALSE)* G391, 0)</f>
        <v>471.9567691</v>
      </c>
      <c r="L391" s="137"/>
      <c r="M391" s="137"/>
      <c r="N391" s="137"/>
      <c r="O391" s="159"/>
      <c r="P391" s="156">
        <f t="shared" si="132"/>
        <v>471.9567691</v>
      </c>
      <c r="Q391" s="157"/>
      <c r="R391" s="137"/>
      <c r="S391" s="137"/>
    </row>
    <row r="392" hidden="1">
      <c r="A392" s="150"/>
      <c r="C392" s="136"/>
      <c r="D392" s="137"/>
      <c r="E392" s="152" t="s">
        <v>3538</v>
      </c>
      <c r="F392" s="152" t="s">
        <v>3654</v>
      </c>
      <c r="G392" s="2">
        <v>1.0</v>
      </c>
      <c r="H392" s="152" t="s">
        <v>7</v>
      </c>
      <c r="I392" s="153">
        <f>IFERROR(VLOOKUP(E392, 'Database Resto'!C:P, 13, FALSE),"")</f>
        <v>341.5787161</v>
      </c>
      <c r="J392" s="154">
        <f t="shared" si="128"/>
        <v>341578.7161</v>
      </c>
      <c r="K392" s="154">
        <f>IFERROR(VLOOKUP(E392, 'Database Resto'!C:P, 13, FALSE)* G392, 0)</f>
        <v>341.5787161</v>
      </c>
      <c r="L392" s="137"/>
      <c r="M392" s="137"/>
      <c r="N392" s="137"/>
      <c r="O392" s="159"/>
      <c r="P392" s="156">
        <f t="shared" si="132"/>
        <v>341.5787161</v>
      </c>
      <c r="Q392" s="157"/>
      <c r="R392" s="137"/>
      <c r="S392" s="137"/>
    </row>
    <row r="393" hidden="1">
      <c r="A393" s="150"/>
      <c r="C393" s="136"/>
      <c r="D393" s="137"/>
      <c r="E393" s="152" t="s">
        <v>3542</v>
      </c>
      <c r="F393" s="152" t="s">
        <v>3543</v>
      </c>
      <c r="G393" s="2">
        <v>1.0</v>
      </c>
      <c r="H393" s="152" t="s">
        <v>7</v>
      </c>
      <c r="I393" s="153">
        <f>IFERROR(VLOOKUP(E393, 'Database Resto'!C:P, 13, FALSE),"")</f>
        <v>656.573117</v>
      </c>
      <c r="J393" s="154">
        <f t="shared" si="128"/>
        <v>656573.117</v>
      </c>
      <c r="K393" s="154">
        <f>IFERROR(VLOOKUP(E393, 'Database Resto'!C:P, 13, FALSE)* G393, 0)</f>
        <v>656.573117</v>
      </c>
      <c r="L393" s="137"/>
      <c r="M393" s="137"/>
      <c r="N393" s="137"/>
      <c r="O393" s="159"/>
      <c r="P393" s="156">
        <f t="shared" si="132"/>
        <v>656.573117</v>
      </c>
      <c r="Q393" s="157"/>
      <c r="R393" s="137"/>
      <c r="S393" s="137"/>
    </row>
    <row r="394" hidden="1">
      <c r="A394" s="150"/>
      <c r="C394" s="136"/>
      <c r="D394" s="137"/>
      <c r="E394" s="152" t="s">
        <v>3544</v>
      </c>
      <c r="F394" s="152" t="s">
        <v>3649</v>
      </c>
      <c r="G394" s="2">
        <v>1.0</v>
      </c>
      <c r="H394" s="152" t="s">
        <v>7</v>
      </c>
      <c r="I394" s="153">
        <f>IFERROR(VLOOKUP(E394, 'Database Resto'!C:P, 13, FALSE),"")</f>
        <v>369.5932029</v>
      </c>
      <c r="J394" s="154">
        <f t="shared" si="128"/>
        <v>369593.2029</v>
      </c>
      <c r="K394" s="154">
        <f>IFERROR(VLOOKUP(E394, 'Database Resto'!C:P, 13, FALSE)* G394, 0)</f>
        <v>369.5932029</v>
      </c>
      <c r="L394" s="137"/>
      <c r="M394" s="137"/>
      <c r="N394" s="137"/>
      <c r="O394" s="159"/>
      <c r="P394" s="156">
        <f t="shared" si="132"/>
        <v>369.5932029</v>
      </c>
      <c r="Q394" s="157"/>
      <c r="R394" s="137"/>
      <c r="S394" s="137"/>
    </row>
    <row r="395" hidden="1">
      <c r="A395" s="150"/>
      <c r="B395" s="99"/>
      <c r="C395" s="66"/>
      <c r="D395" s="67"/>
      <c r="E395" s="152" t="s">
        <v>3548</v>
      </c>
      <c r="F395" s="152" t="s">
        <v>3657</v>
      </c>
      <c r="G395" s="2">
        <v>1.0</v>
      </c>
      <c r="H395" s="152" t="s">
        <v>7</v>
      </c>
      <c r="I395" s="153">
        <f>IFERROR(VLOOKUP(E395, 'Database Resto'!C:P, 13, FALSE),"")</f>
        <v>625</v>
      </c>
      <c r="J395" s="154">
        <f t="shared" si="128"/>
        <v>625000</v>
      </c>
      <c r="K395" s="154">
        <f>IFERROR(VLOOKUP(E395, 'Database Resto'!C:P, 13, FALSE)* G395, 0)</f>
        <v>625</v>
      </c>
      <c r="L395" s="67"/>
      <c r="M395" s="67"/>
      <c r="N395" s="67"/>
      <c r="O395" s="159"/>
      <c r="P395" s="156">
        <f t="shared" si="132"/>
        <v>625</v>
      </c>
      <c r="Q395" s="168"/>
      <c r="R395" s="67"/>
      <c r="S395" s="67"/>
    </row>
    <row r="396" ht="18.0" hidden="1" customHeight="1">
      <c r="A396" s="378"/>
      <c r="B396" s="379"/>
      <c r="C396" s="427"/>
      <c r="D396" s="428" t="str">
        <f>IFERROR(VLOOKUP(B396, 'Database Resto'!C:P, 9, FALSE),"")</f>
        <v/>
      </c>
      <c r="E396" s="382"/>
      <c r="F396" s="382"/>
      <c r="G396" s="383"/>
      <c r="H396" s="382"/>
      <c r="I396" s="384" t="str">
        <f>IFERROR(VLOOKUP(E396, 'Database Resto'!C:P, 13, FALSE),"")</f>
        <v/>
      </c>
      <c r="J396" s="429">
        <f t="shared" si="128"/>
        <v>0</v>
      </c>
      <c r="K396" s="386">
        <f>SUM(K390:K395)</f>
        <v>3239.759339</v>
      </c>
      <c r="L396" s="430">
        <f>IFERROR(K396/D390, 0)</f>
        <v>0.2999777166</v>
      </c>
      <c r="M396" s="431">
        <f>D390-K396</f>
        <v>7560.240661</v>
      </c>
      <c r="N396" s="432" t="str">
        <f>IFERROR(M396/D396, )</f>
        <v/>
      </c>
      <c r="O396" s="390" t="s">
        <v>733</v>
      </c>
      <c r="P396" s="391">
        <f>SUM(P390:P395)</f>
        <v>3239.759339</v>
      </c>
      <c r="Q396" s="433">
        <f>IFERROR(P396/D390, 0)</f>
        <v>0.2999777166</v>
      </c>
      <c r="R396" s="434">
        <f>D390-P396</f>
        <v>7560.240661</v>
      </c>
      <c r="S396" s="432" t="str">
        <f>IFERROR(R396/D396, )</f>
        <v/>
      </c>
    </row>
    <row r="397">
      <c r="A397" s="91"/>
      <c r="B397" s="435"/>
      <c r="C397" s="436"/>
      <c r="D397" s="437"/>
      <c r="E397" s="91"/>
      <c r="F397" s="91"/>
      <c r="G397" s="438"/>
      <c r="H397" s="91"/>
      <c r="I397" s="439"/>
      <c r="J397" s="440"/>
      <c r="K397" s="440"/>
      <c r="L397" s="441"/>
      <c r="M397" s="442"/>
      <c r="N397" s="443"/>
      <c r="O397" s="439"/>
      <c r="P397" s="444"/>
      <c r="Q397" s="445"/>
      <c r="R397" s="446"/>
    </row>
    <row r="398">
      <c r="A398" s="91"/>
      <c r="B398" s="435"/>
      <c r="C398" s="436"/>
      <c r="D398" s="437"/>
      <c r="E398" s="91"/>
      <c r="F398" s="91"/>
      <c r="G398" s="438"/>
      <c r="H398" s="91"/>
      <c r="I398" s="439"/>
      <c r="J398" s="440"/>
      <c r="K398" s="440"/>
      <c r="L398" s="441"/>
      <c r="M398" s="442"/>
      <c r="N398" s="443"/>
      <c r="O398" s="439"/>
      <c r="P398" s="444"/>
      <c r="Q398" s="445"/>
      <c r="R398" s="446"/>
    </row>
  </sheetData>
  <mergeCells count="296">
    <mergeCell ref="Q54:Q62"/>
    <mergeCell ref="Q64:Q72"/>
    <mergeCell ref="B74:B82"/>
    <mergeCell ref="C74:C82"/>
    <mergeCell ref="L54:L62"/>
    <mergeCell ref="L74:L82"/>
    <mergeCell ref="M74:M82"/>
    <mergeCell ref="N74:N82"/>
    <mergeCell ref="R74:R82"/>
    <mergeCell ref="S74:S82"/>
    <mergeCell ref="L84:L92"/>
    <mergeCell ref="M84:M92"/>
    <mergeCell ref="Q74:Q82"/>
    <mergeCell ref="Q84:Q92"/>
    <mergeCell ref="R84:R92"/>
    <mergeCell ref="S84:S92"/>
    <mergeCell ref="R94:R104"/>
    <mergeCell ref="S94:S104"/>
    <mergeCell ref="B94:B104"/>
    <mergeCell ref="C94:C104"/>
    <mergeCell ref="D74:D82"/>
    <mergeCell ref="B84:B92"/>
    <mergeCell ref="C84:C92"/>
    <mergeCell ref="D84:D92"/>
    <mergeCell ref="N47:N52"/>
    <mergeCell ref="Q47:Q52"/>
    <mergeCell ref="A54:A115"/>
    <mergeCell ref="C54:C62"/>
    <mergeCell ref="D54:D62"/>
    <mergeCell ref="N64:N72"/>
    <mergeCell ref="N106:N113"/>
    <mergeCell ref="B116:B124"/>
    <mergeCell ref="B126:B134"/>
    <mergeCell ref="C126:C134"/>
    <mergeCell ref="D126:D134"/>
    <mergeCell ref="B136:B144"/>
    <mergeCell ref="C136:C144"/>
    <mergeCell ref="C146:C156"/>
    <mergeCell ref="D146:D156"/>
    <mergeCell ref="Q136:Q144"/>
    <mergeCell ref="Q146:Q156"/>
    <mergeCell ref="R146:R156"/>
    <mergeCell ref="S146:S156"/>
    <mergeCell ref="L126:L134"/>
    <mergeCell ref="L136:L144"/>
    <mergeCell ref="M136:M144"/>
    <mergeCell ref="N136:N144"/>
    <mergeCell ref="L146:L156"/>
    <mergeCell ref="M146:M156"/>
    <mergeCell ref="N146:N156"/>
    <mergeCell ref="M254:M265"/>
    <mergeCell ref="N254:N265"/>
    <mergeCell ref="L228:L239"/>
    <mergeCell ref="M228:M239"/>
    <mergeCell ref="N228:N239"/>
    <mergeCell ref="L241:L252"/>
    <mergeCell ref="M241:M252"/>
    <mergeCell ref="N241:N252"/>
    <mergeCell ref="L254:L265"/>
    <mergeCell ref="N84:N92"/>
    <mergeCell ref="L94:L104"/>
    <mergeCell ref="M94:M104"/>
    <mergeCell ref="N94:N104"/>
    <mergeCell ref="L106:L113"/>
    <mergeCell ref="M106:M113"/>
    <mergeCell ref="L116:L124"/>
    <mergeCell ref="M116:M124"/>
    <mergeCell ref="N116:N124"/>
    <mergeCell ref="M126:M134"/>
    <mergeCell ref="N126:N134"/>
    <mergeCell ref="M177:M187"/>
    <mergeCell ref="N177:N187"/>
    <mergeCell ref="L158:L165"/>
    <mergeCell ref="M158:M165"/>
    <mergeCell ref="N158:N165"/>
    <mergeCell ref="L167:L175"/>
    <mergeCell ref="M167:M175"/>
    <mergeCell ref="N167:N175"/>
    <mergeCell ref="L177:L187"/>
    <mergeCell ref="M215:M226"/>
    <mergeCell ref="N215:N226"/>
    <mergeCell ref="L189:L200"/>
    <mergeCell ref="M189:M200"/>
    <mergeCell ref="N189:N200"/>
    <mergeCell ref="L202:L213"/>
    <mergeCell ref="M202:M213"/>
    <mergeCell ref="N202:N213"/>
    <mergeCell ref="L215:L226"/>
    <mergeCell ref="L267:L278"/>
    <mergeCell ref="M267:M278"/>
    <mergeCell ref="N267:N278"/>
    <mergeCell ref="B106:B113"/>
    <mergeCell ref="B146:B156"/>
    <mergeCell ref="B158:B165"/>
    <mergeCell ref="C158:C165"/>
    <mergeCell ref="D158:D165"/>
    <mergeCell ref="B167:B175"/>
    <mergeCell ref="C167:C175"/>
    <mergeCell ref="D167:D175"/>
    <mergeCell ref="D177:D187"/>
    <mergeCell ref="D189:D200"/>
    <mergeCell ref="D202:D213"/>
    <mergeCell ref="D94:D104"/>
    <mergeCell ref="C106:C113"/>
    <mergeCell ref="D106:D113"/>
    <mergeCell ref="A116:A188"/>
    <mergeCell ref="C116:C124"/>
    <mergeCell ref="D116:D124"/>
    <mergeCell ref="D136:D144"/>
    <mergeCell ref="B215:B226"/>
    <mergeCell ref="C215:C226"/>
    <mergeCell ref="D215:D226"/>
    <mergeCell ref="D293:D301"/>
    <mergeCell ref="D303:D314"/>
    <mergeCell ref="D322:D327"/>
    <mergeCell ref="B228:B239"/>
    <mergeCell ref="C228:C239"/>
    <mergeCell ref="D228:D239"/>
    <mergeCell ref="D241:D252"/>
    <mergeCell ref="D254:D265"/>
    <mergeCell ref="D267:D278"/>
    <mergeCell ref="D280:D291"/>
    <mergeCell ref="B202:B213"/>
    <mergeCell ref="B241:B252"/>
    <mergeCell ref="C241:C252"/>
    <mergeCell ref="B254:B265"/>
    <mergeCell ref="C254:C265"/>
    <mergeCell ref="B267:B278"/>
    <mergeCell ref="C267:C278"/>
    <mergeCell ref="B280:B291"/>
    <mergeCell ref="C280:C291"/>
    <mergeCell ref="B293:B301"/>
    <mergeCell ref="C293:C301"/>
    <mergeCell ref="B303:B314"/>
    <mergeCell ref="C303:C314"/>
    <mergeCell ref="B177:B187"/>
    <mergeCell ref="C177:C187"/>
    <mergeCell ref="A189:A240"/>
    <mergeCell ref="B189:B200"/>
    <mergeCell ref="C189:C200"/>
    <mergeCell ref="C202:C213"/>
    <mergeCell ref="A241:A315"/>
    <mergeCell ref="B7:D7"/>
    <mergeCell ref="C9:C17"/>
    <mergeCell ref="D9:D17"/>
    <mergeCell ref="L9:L17"/>
    <mergeCell ref="M9:M17"/>
    <mergeCell ref="R9:R17"/>
    <mergeCell ref="S9:S17"/>
    <mergeCell ref="C19:C24"/>
    <mergeCell ref="D19:D24"/>
    <mergeCell ref="L19:L24"/>
    <mergeCell ref="M19:M24"/>
    <mergeCell ref="N19:N24"/>
    <mergeCell ref="Q19:Q24"/>
    <mergeCell ref="R19:R24"/>
    <mergeCell ref="S19:S24"/>
    <mergeCell ref="C26:C31"/>
    <mergeCell ref="D26:D31"/>
    <mergeCell ref="L26:L31"/>
    <mergeCell ref="M26:M31"/>
    <mergeCell ref="N26:N31"/>
    <mergeCell ref="Q26:Q31"/>
    <mergeCell ref="R26:R31"/>
    <mergeCell ref="S26:S31"/>
    <mergeCell ref="C33:C38"/>
    <mergeCell ref="D33:D38"/>
    <mergeCell ref="L33:L38"/>
    <mergeCell ref="M33:M38"/>
    <mergeCell ref="N33:N38"/>
    <mergeCell ref="Q33:Q38"/>
    <mergeCell ref="R33:R38"/>
    <mergeCell ref="S33:S38"/>
    <mergeCell ref="C40:C45"/>
    <mergeCell ref="D40:D45"/>
    <mergeCell ref="L40:L45"/>
    <mergeCell ref="M40:M45"/>
    <mergeCell ref="N40:N45"/>
    <mergeCell ref="Q40:Q45"/>
    <mergeCell ref="R40:R45"/>
    <mergeCell ref="S40:S45"/>
    <mergeCell ref="C47:C52"/>
    <mergeCell ref="D47:D52"/>
    <mergeCell ref="L47:L52"/>
    <mergeCell ref="M47:M52"/>
    <mergeCell ref="N9:N17"/>
    <mergeCell ref="Q9:Q17"/>
    <mergeCell ref="R47:R52"/>
    <mergeCell ref="S47:S52"/>
    <mergeCell ref="R54:R62"/>
    <mergeCell ref="S54:S62"/>
    <mergeCell ref="R64:R72"/>
    <mergeCell ref="S64:S72"/>
    <mergeCell ref="A1:S1"/>
    <mergeCell ref="D2:E2"/>
    <mergeCell ref="A7:A8"/>
    <mergeCell ref="E7:H7"/>
    <mergeCell ref="I7:N7"/>
    <mergeCell ref="O7:S7"/>
    <mergeCell ref="A9:A53"/>
    <mergeCell ref="M54:M62"/>
    <mergeCell ref="N54:N62"/>
    <mergeCell ref="B54:B62"/>
    <mergeCell ref="B64:B72"/>
    <mergeCell ref="C64:C72"/>
    <mergeCell ref="D64:D72"/>
    <mergeCell ref="L64:L72"/>
    <mergeCell ref="M64:M72"/>
    <mergeCell ref="R280:R291"/>
    <mergeCell ref="S280:S291"/>
    <mergeCell ref="Q267:Q278"/>
    <mergeCell ref="R267:R278"/>
    <mergeCell ref="S267:S278"/>
    <mergeCell ref="L280:L291"/>
    <mergeCell ref="M280:M291"/>
    <mergeCell ref="N280:N291"/>
    <mergeCell ref="Q280:Q291"/>
    <mergeCell ref="L293:L301"/>
    <mergeCell ref="M293:M301"/>
    <mergeCell ref="N293:N301"/>
    <mergeCell ref="Q293:Q301"/>
    <mergeCell ref="R293:R301"/>
    <mergeCell ref="S293:S301"/>
    <mergeCell ref="L303:L314"/>
    <mergeCell ref="S303:S314"/>
    <mergeCell ref="L385:L388"/>
    <mergeCell ref="L390:L395"/>
    <mergeCell ref="M390:M395"/>
    <mergeCell ref="N390:N395"/>
    <mergeCell ref="M303:M314"/>
    <mergeCell ref="N303:N314"/>
    <mergeCell ref="L322:L327"/>
    <mergeCell ref="M322:M327"/>
    <mergeCell ref="N322:N327"/>
    <mergeCell ref="M385:M388"/>
    <mergeCell ref="N385:N388"/>
    <mergeCell ref="Q385:Q388"/>
    <mergeCell ref="Q390:Q395"/>
    <mergeCell ref="R390:R395"/>
    <mergeCell ref="S390:S395"/>
    <mergeCell ref="Q303:Q314"/>
    <mergeCell ref="R303:R314"/>
    <mergeCell ref="Q322:Q327"/>
    <mergeCell ref="R322:R327"/>
    <mergeCell ref="S322:S327"/>
    <mergeCell ref="R385:R388"/>
    <mergeCell ref="S385:S388"/>
    <mergeCell ref="Q94:Q104"/>
    <mergeCell ref="Q106:Q113"/>
    <mergeCell ref="R106:R113"/>
    <mergeCell ref="S106:S113"/>
    <mergeCell ref="Q116:Q124"/>
    <mergeCell ref="R116:R124"/>
    <mergeCell ref="S116:S124"/>
    <mergeCell ref="Q126:Q134"/>
    <mergeCell ref="R126:R134"/>
    <mergeCell ref="S126:S134"/>
    <mergeCell ref="R136:R144"/>
    <mergeCell ref="S136:S144"/>
    <mergeCell ref="R158:R165"/>
    <mergeCell ref="S158:S165"/>
    <mergeCell ref="Q158:Q165"/>
    <mergeCell ref="Q167:Q175"/>
    <mergeCell ref="R167:R175"/>
    <mergeCell ref="S167:S175"/>
    <mergeCell ref="Q177:Q187"/>
    <mergeCell ref="R177:R187"/>
    <mergeCell ref="S177:S187"/>
    <mergeCell ref="R215:R226"/>
    <mergeCell ref="S215:S226"/>
    <mergeCell ref="Q189:Q200"/>
    <mergeCell ref="R189:R200"/>
    <mergeCell ref="S189:S200"/>
    <mergeCell ref="Q202:Q213"/>
    <mergeCell ref="R202:R213"/>
    <mergeCell ref="S202:S213"/>
    <mergeCell ref="Q215:Q226"/>
    <mergeCell ref="R254:R265"/>
    <mergeCell ref="S254:S265"/>
    <mergeCell ref="Q228:Q239"/>
    <mergeCell ref="R228:R239"/>
    <mergeCell ref="S228:S239"/>
    <mergeCell ref="Q241:Q252"/>
    <mergeCell ref="R241:R252"/>
    <mergeCell ref="S241:S252"/>
    <mergeCell ref="Q254:Q265"/>
    <mergeCell ref="B390:B395"/>
    <mergeCell ref="C390:C395"/>
    <mergeCell ref="A316:A328"/>
    <mergeCell ref="B322:B327"/>
    <mergeCell ref="C322:C327"/>
    <mergeCell ref="A329:A396"/>
    <mergeCell ref="B385:B388"/>
    <mergeCell ref="C385:C388"/>
    <mergeCell ref="D385:D388"/>
    <mergeCell ref="D390:D395"/>
  </mergeCells>
  <dataValidations>
    <dataValidation type="list" allowBlank="1" showErrorMessage="1" sqref="E3">
      <formula1>"Ice Tea,Air Mineral,Non"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 paperHeight="32in" paperWidth="8.5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32.13"/>
    <col customWidth="1" min="3" max="3" width="11.25"/>
    <col customWidth="1" min="5" max="5" width="11.25"/>
    <col customWidth="1" min="6" max="6" width="29.88"/>
    <col customWidth="1" min="9" max="9" width="11.5"/>
    <col customWidth="1" min="13" max="13" width="12.88"/>
    <col customWidth="1" min="14" max="14" width="11.75"/>
    <col customWidth="1" min="15" max="15" width="15.25"/>
    <col customWidth="1" min="19" max="19" width="15.63"/>
    <col customWidth="1" min="21" max="21" width="24.13"/>
    <col customWidth="1" min="22" max="22" width="8.75"/>
    <col customWidth="1" min="23" max="23" width="10.88"/>
    <col customWidth="1" min="24" max="24" width="10.63"/>
  </cols>
  <sheetData>
    <row r="1">
      <c r="A1" s="11"/>
      <c r="B1" s="11"/>
      <c r="C1" s="13" t="s">
        <v>31</v>
      </c>
    </row>
    <row r="2">
      <c r="A2" s="11"/>
      <c r="B2" s="11"/>
    </row>
    <row r="3">
      <c r="A3" s="15"/>
      <c r="B3" s="16"/>
      <c r="C3" s="15"/>
      <c r="D3" s="15"/>
      <c r="E3" s="15"/>
      <c r="F3" s="3"/>
      <c r="G3" s="18"/>
      <c r="H3" s="3"/>
      <c r="I3" s="19"/>
      <c r="J3" s="19"/>
      <c r="K3" s="3"/>
      <c r="L3" s="3"/>
      <c r="M3" s="20"/>
      <c r="N3" s="20"/>
      <c r="O3" s="20"/>
      <c r="P3" s="21"/>
      <c r="Q3" s="22"/>
      <c r="R3" s="22"/>
      <c r="S3" s="23"/>
      <c r="U3" s="25"/>
      <c r="V3" s="19"/>
      <c r="W3" s="26"/>
      <c r="X3" s="28"/>
    </row>
    <row r="4">
      <c r="A4" s="15"/>
      <c r="B4" s="16"/>
      <c r="C4" s="15"/>
      <c r="D4" s="15"/>
      <c r="E4" s="15"/>
      <c r="F4" s="3"/>
      <c r="G4" s="18"/>
      <c r="H4" s="3"/>
      <c r="I4" s="19"/>
      <c r="J4" s="19"/>
      <c r="K4" s="3"/>
      <c r="L4" s="3"/>
      <c r="M4" s="20"/>
      <c r="N4" s="20"/>
      <c r="O4" s="20"/>
      <c r="P4" s="21"/>
      <c r="Q4" s="22"/>
      <c r="R4" s="22"/>
      <c r="S4" s="19"/>
      <c r="T4" s="19"/>
      <c r="U4" s="22"/>
      <c r="V4" s="19"/>
      <c r="W4" s="26"/>
      <c r="X4" s="28"/>
    </row>
    <row r="5">
      <c r="A5" s="32" t="s">
        <v>0</v>
      </c>
      <c r="B5" s="36" t="s">
        <v>34</v>
      </c>
      <c r="C5" s="38" t="s">
        <v>35</v>
      </c>
      <c r="D5" s="40"/>
      <c r="E5" s="42" t="s">
        <v>36</v>
      </c>
      <c r="F5" s="45" t="s">
        <v>37</v>
      </c>
      <c r="G5" s="48" t="s">
        <v>2</v>
      </c>
      <c r="H5" s="45" t="s">
        <v>3</v>
      </c>
      <c r="I5" s="51" t="s">
        <v>39</v>
      </c>
      <c r="J5" s="51" t="s">
        <v>3</v>
      </c>
      <c r="K5" s="53" t="s">
        <v>40</v>
      </c>
      <c r="L5" s="55"/>
      <c r="M5" s="55"/>
      <c r="N5" s="56"/>
      <c r="O5" s="57" t="s">
        <v>41</v>
      </c>
      <c r="P5" s="59" t="s">
        <v>13</v>
      </c>
      <c r="Q5" s="60" t="s">
        <v>42</v>
      </c>
      <c r="R5" s="55"/>
      <c r="S5" s="56"/>
      <c r="T5" s="51" t="s">
        <v>3</v>
      </c>
      <c r="U5" s="62" t="s">
        <v>44</v>
      </c>
      <c r="V5" s="55"/>
      <c r="W5" s="64"/>
      <c r="X5" s="65" t="s">
        <v>45</v>
      </c>
    </row>
    <row r="6">
      <c r="A6" s="66"/>
      <c r="B6" s="67"/>
      <c r="C6" s="42" t="s">
        <v>46</v>
      </c>
      <c r="D6" s="42" t="s">
        <v>35</v>
      </c>
      <c r="E6" s="67"/>
      <c r="F6" s="67"/>
      <c r="G6" s="67"/>
      <c r="H6" s="67"/>
      <c r="I6" s="67"/>
      <c r="J6" s="67"/>
      <c r="K6" s="69" t="s">
        <v>3</v>
      </c>
      <c r="L6" s="70" t="s">
        <v>47</v>
      </c>
      <c r="M6" s="73" t="s">
        <v>48</v>
      </c>
      <c r="N6" s="73" t="s">
        <v>50</v>
      </c>
      <c r="O6" s="67"/>
      <c r="P6" s="75"/>
      <c r="Q6" s="78" t="s">
        <v>51</v>
      </c>
      <c r="R6" s="79" t="s">
        <v>53</v>
      </c>
      <c r="S6" s="79" t="s">
        <v>18</v>
      </c>
      <c r="T6" s="67"/>
      <c r="U6" s="79" t="s">
        <v>20</v>
      </c>
      <c r="V6" s="79" t="s">
        <v>51</v>
      </c>
      <c r="W6" s="80" t="s">
        <v>53</v>
      </c>
      <c r="X6" s="81"/>
    </row>
    <row r="7">
      <c r="A7" s="82" t="s">
        <v>54</v>
      </c>
      <c r="B7" s="83">
        <f>IFERROR(VLOOKUP(A7, 'Database Dapur'!C:D, 2, FALSE),"")</f>
        <v>27000</v>
      </c>
      <c r="C7" s="84">
        <f>D7*1000</f>
        <v>1000</v>
      </c>
      <c r="D7" s="84">
        <v>1.0</v>
      </c>
      <c r="E7" s="85" t="str">
        <f>IFERROR(VLOOKUP(A7, 'Database Dapur'!C:F, 3, FALSE),"")</f>
        <v>Kg</v>
      </c>
      <c r="F7" s="10" t="s">
        <v>55</v>
      </c>
      <c r="G7" s="86">
        <v>35.0</v>
      </c>
      <c r="H7" s="10" t="s">
        <v>56</v>
      </c>
      <c r="I7" s="85">
        <v>1000.0</v>
      </c>
      <c r="J7" s="85" t="s">
        <v>56</v>
      </c>
      <c r="K7" s="10" t="s">
        <v>57</v>
      </c>
      <c r="L7" s="87">
        <v>1000.0</v>
      </c>
      <c r="M7" s="96">
        <f t="array" ref="M7">IFERROR((_xlfn.XLOOKUP(TRIM(F7), TRIM('Database Dapur'!C:C), 'Database Dapur'!D:D)),"")</f>
        <v>26765</v>
      </c>
      <c r="N7" s="96">
        <f t="array" ref="N7">IFERROR((_xlfn.XLOOKUP(TRIM(F7), TRIM('Database Dapur'!C:C), 'Database Dapur'!D:D) / L7),"")*1000</f>
        <v>26765</v>
      </c>
      <c r="O7" s="124">
        <f t="array" ref="O7">IFERROR((_xlfn.XLOOKUP(TRIM(F7), TRIM('Database Dapur'!C:C), 'Database Dapur'!D:D) / L7) * G7, "")
</f>
        <v>936.775</v>
      </c>
      <c r="P7" s="125">
        <f>O14/I7*C7</f>
        <v>15260.17613</v>
      </c>
      <c r="Q7" s="128">
        <f>B7-P7</f>
        <v>11739.82387</v>
      </c>
      <c r="R7" s="130">
        <f>(P7/B7)</f>
        <v>0.5651917086</v>
      </c>
      <c r="S7" s="132">
        <f>IFERROR(VLOOKUP(A7, 'Database Dapur'!C:D, 2, FALSE),"")</f>
        <v>27000</v>
      </c>
      <c r="T7" s="85" t="str">
        <f>IFERROR(VLOOKUP(A7, 'Database Dapur'!C:F, 3, FALSE),"")</f>
        <v>Kg</v>
      </c>
      <c r="U7" s="132">
        <f>S7-X7</f>
        <v>27000</v>
      </c>
      <c r="V7" s="132">
        <f>U7-P7</f>
        <v>11739.82387</v>
      </c>
      <c r="W7" s="134">
        <f>(P7/U7)</f>
        <v>0.5651917086</v>
      </c>
      <c r="X7" s="135"/>
    </row>
    <row r="8">
      <c r="A8" s="136"/>
      <c r="B8" s="137"/>
      <c r="C8" s="137"/>
      <c r="D8" s="137"/>
      <c r="E8" s="137"/>
      <c r="F8" s="10" t="s">
        <v>260</v>
      </c>
      <c r="G8" s="86">
        <v>200.0</v>
      </c>
      <c r="H8" s="10" t="s">
        <v>56</v>
      </c>
      <c r="I8" s="137"/>
      <c r="J8" s="137"/>
      <c r="K8" s="10" t="s">
        <v>57</v>
      </c>
      <c r="L8" s="87">
        <v>1000.0</v>
      </c>
      <c r="M8" s="96">
        <f t="array" ref="M8">IFERROR((_xlfn.XLOOKUP(TRIM(F8), TRIM('Database Dapur'!C:C), 'Database Dapur'!D:D)),"")</f>
        <v>17200</v>
      </c>
      <c r="N8" s="96">
        <f t="array" ref="N8">IFERROR((_xlfn.XLOOKUP(TRIM(F8), TRIM('Database Dapur'!C:C), 'Database Dapur'!D:D) / L8),"")*1000</f>
        <v>17200</v>
      </c>
      <c r="O8" s="124">
        <f t="array" ref="O8">IFERROR((_xlfn.XLOOKUP(TRIM(F8), TRIM('Database Dapur'!C:C), 'Database Dapur'!D:D) / L8) * G8, "")
</f>
        <v>3440</v>
      </c>
      <c r="P8" s="143"/>
      <c r="Q8" s="136"/>
      <c r="R8" s="137"/>
      <c r="S8" s="137"/>
      <c r="T8" s="137"/>
      <c r="U8" s="137"/>
      <c r="V8" s="137"/>
      <c r="W8" s="144"/>
      <c r="X8" s="145"/>
    </row>
    <row r="9">
      <c r="A9" s="136"/>
      <c r="B9" s="137"/>
      <c r="C9" s="137"/>
      <c r="D9" s="137"/>
      <c r="E9" s="137"/>
      <c r="F9" s="10" t="s">
        <v>386</v>
      </c>
      <c r="G9" s="86">
        <v>10.0</v>
      </c>
      <c r="H9" s="10" t="s">
        <v>56</v>
      </c>
      <c r="I9" s="137"/>
      <c r="J9" s="137"/>
      <c r="K9" s="10" t="s">
        <v>57</v>
      </c>
      <c r="L9" s="87">
        <v>1000.0</v>
      </c>
      <c r="M9" s="96">
        <f t="array" ref="M9">IFERROR((_xlfn.XLOOKUP(TRIM(F9), TRIM('Database Dapur'!C:C), 'Database Dapur'!D:D)),"")</f>
        <v>6100</v>
      </c>
      <c r="N9" s="96">
        <f t="array" ref="N9">IFERROR((_xlfn.XLOOKUP(TRIM(F9), TRIM('Database Dapur'!C:C), 'Database Dapur'!D:D) / L9),"")*1000</f>
        <v>6100</v>
      </c>
      <c r="O9" s="124">
        <f t="array" ref="O9">IFERROR((_xlfn.XLOOKUP(TRIM(F9), TRIM('Database Dapur'!C:C), 'Database Dapur'!D:D) / L9) * G9, "")
</f>
        <v>61</v>
      </c>
      <c r="P9" s="143"/>
      <c r="Q9" s="136"/>
      <c r="R9" s="137"/>
      <c r="S9" s="137"/>
      <c r="T9" s="137"/>
      <c r="U9" s="137"/>
      <c r="V9" s="137"/>
      <c r="W9" s="144"/>
      <c r="X9" s="145"/>
    </row>
    <row r="10">
      <c r="A10" s="136"/>
      <c r="B10" s="137"/>
      <c r="C10" s="137"/>
      <c r="D10" s="137"/>
      <c r="E10" s="137"/>
      <c r="F10" s="10" t="s">
        <v>502</v>
      </c>
      <c r="G10" s="86">
        <v>5.0</v>
      </c>
      <c r="H10" s="10" t="s">
        <v>56</v>
      </c>
      <c r="I10" s="137"/>
      <c r="J10" s="137"/>
      <c r="K10" s="10" t="s">
        <v>509</v>
      </c>
      <c r="L10" s="87">
        <v>650.0</v>
      </c>
      <c r="M10" s="96">
        <f t="array" ref="M10">IFERROR((_xlfn.XLOOKUP(TRIM(F10), TRIM('Database Dapur'!C:C), 'Database Dapur'!D:D)),"")</f>
        <v>15000</v>
      </c>
      <c r="N10" s="96">
        <f t="array" ref="N10">IFERROR((_xlfn.XLOOKUP(TRIM(F10), TRIM('Database Dapur'!C:C), 'Database Dapur'!D:D) / L10),"")*1000</f>
        <v>23076.92308</v>
      </c>
      <c r="O10" s="124">
        <f t="array" ref="O10">IFERROR((_xlfn.XLOOKUP(TRIM(F10), TRIM('Database Dapur'!C:C), 'Database Dapur'!D:D) / L10) * G10, "")
</f>
        <v>115.3846154</v>
      </c>
      <c r="P10" s="143"/>
      <c r="Q10" s="136"/>
      <c r="R10" s="137"/>
      <c r="S10" s="137"/>
      <c r="T10" s="137"/>
      <c r="U10" s="137"/>
      <c r="V10" s="137"/>
      <c r="W10" s="144"/>
      <c r="X10" s="145"/>
    </row>
    <row r="11">
      <c r="A11" s="136"/>
      <c r="B11" s="137"/>
      <c r="C11" s="137"/>
      <c r="D11" s="137"/>
      <c r="E11" s="137"/>
      <c r="F11" s="10" t="s">
        <v>614</v>
      </c>
      <c r="G11" s="86">
        <v>50.0</v>
      </c>
      <c r="H11" s="10" t="s">
        <v>56</v>
      </c>
      <c r="I11" s="137"/>
      <c r="J11" s="137"/>
      <c r="K11" s="10" t="s">
        <v>617</v>
      </c>
      <c r="L11" s="87">
        <v>7000.0</v>
      </c>
      <c r="M11" s="96">
        <f t="array" ref="M11">IFERROR((_xlfn.XLOOKUP(TRIM(F11), TRIM('Database Dapur'!C:C), 'Database Dapur'!D:D)),"")</f>
        <v>550000</v>
      </c>
      <c r="N11" s="96">
        <f t="array" ref="N11">IFERROR((_xlfn.XLOOKUP(TRIM(F11), TRIM('Database Dapur'!C:C), 'Database Dapur'!D:D) / L11),"")*1000</f>
        <v>78571.42857</v>
      </c>
      <c r="O11" s="124">
        <f t="array" ref="O11">IFERROR((_xlfn.XLOOKUP(TRIM(F11), TRIM('Database Dapur'!C:C), 'Database Dapur'!D:D) / L11) * G11, "")
</f>
        <v>3928.571429</v>
      </c>
      <c r="P11" s="143"/>
      <c r="Q11" s="136"/>
      <c r="R11" s="137"/>
      <c r="S11" s="137"/>
      <c r="T11" s="137"/>
      <c r="U11" s="137"/>
      <c r="V11" s="137"/>
      <c r="W11" s="144"/>
      <c r="X11" s="145"/>
    </row>
    <row r="12">
      <c r="A12" s="136"/>
      <c r="B12" s="137"/>
      <c r="C12" s="137"/>
      <c r="D12" s="137"/>
      <c r="E12" s="137"/>
      <c r="F12" s="10" t="s">
        <v>726</v>
      </c>
      <c r="G12" s="86">
        <v>350.0</v>
      </c>
      <c r="H12" s="10" t="s">
        <v>56</v>
      </c>
      <c r="I12" s="137"/>
      <c r="J12" s="137"/>
      <c r="K12" s="10" t="s">
        <v>728</v>
      </c>
      <c r="L12" s="87">
        <v>5700.0</v>
      </c>
      <c r="M12" s="96">
        <f t="array" ref="M12">IFERROR((_xlfn.XLOOKUP(TRIM(F12), TRIM('Database Dapur'!C:C), 'Database Dapur'!D:D)),"")</f>
        <v>110391.82</v>
      </c>
      <c r="N12" s="96">
        <f t="array" ref="N12">IFERROR((_xlfn.XLOOKUP(TRIM(F12), TRIM('Database Dapur'!C:C), 'Database Dapur'!D:D) / L12),"")*1000</f>
        <v>19366.98596</v>
      </c>
      <c r="O12" s="124">
        <f t="array" ref="O12">IFERROR((_xlfn.XLOOKUP(TRIM(F12), TRIM('Database Dapur'!C:C), 'Database Dapur'!D:D) / L12) * G12, "")
</f>
        <v>6778.445088</v>
      </c>
      <c r="P12" s="143"/>
      <c r="Q12" s="136"/>
      <c r="R12" s="137"/>
      <c r="S12" s="137"/>
      <c r="T12" s="137"/>
      <c r="U12" s="137"/>
      <c r="V12" s="137"/>
      <c r="W12" s="144"/>
      <c r="X12" s="145"/>
    </row>
    <row r="13">
      <c r="A13" s="66"/>
      <c r="B13" s="67"/>
      <c r="C13" s="67"/>
      <c r="D13" s="67"/>
      <c r="E13" s="67"/>
      <c r="F13" s="10" t="s">
        <v>815</v>
      </c>
      <c r="G13" s="86">
        <v>450.0</v>
      </c>
      <c r="H13" s="10" t="s">
        <v>56</v>
      </c>
      <c r="I13" s="67"/>
      <c r="J13" s="67"/>
      <c r="K13" s="10"/>
      <c r="L13" s="10"/>
      <c r="M13" s="96" t="str">
        <f t="array" ref="M13">IFERROR((_xlfn.XLOOKUP(TRIM(F13), TRIM('Database Dapur'!C:C), 'Database Dapur'!D:D)),"")</f>
        <v/>
      </c>
      <c r="N13" s="96">
        <f t="array" ref="N13">IFERROR((_xlfn.XLOOKUP(TRIM(F13), TRIM('Database Dapur'!C:C), 'Database Dapur'!D:D) / L13),"")*1000</f>
        <v>0</v>
      </c>
      <c r="O13" s="96" t="str">
        <f t="array" ref="O13">IFERROR((_xlfn.XLOOKUP(TRIM(F13), TRIM('Database Dapur'!C:C), 'Database Dapur'!D:D) / L13) * G13, "")
</f>
        <v/>
      </c>
      <c r="P13" s="75"/>
      <c r="Q13" s="66"/>
      <c r="R13" s="67"/>
      <c r="S13" s="67"/>
      <c r="T13" s="67"/>
      <c r="U13" s="67"/>
      <c r="V13" s="67"/>
      <c r="W13" s="183"/>
      <c r="X13" s="81"/>
    </row>
    <row r="14">
      <c r="A14" s="185"/>
      <c r="B14" s="187" t="str">
        <f>IFERROR(VLOOKUP(A14, 'Database Dapur'!C:D, 2, FALSE),"")</f>
        <v/>
      </c>
      <c r="C14" s="189" t="str">
        <f>IFERROR(VLOOKUP(#REF!, 'Database Dapur'!A:D, 3, FALSE),"")</f>
        <v/>
      </c>
      <c r="D14" s="189" t="str">
        <f>IFERROR(VLOOKUP(#REF!, 'Database Dapur'!B:E, 3, FALSE),"")</f>
        <v/>
      </c>
      <c r="E14" s="189" t="str">
        <f>IFERROR(VLOOKUP(A14, 'Database Dapur'!C:F, 3, FALSE),"")</f>
        <v/>
      </c>
      <c r="F14" s="34"/>
      <c r="G14" s="191">
        <f>SUM(G7:G13)</f>
        <v>1100</v>
      </c>
      <c r="H14" s="34"/>
      <c r="I14" s="192"/>
      <c r="J14" s="192"/>
      <c r="K14" s="34"/>
      <c r="L14" s="34"/>
      <c r="M14" s="194" t="str">
        <f t="array" ref="M14">IFERROR((_xlfn.XLOOKUP(TRIM(F14), TRIM('Database Dapur'!C:C), 'Database Dapur'!D:D)),"")</f>
        <v/>
      </c>
      <c r="N14" s="194">
        <f t="array" ref="N14">IFERROR((_xlfn.XLOOKUP(TRIM(F14), TRIM('Database Dapur'!C:C), 'Database Dapur'!D:D) / L14),"")*1000</f>
        <v>0</v>
      </c>
      <c r="O14" s="197">
        <f>SUM(O7:O13)</f>
        <v>15260.17613</v>
      </c>
      <c r="P14" s="198"/>
      <c r="Q14" s="199"/>
      <c r="R14" s="201"/>
      <c r="S14" s="202"/>
      <c r="T14" s="192"/>
      <c r="U14" s="202">
        <f t="shared" ref="U14:U15" si="1">S14-X14</f>
        <v>0</v>
      </c>
      <c r="V14" s="202"/>
      <c r="W14" s="203"/>
      <c r="X14" s="204"/>
      <c r="Y14" s="205"/>
    </row>
    <row r="15">
      <c r="A15" s="82" t="s">
        <v>1078</v>
      </c>
      <c r="B15" s="83">
        <f>IFERROR(VLOOKUP(A15, 'Database Dapur'!C:D, 2, FALSE),"")</f>
        <v>35000</v>
      </c>
      <c r="C15" s="84">
        <f>D15*1000</f>
        <v>1000</v>
      </c>
      <c r="D15" s="84">
        <v>1.0</v>
      </c>
      <c r="E15" s="85" t="str">
        <f>IFERROR(VLOOKUP(A15, 'Database Dapur'!C:F, 3, FALSE),"")</f>
        <v>Kg</v>
      </c>
      <c r="F15" s="10" t="s">
        <v>260</v>
      </c>
      <c r="G15" s="86">
        <v>75.0</v>
      </c>
      <c r="H15" s="10" t="s">
        <v>56</v>
      </c>
      <c r="I15" s="85">
        <v>1000.0</v>
      </c>
      <c r="J15" s="208" t="s">
        <v>56</v>
      </c>
      <c r="K15" s="10" t="s">
        <v>57</v>
      </c>
      <c r="L15" s="87">
        <v>1000.0</v>
      </c>
      <c r="M15" s="96">
        <f t="array" ref="M15">IFERROR((_xlfn.XLOOKUP(TRIM(F15), TRIM('Database Dapur'!C:C), 'Database Dapur'!D:D)),"")</f>
        <v>17200</v>
      </c>
      <c r="N15" s="96">
        <f t="array" ref="N15">IFERROR((_xlfn.XLOOKUP(TRIM(F15), TRIM('Database Dapur'!C:C), 'Database Dapur'!D:D) / L15),"")*1000</f>
        <v>17200</v>
      </c>
      <c r="O15" s="124">
        <f t="array" ref="O15">IFERROR((_xlfn.XLOOKUP(TRIM(F15), TRIM('Database Dapur'!C:C), 'Database Dapur'!D:D) / L15) * G15, "")
</f>
        <v>1290</v>
      </c>
      <c r="P15" s="125">
        <f>O23/I15*C15</f>
        <v>30175.36314</v>
      </c>
      <c r="Q15" s="128">
        <f>B15-P15</f>
        <v>4824.636864</v>
      </c>
      <c r="R15" s="130">
        <f>(P15/B15)</f>
        <v>0.8621532325</v>
      </c>
      <c r="S15" s="132">
        <f>IFERROR(VLOOKUP(A15, 'Database Dapur'!C:D, 2, FALSE),"")</f>
        <v>35000</v>
      </c>
      <c r="T15" s="85" t="str">
        <f>IFERROR(VLOOKUP(A15, 'Database Dapur'!C:F, 3, FALSE),"")</f>
        <v>Kg</v>
      </c>
      <c r="U15" s="132">
        <f t="shared" si="1"/>
        <v>35000</v>
      </c>
      <c r="V15" s="132">
        <f>U15-P15</f>
        <v>4824.636864</v>
      </c>
      <c r="W15" s="134">
        <f>(P15/U15)</f>
        <v>0.8621532325</v>
      </c>
      <c r="X15" s="210"/>
    </row>
    <row r="16">
      <c r="A16" s="136"/>
      <c r="B16" s="137"/>
      <c r="C16" s="137"/>
      <c r="D16" s="137"/>
      <c r="E16" s="137"/>
      <c r="F16" s="10" t="s">
        <v>1278</v>
      </c>
      <c r="G16" s="86">
        <v>60.0</v>
      </c>
      <c r="H16" s="10" t="s">
        <v>56</v>
      </c>
      <c r="I16" s="137"/>
      <c r="J16" s="137"/>
      <c r="K16" s="10" t="s">
        <v>57</v>
      </c>
      <c r="L16" s="87">
        <v>1000.0</v>
      </c>
      <c r="M16" s="96">
        <f t="array" ref="M16">IFERROR((_xlfn.XLOOKUP(TRIM(F16), TRIM('Database Dapur'!C:C), 'Database Dapur'!D:D)),"")</f>
        <v>142500</v>
      </c>
      <c r="N16" s="96">
        <f t="array" ref="N16">IFERROR((_xlfn.XLOOKUP(TRIM(F16), TRIM('Database Dapur'!C:C), 'Database Dapur'!D:D) / L16),"")*1000</f>
        <v>142500</v>
      </c>
      <c r="O16" s="124">
        <f t="array" ref="O16">IFERROR((_xlfn.XLOOKUP(TRIM(F16), TRIM('Database Dapur'!C:C), 'Database Dapur'!D:D) / L16) * G16, "")
</f>
        <v>8550</v>
      </c>
      <c r="P16" s="143"/>
      <c r="Q16" s="136"/>
      <c r="R16" s="137"/>
      <c r="S16" s="137"/>
      <c r="T16" s="137"/>
      <c r="U16" s="137"/>
      <c r="V16" s="137"/>
      <c r="W16" s="144"/>
      <c r="X16" s="145"/>
    </row>
    <row r="17">
      <c r="A17" s="136"/>
      <c r="B17" s="137"/>
      <c r="C17" s="137"/>
      <c r="D17" s="137"/>
      <c r="E17" s="137"/>
      <c r="F17" s="10" t="s">
        <v>1369</v>
      </c>
      <c r="G17" s="86">
        <v>65.0</v>
      </c>
      <c r="H17" s="10" t="s">
        <v>56</v>
      </c>
      <c r="I17" s="137"/>
      <c r="J17" s="137"/>
      <c r="K17" s="10" t="s">
        <v>509</v>
      </c>
      <c r="L17" s="87">
        <v>800.0</v>
      </c>
      <c r="M17" s="96">
        <f t="array" ref="M17">IFERROR((_xlfn.XLOOKUP(TRIM(F17), TRIM('Database Dapur'!C:C), 'Database Dapur'!D:D)),"")</f>
        <v>71583</v>
      </c>
      <c r="N17" s="96">
        <f t="array" ref="N17">IFERROR((_xlfn.XLOOKUP(TRIM(F17), TRIM('Database Dapur'!C:C), 'Database Dapur'!D:D) / L17),"")*1000</f>
        <v>89478.75</v>
      </c>
      <c r="O17" s="124">
        <f t="array" ref="O17">IFERROR((_xlfn.XLOOKUP(TRIM(F17), TRIM('Database Dapur'!C:C), 'Database Dapur'!D:D) / L17) * G17, "")
</f>
        <v>5816.11875</v>
      </c>
      <c r="P17" s="143"/>
      <c r="Q17" s="136"/>
      <c r="R17" s="137"/>
      <c r="S17" s="137"/>
      <c r="T17" s="137"/>
      <c r="U17" s="137"/>
      <c r="V17" s="137"/>
      <c r="W17" s="144"/>
      <c r="X17" s="145"/>
    </row>
    <row r="18">
      <c r="A18" s="136"/>
      <c r="B18" s="137"/>
      <c r="C18" s="137"/>
      <c r="D18" s="137"/>
      <c r="E18" s="137"/>
      <c r="F18" s="10" t="s">
        <v>1482</v>
      </c>
      <c r="G18" s="86">
        <v>50.0</v>
      </c>
      <c r="H18" s="10" t="s">
        <v>56</v>
      </c>
      <c r="I18" s="137"/>
      <c r="J18" s="137"/>
      <c r="K18" s="10" t="s">
        <v>57</v>
      </c>
      <c r="L18" s="87">
        <v>1000.0</v>
      </c>
      <c r="M18" s="96">
        <f t="array" ref="M18">IFERROR((_xlfn.XLOOKUP(TRIM(F18), TRIM('Database Dapur'!C:C), 'Database Dapur'!D:D)),"")</f>
        <v>44417</v>
      </c>
      <c r="N18" s="96">
        <f t="array" ref="N18">IFERROR((_xlfn.XLOOKUP(TRIM(F18), TRIM('Database Dapur'!C:C), 'Database Dapur'!D:D) / L18),"")*1000</f>
        <v>44417</v>
      </c>
      <c r="O18" s="124">
        <f t="array" ref="O18">IFERROR((_xlfn.XLOOKUP(TRIM(F18), TRIM('Database Dapur'!C:C), 'Database Dapur'!D:D) / L18) * G18, "")
</f>
        <v>2220.85</v>
      </c>
      <c r="P18" s="143"/>
      <c r="Q18" s="136"/>
      <c r="R18" s="137"/>
      <c r="S18" s="137"/>
      <c r="T18" s="137"/>
      <c r="U18" s="137"/>
      <c r="V18" s="137"/>
      <c r="W18" s="144"/>
      <c r="X18" s="145"/>
    </row>
    <row r="19">
      <c r="A19" s="136"/>
      <c r="B19" s="137"/>
      <c r="C19" s="137"/>
      <c r="D19" s="137"/>
      <c r="E19" s="137"/>
      <c r="F19" s="10" t="s">
        <v>1559</v>
      </c>
      <c r="G19" s="86">
        <v>160.0</v>
      </c>
      <c r="H19" s="10" t="s">
        <v>56</v>
      </c>
      <c r="I19" s="137"/>
      <c r="J19" s="137"/>
      <c r="K19" s="10" t="s">
        <v>57</v>
      </c>
      <c r="L19" s="87">
        <v>1000.0</v>
      </c>
      <c r="M19" s="96">
        <f t="array" ref="M19">IFERROR((_xlfn.XLOOKUP(TRIM(F19), TRIM('Database Dapur'!C:C), 'Database Dapur'!D:D)),"")</f>
        <v>17250</v>
      </c>
      <c r="N19" s="96">
        <f t="array" ref="N19">IFERROR((_xlfn.XLOOKUP(TRIM(F19), TRIM('Database Dapur'!C:C), 'Database Dapur'!D:D) / L19),"")*1000</f>
        <v>17250</v>
      </c>
      <c r="O19" s="124">
        <f t="array" ref="O19">IFERROR((_xlfn.XLOOKUP(TRIM(F19), TRIM('Database Dapur'!C:C), 'Database Dapur'!D:D) / L19) * G19, "")
</f>
        <v>2760</v>
      </c>
      <c r="P19" s="143"/>
      <c r="Q19" s="136"/>
      <c r="R19" s="137"/>
      <c r="S19" s="137"/>
      <c r="T19" s="137"/>
      <c r="U19" s="137"/>
      <c r="V19" s="137"/>
      <c r="W19" s="144"/>
      <c r="X19" s="145"/>
    </row>
    <row r="20">
      <c r="A20" s="136"/>
      <c r="B20" s="137"/>
      <c r="C20" s="137"/>
      <c r="D20" s="137"/>
      <c r="E20" s="137"/>
      <c r="F20" s="10" t="s">
        <v>1655</v>
      </c>
      <c r="G20" s="86">
        <v>60.0</v>
      </c>
      <c r="H20" s="10" t="s">
        <v>56</v>
      </c>
      <c r="I20" s="137"/>
      <c r="J20" s="137"/>
      <c r="K20" s="10" t="s">
        <v>57</v>
      </c>
      <c r="L20" s="87">
        <v>1000.0</v>
      </c>
      <c r="M20" s="96">
        <f t="array" ref="M20">IFERROR((_xlfn.XLOOKUP(TRIM(F20), TRIM('Database Dapur'!C:C), 'Database Dapur'!D:D)),"")</f>
        <v>29860</v>
      </c>
      <c r="N20" s="96">
        <f t="array" ref="N20">IFERROR((_xlfn.XLOOKUP(TRIM(F20), TRIM('Database Dapur'!C:C), 'Database Dapur'!D:D) / L20),"")*1000</f>
        <v>29860</v>
      </c>
      <c r="O20" s="124">
        <f t="array" ref="O20">IFERROR((_xlfn.XLOOKUP(TRIM(F20), TRIM('Database Dapur'!C:C), 'Database Dapur'!D:D) / L20) * G20, "")
</f>
        <v>1791.6</v>
      </c>
      <c r="P20" s="143"/>
      <c r="Q20" s="136"/>
      <c r="R20" s="137"/>
      <c r="S20" s="137"/>
      <c r="T20" s="137"/>
      <c r="U20" s="137"/>
      <c r="V20" s="137"/>
      <c r="W20" s="144"/>
      <c r="X20" s="145"/>
    </row>
    <row r="21">
      <c r="A21" s="136"/>
      <c r="B21" s="137"/>
      <c r="C21" s="137"/>
      <c r="D21" s="137"/>
      <c r="E21" s="137"/>
      <c r="F21" s="10" t="s">
        <v>726</v>
      </c>
      <c r="G21" s="86">
        <v>400.0</v>
      </c>
      <c r="H21" s="10" t="s">
        <v>56</v>
      </c>
      <c r="I21" s="137"/>
      <c r="J21" s="137"/>
      <c r="K21" s="10" t="s">
        <v>728</v>
      </c>
      <c r="L21" s="87">
        <v>5700.0</v>
      </c>
      <c r="M21" s="96">
        <f t="array" ref="M21">IFERROR((_xlfn.XLOOKUP(TRIM(F21), TRIM('Database Dapur'!C:C), 'Database Dapur'!D:D)),"")</f>
        <v>110391.82</v>
      </c>
      <c r="N21" s="96">
        <f t="array" ref="N21">IFERROR((_xlfn.XLOOKUP(TRIM(F21), TRIM('Database Dapur'!C:C), 'Database Dapur'!D:D) / L21),"")*1000</f>
        <v>19366.98596</v>
      </c>
      <c r="O21" s="124">
        <f t="array" ref="O21">IFERROR((_xlfn.XLOOKUP(TRIM(F21), TRIM('Database Dapur'!C:C), 'Database Dapur'!D:D) / L21) * G21, "")
</f>
        <v>7746.794386</v>
      </c>
      <c r="P21" s="143"/>
      <c r="Q21" s="136"/>
      <c r="R21" s="137"/>
      <c r="S21" s="137"/>
      <c r="T21" s="137"/>
      <c r="U21" s="137"/>
      <c r="V21" s="137"/>
      <c r="W21" s="144"/>
      <c r="X21" s="145"/>
    </row>
    <row r="22">
      <c r="A22" s="66"/>
      <c r="B22" s="67"/>
      <c r="C22" s="67"/>
      <c r="D22" s="67"/>
      <c r="E22" s="67"/>
      <c r="F22" s="10" t="s">
        <v>815</v>
      </c>
      <c r="G22" s="86">
        <v>2500.0</v>
      </c>
      <c r="H22" s="10" t="s">
        <v>56</v>
      </c>
      <c r="I22" s="67"/>
      <c r="J22" s="67"/>
      <c r="K22" s="10"/>
      <c r="L22" s="10"/>
      <c r="M22" s="96" t="str">
        <f t="array" ref="M22">IFERROR((_xlfn.XLOOKUP(TRIM(F22), TRIM('Database Dapur'!C:C), 'Database Dapur'!D:D)),"")</f>
        <v/>
      </c>
      <c r="N22" s="96">
        <f t="array" ref="N22">IFERROR((_xlfn.XLOOKUP(TRIM(F22), TRIM('Database Dapur'!C:C), 'Database Dapur'!D:D) / L22),"")*1000</f>
        <v>0</v>
      </c>
      <c r="O22" s="96" t="str">
        <f t="array" ref="O22">IFERROR((_xlfn.XLOOKUP(TRIM(F22), TRIM('Database Dapur'!C:C), 'Database Dapur'!D:D) / L22) * G22, "")
</f>
        <v/>
      </c>
      <c r="P22" s="75"/>
      <c r="Q22" s="66"/>
      <c r="R22" s="67"/>
      <c r="S22" s="67"/>
      <c r="T22" s="67"/>
      <c r="U22" s="67"/>
      <c r="V22" s="67"/>
      <c r="W22" s="183"/>
      <c r="X22" s="81"/>
    </row>
    <row r="23">
      <c r="A23" s="185"/>
      <c r="B23" s="187" t="str">
        <f>IFERROR(VLOOKUP(A23, 'Database Dapur'!C:D, 2, FALSE),"")</f>
        <v/>
      </c>
      <c r="C23" s="189" t="str">
        <f>IFERROR(VLOOKUP(#REF!, 'Database Dapur'!A:D, 3, FALSE),"")</f>
        <v/>
      </c>
      <c r="D23" s="189" t="str">
        <f>IFERROR(VLOOKUP(#REF!, 'Database Dapur'!B:E, 3, FALSE),"")</f>
        <v/>
      </c>
      <c r="E23" s="189" t="str">
        <f>IFERROR(VLOOKUP(A23, 'Database Dapur'!C:F, 3, FALSE),"")</f>
        <v/>
      </c>
      <c r="F23" s="34"/>
      <c r="G23" s="191">
        <f>SUM(G15:G22)</f>
        <v>3370</v>
      </c>
      <c r="H23" s="34"/>
      <c r="I23" s="192"/>
      <c r="J23" s="192"/>
      <c r="K23" s="34"/>
      <c r="L23" s="34"/>
      <c r="M23" s="194" t="str">
        <f t="array" ref="M23">IFERROR((_xlfn.XLOOKUP(TRIM(F23), TRIM('Database Dapur'!C:C), 'Database Dapur'!D:D)),"")</f>
        <v/>
      </c>
      <c r="N23" s="194">
        <f t="array" ref="N23">IFERROR((_xlfn.XLOOKUP(TRIM(F23), TRIM('Database Dapur'!C:C), 'Database Dapur'!D:D) / L23),"")*1000</f>
        <v>0</v>
      </c>
      <c r="O23" s="197">
        <f>SUM(O15:O22)</f>
        <v>30175.36314</v>
      </c>
      <c r="P23" s="198"/>
      <c r="Q23" s="199"/>
      <c r="R23" s="201"/>
      <c r="S23" s="202"/>
      <c r="T23" s="192"/>
      <c r="U23" s="202">
        <f t="shared" ref="U23:U24" si="2">S23-X23</f>
        <v>0</v>
      </c>
      <c r="V23" s="202"/>
      <c r="W23" s="203"/>
      <c r="X23" s="204"/>
      <c r="Y23" s="205"/>
    </row>
    <row r="24">
      <c r="A24" s="82" t="s">
        <v>1974</v>
      </c>
      <c r="B24" s="83">
        <f>IFERROR(VLOOKUP(A24, 'Database Dapur'!C:D, 2, FALSE),"")</f>
        <v>38000</v>
      </c>
      <c r="C24" s="84">
        <f>D24*1000</f>
        <v>1000</v>
      </c>
      <c r="D24" s="84">
        <v>1.0</v>
      </c>
      <c r="E24" s="85" t="str">
        <f>IFERROR(VLOOKUP(A24, 'Database Dapur'!C:F, 3, FALSE),"")</f>
        <v>Kg</v>
      </c>
      <c r="F24" s="10" t="s">
        <v>54</v>
      </c>
      <c r="G24" s="86">
        <v>160.0</v>
      </c>
      <c r="H24" s="10" t="s">
        <v>56</v>
      </c>
      <c r="I24" s="85">
        <v>1000.0</v>
      </c>
      <c r="J24" s="208" t="s">
        <v>56</v>
      </c>
      <c r="K24" s="10" t="s">
        <v>57</v>
      </c>
      <c r="L24" s="87">
        <v>1000.0</v>
      </c>
      <c r="M24" s="96">
        <f t="array" ref="M24">IFERROR((_xlfn.XLOOKUP(TRIM(F24), TRIM('Database Dapur'!C:C), 'Database Dapur'!D:D)),"")</f>
        <v>27000</v>
      </c>
      <c r="N24" s="96">
        <f t="array" ref="N24">IFERROR((_xlfn.XLOOKUP(TRIM(F24), TRIM('Database Dapur'!C:C), 'Database Dapur'!D:D) / L24),"")*1000</f>
        <v>27000</v>
      </c>
      <c r="O24" s="124">
        <f t="array" ref="O24">IFERROR((_xlfn.XLOOKUP(TRIM(F24), TRIM('Database Dapur'!C:C), 'Database Dapur'!D:D) / L24) * G24, "")
</f>
        <v>4320</v>
      </c>
      <c r="P24" s="125">
        <f>O33/I24*C24</f>
        <v>31777.79585</v>
      </c>
      <c r="Q24" s="128">
        <f>B24-P24</f>
        <v>6222.204145</v>
      </c>
      <c r="R24" s="130">
        <f>(P24/B24)</f>
        <v>0.8362577856</v>
      </c>
      <c r="S24" s="132">
        <f>IFERROR(VLOOKUP(A24, 'Database Dapur'!C:D, 2, FALSE),"")</f>
        <v>38000</v>
      </c>
      <c r="T24" s="85" t="str">
        <f>IFERROR(VLOOKUP(A24, 'Database Dapur'!C:F, 3, FALSE),"")</f>
        <v>Kg</v>
      </c>
      <c r="U24" s="132">
        <f t="shared" si="2"/>
        <v>38000</v>
      </c>
      <c r="V24" s="132">
        <f>U24-P24</f>
        <v>6222.204145</v>
      </c>
      <c r="W24" s="134">
        <f>(P24/U24)</f>
        <v>0.8362577856</v>
      </c>
      <c r="X24" s="210"/>
    </row>
    <row r="25">
      <c r="A25" s="136"/>
      <c r="B25" s="137"/>
      <c r="C25" s="137"/>
      <c r="D25" s="137"/>
      <c r="E25" s="137"/>
      <c r="F25" s="10" t="s">
        <v>2483</v>
      </c>
      <c r="G25" s="86">
        <v>80.0</v>
      </c>
      <c r="H25" s="10" t="s">
        <v>56</v>
      </c>
      <c r="I25" s="137"/>
      <c r="J25" s="137"/>
      <c r="K25" s="10" t="s">
        <v>57</v>
      </c>
      <c r="L25" s="87">
        <v>1000.0</v>
      </c>
      <c r="M25" s="96">
        <f t="array" ref="M25">IFERROR((_xlfn.XLOOKUP(TRIM(F25), TRIM('Database Dapur'!C:C), 'Database Dapur'!D:D)),"")</f>
        <v>37000</v>
      </c>
      <c r="N25" s="96">
        <f t="array" ref="N25">IFERROR((_xlfn.XLOOKUP(TRIM(F25), TRIM('Database Dapur'!C:C), 'Database Dapur'!D:D) / L25),"")*1000</f>
        <v>37000</v>
      </c>
      <c r="O25" s="124">
        <f t="array" ref="O25">IFERROR((_xlfn.XLOOKUP(TRIM(F25), TRIM('Database Dapur'!C:C), 'Database Dapur'!D:D) / L25) * G25, "")
</f>
        <v>2960</v>
      </c>
      <c r="P25" s="143"/>
      <c r="Q25" s="136"/>
      <c r="R25" s="137"/>
      <c r="S25" s="137"/>
      <c r="T25" s="137"/>
      <c r="U25" s="137"/>
      <c r="V25" s="137"/>
      <c r="W25" s="144"/>
      <c r="X25" s="145"/>
    </row>
    <row r="26">
      <c r="A26" s="136"/>
      <c r="B26" s="137"/>
      <c r="C26" s="137"/>
      <c r="D26" s="137"/>
      <c r="E26" s="137"/>
      <c r="F26" s="10" t="s">
        <v>2010</v>
      </c>
      <c r="G26" s="86">
        <v>130.0</v>
      </c>
      <c r="H26" s="10" t="s">
        <v>56</v>
      </c>
      <c r="I26" s="137"/>
      <c r="J26" s="137"/>
      <c r="K26" s="10" t="s">
        <v>57</v>
      </c>
      <c r="L26" s="87">
        <v>1000.0</v>
      </c>
      <c r="M26" s="96">
        <f t="array" ref="M26">IFERROR((_xlfn.XLOOKUP(TRIM(F26), TRIM('Database Dapur'!C:C), 'Database Dapur'!D:D)),"")</f>
        <v>50000</v>
      </c>
      <c r="N26" s="96">
        <f t="array" ref="N26">IFERROR((_xlfn.XLOOKUP(TRIM(F26), TRIM('Database Dapur'!C:C), 'Database Dapur'!D:D) / L26),"")*1000</f>
        <v>50000</v>
      </c>
      <c r="O26" s="124">
        <f t="array" ref="O26">IFERROR((_xlfn.XLOOKUP(TRIM(F26), TRIM('Database Dapur'!C:C), 'Database Dapur'!D:D) / L26) * G26, "")
</f>
        <v>6500</v>
      </c>
      <c r="P26" s="143"/>
      <c r="Q26" s="136"/>
      <c r="R26" s="137"/>
      <c r="S26" s="137"/>
      <c r="T26" s="137"/>
      <c r="U26" s="137"/>
      <c r="V26" s="137"/>
      <c r="W26" s="144"/>
      <c r="X26" s="145"/>
    </row>
    <row r="27">
      <c r="A27" s="136"/>
      <c r="B27" s="137"/>
      <c r="C27" s="137"/>
      <c r="D27" s="137"/>
      <c r="E27" s="137"/>
      <c r="F27" s="10" t="s">
        <v>2066</v>
      </c>
      <c r="G27" s="86">
        <v>200.0</v>
      </c>
      <c r="H27" s="10" t="s">
        <v>56</v>
      </c>
      <c r="I27" s="137"/>
      <c r="J27" s="137"/>
      <c r="K27" s="10" t="s">
        <v>7</v>
      </c>
      <c r="L27" s="87">
        <v>500.0</v>
      </c>
      <c r="M27" s="96">
        <f t="array" ref="M27">IFERROR((_xlfn.XLOOKUP(TRIM(F27), TRIM('Database Dapur'!C:C), 'Database Dapur'!D:D)),"")</f>
        <v>20000</v>
      </c>
      <c r="N27" s="96">
        <f t="array" ref="N27">IFERROR((_xlfn.XLOOKUP(TRIM(F27), TRIM('Database Dapur'!C:C), 'Database Dapur'!D:D) / L27),"")*1000</f>
        <v>40000</v>
      </c>
      <c r="O27" s="124">
        <f t="array" ref="O27">IFERROR((_xlfn.XLOOKUP(TRIM(F27), TRIM('Database Dapur'!C:C), 'Database Dapur'!D:D) / L27) * G27, "")
</f>
        <v>8000</v>
      </c>
      <c r="P27" s="143"/>
      <c r="Q27" s="136"/>
      <c r="R27" s="137"/>
      <c r="S27" s="137"/>
      <c r="T27" s="137"/>
      <c r="U27" s="137"/>
      <c r="V27" s="137"/>
      <c r="W27" s="144"/>
      <c r="X27" s="145"/>
    </row>
    <row r="28">
      <c r="A28" s="136"/>
      <c r="B28" s="137"/>
      <c r="C28" s="137"/>
      <c r="D28" s="137"/>
      <c r="E28" s="137"/>
      <c r="F28" s="10" t="s">
        <v>2069</v>
      </c>
      <c r="G28" s="86">
        <v>100.0</v>
      </c>
      <c r="H28" s="10" t="s">
        <v>56</v>
      </c>
      <c r="I28" s="137"/>
      <c r="J28" s="137"/>
      <c r="K28" s="10" t="s">
        <v>7</v>
      </c>
      <c r="L28" s="87">
        <v>500.0</v>
      </c>
      <c r="M28" s="96">
        <f t="array" ref="M28">IFERROR((_xlfn.XLOOKUP(TRIM(F28), TRIM('Database Dapur'!C:C), 'Database Dapur'!D:D)),"")</f>
        <v>21300</v>
      </c>
      <c r="N28" s="96">
        <f t="array" ref="N28">IFERROR((_xlfn.XLOOKUP(TRIM(F28), TRIM('Database Dapur'!C:C), 'Database Dapur'!D:D) / L28),"")*1000</f>
        <v>42600</v>
      </c>
      <c r="O28" s="124">
        <f t="array" ref="O28">IFERROR((_xlfn.XLOOKUP(TRIM(F28), TRIM('Database Dapur'!C:C), 'Database Dapur'!D:D) / L28) * G28, "")
</f>
        <v>4260</v>
      </c>
      <c r="P28" s="143"/>
      <c r="Q28" s="136"/>
      <c r="R28" s="137"/>
      <c r="S28" s="137"/>
      <c r="T28" s="137"/>
      <c r="U28" s="137"/>
      <c r="V28" s="137"/>
      <c r="W28" s="144"/>
      <c r="X28" s="145"/>
    </row>
    <row r="29">
      <c r="A29" s="136"/>
      <c r="B29" s="137"/>
      <c r="C29" s="137"/>
      <c r="D29" s="137"/>
      <c r="E29" s="137"/>
      <c r="F29" s="10" t="s">
        <v>386</v>
      </c>
      <c r="G29" s="86">
        <v>20.0</v>
      </c>
      <c r="H29" s="10" t="s">
        <v>56</v>
      </c>
      <c r="I29" s="137"/>
      <c r="J29" s="137"/>
      <c r="K29" s="10" t="s">
        <v>57</v>
      </c>
      <c r="L29" s="87">
        <v>1000.0</v>
      </c>
      <c r="M29" s="96">
        <f t="array" ref="M29">IFERROR((_xlfn.XLOOKUP(TRIM(F29), TRIM('Database Dapur'!C:C), 'Database Dapur'!D:D)),"")</f>
        <v>6100</v>
      </c>
      <c r="N29" s="96">
        <f t="array" ref="N29">IFERROR((_xlfn.XLOOKUP(TRIM(F29), TRIM('Database Dapur'!C:C), 'Database Dapur'!D:D) / L29),"")*1000</f>
        <v>6100</v>
      </c>
      <c r="O29" s="124">
        <f t="array" ref="O29">IFERROR((_xlfn.XLOOKUP(TRIM(F29), TRIM('Database Dapur'!C:C), 'Database Dapur'!D:D) / L29) * G29, "")
</f>
        <v>122</v>
      </c>
      <c r="P29" s="143"/>
      <c r="Q29" s="136"/>
      <c r="R29" s="137"/>
      <c r="S29" s="137"/>
      <c r="T29" s="137"/>
      <c r="U29" s="137"/>
      <c r="V29" s="137"/>
      <c r="W29" s="144"/>
      <c r="X29" s="145"/>
    </row>
    <row r="30">
      <c r="A30" s="136"/>
      <c r="B30" s="137"/>
      <c r="C30" s="137"/>
      <c r="D30" s="137"/>
      <c r="E30" s="137"/>
      <c r="F30" s="10" t="s">
        <v>1482</v>
      </c>
      <c r="G30" s="86">
        <v>20.0</v>
      </c>
      <c r="H30" s="10" t="s">
        <v>56</v>
      </c>
      <c r="I30" s="137"/>
      <c r="J30" s="137"/>
      <c r="K30" s="10" t="s">
        <v>57</v>
      </c>
      <c r="L30" s="87">
        <v>1000.0</v>
      </c>
      <c r="M30" s="96">
        <f t="array" ref="M30">IFERROR((_xlfn.XLOOKUP(TRIM(F30), TRIM('Database Dapur'!C:C), 'Database Dapur'!D:D)),"")</f>
        <v>44417</v>
      </c>
      <c r="N30" s="96">
        <f t="array" ref="N30">IFERROR((_xlfn.XLOOKUP(TRIM(F30), TRIM('Database Dapur'!C:C), 'Database Dapur'!D:D) / L30),"")*1000</f>
        <v>44417</v>
      </c>
      <c r="O30" s="124">
        <f t="array" ref="O30">IFERROR((_xlfn.XLOOKUP(TRIM(F30), TRIM('Database Dapur'!C:C), 'Database Dapur'!D:D) / L30) * G30, "")
</f>
        <v>888.34</v>
      </c>
      <c r="P30" s="143"/>
      <c r="Q30" s="136"/>
      <c r="R30" s="137"/>
      <c r="S30" s="137"/>
      <c r="T30" s="137"/>
      <c r="U30" s="137"/>
      <c r="V30" s="137"/>
      <c r="W30" s="144"/>
      <c r="X30" s="145"/>
    </row>
    <row r="31">
      <c r="A31" s="136"/>
      <c r="B31" s="137"/>
      <c r="C31" s="137"/>
      <c r="D31" s="137"/>
      <c r="E31" s="137"/>
      <c r="F31" s="10" t="s">
        <v>2439</v>
      </c>
      <c r="G31" s="86">
        <v>180.0</v>
      </c>
      <c r="H31" s="10" t="s">
        <v>56</v>
      </c>
      <c r="I31" s="137"/>
      <c r="J31" s="137"/>
      <c r="K31" s="10" t="s">
        <v>728</v>
      </c>
      <c r="L31" s="87">
        <v>5500.0</v>
      </c>
      <c r="M31" s="96">
        <f t="array" ref="M31">IFERROR((_xlfn.XLOOKUP(TRIM(F31), TRIM('Database Dapur'!C:C), 'Database Dapur'!D:D)),"")</f>
        <v>144450.04</v>
      </c>
      <c r="N31" s="96">
        <f t="array" ref="N31">IFERROR((_xlfn.XLOOKUP(TRIM(F31), TRIM('Database Dapur'!C:C), 'Database Dapur'!D:D) / L31),"")*1000</f>
        <v>26263.64364</v>
      </c>
      <c r="O31" s="124">
        <f t="array" ref="O31">IFERROR((_xlfn.XLOOKUP(TRIM(F31), TRIM('Database Dapur'!C:C), 'Database Dapur'!D:D) / L31) * G31, "")
</f>
        <v>4727.455855</v>
      </c>
      <c r="P31" s="143"/>
      <c r="Q31" s="136"/>
      <c r="R31" s="137"/>
      <c r="S31" s="137"/>
      <c r="T31" s="137"/>
      <c r="U31" s="137"/>
      <c r="V31" s="137"/>
      <c r="W31" s="144"/>
      <c r="X31" s="145"/>
    </row>
    <row r="32">
      <c r="A32" s="66"/>
      <c r="B32" s="67"/>
      <c r="C32" s="67"/>
      <c r="D32" s="67"/>
      <c r="E32" s="67"/>
      <c r="F32" s="10" t="s">
        <v>815</v>
      </c>
      <c r="G32" s="86">
        <v>180.0</v>
      </c>
      <c r="H32" s="10" t="s">
        <v>56</v>
      </c>
      <c r="I32" s="67"/>
      <c r="J32" s="67"/>
      <c r="K32" s="10"/>
      <c r="L32" s="10"/>
      <c r="M32" s="96" t="str">
        <f t="array" ref="M32">IFERROR((_xlfn.XLOOKUP(TRIM(F32), TRIM('Database Dapur'!C:C), 'Database Dapur'!D:D)),"")</f>
        <v/>
      </c>
      <c r="N32" s="96">
        <f t="array" ref="N32">IFERROR((_xlfn.XLOOKUP(TRIM(F32), TRIM('Database Dapur'!C:C), 'Database Dapur'!D:D) / L32),"")*1000</f>
        <v>0</v>
      </c>
      <c r="O32" s="96" t="str">
        <f t="array" ref="O32">IFERROR((_xlfn.XLOOKUP(TRIM(F32), TRIM('Database Dapur'!C:C), 'Database Dapur'!D:D) / L32) * G32, "")
</f>
        <v/>
      </c>
      <c r="P32" s="75"/>
      <c r="Q32" s="66"/>
      <c r="R32" s="67"/>
      <c r="S32" s="67"/>
      <c r="T32" s="67"/>
      <c r="U32" s="67"/>
      <c r="V32" s="67"/>
      <c r="W32" s="183"/>
      <c r="X32" s="81"/>
    </row>
    <row r="33">
      <c r="A33" s="185"/>
      <c r="B33" s="187" t="str">
        <f>IFERROR(VLOOKUP(A33, 'Database Dapur'!C:D, 2, FALSE),"")</f>
        <v/>
      </c>
      <c r="C33" s="189" t="str">
        <f>IFERROR(VLOOKUP(#REF!, 'Database Dapur'!A:D, 3, FALSE),"")</f>
        <v/>
      </c>
      <c r="D33" s="189" t="str">
        <f>IFERROR(VLOOKUP(#REF!, 'Database Dapur'!B:E, 3, FALSE),"")</f>
        <v/>
      </c>
      <c r="E33" s="189" t="str">
        <f>IFERROR(VLOOKUP(A33, 'Database Dapur'!C:F, 3, FALSE),"")</f>
        <v/>
      </c>
      <c r="F33" s="34"/>
      <c r="G33" s="191">
        <f>SUM(G24:G32)</f>
        <v>1070</v>
      </c>
      <c r="H33" s="34"/>
      <c r="I33" s="192"/>
      <c r="J33" s="192"/>
      <c r="K33" s="34"/>
      <c r="L33" s="34"/>
      <c r="M33" s="194" t="str">
        <f t="array" ref="M33">IFERROR((_xlfn.XLOOKUP(TRIM(F33), TRIM('Database Dapur'!C:C), 'Database Dapur'!D:D)),"")</f>
        <v/>
      </c>
      <c r="N33" s="194">
        <f t="array" ref="N33">IFERROR((_xlfn.XLOOKUP(TRIM(F33), TRIM('Database Dapur'!C:C), 'Database Dapur'!D:D) / L33),"")*1000</f>
        <v>0</v>
      </c>
      <c r="O33" s="197">
        <f>SUM(O24:O32)</f>
        <v>31777.79585</v>
      </c>
      <c r="P33" s="198"/>
      <c r="Q33" s="199"/>
      <c r="R33" s="201"/>
      <c r="S33" s="202"/>
      <c r="T33" s="192"/>
      <c r="U33" s="202">
        <f t="shared" ref="U33:U34" si="3">S33-X33</f>
        <v>0</v>
      </c>
      <c r="V33" s="202"/>
      <c r="W33" s="203"/>
      <c r="X33" s="204"/>
      <c r="Y33" s="205"/>
    </row>
    <row r="34">
      <c r="A34" s="82" t="s">
        <v>1907</v>
      </c>
      <c r="B34" s="83">
        <f>IFERROR(VLOOKUP(A34, 'Database Dapur'!C:D, 2, FALSE),"")</f>
        <v>38000</v>
      </c>
      <c r="C34" s="84">
        <f>D34*1000</f>
        <v>1000</v>
      </c>
      <c r="D34" s="84">
        <v>1.0</v>
      </c>
      <c r="E34" s="85" t="str">
        <f>IFERROR(VLOOKUP(A34, 'Database Dapur'!C:F, 3, FALSE),"")</f>
        <v>Kg</v>
      </c>
      <c r="F34" s="10" t="s">
        <v>54</v>
      </c>
      <c r="G34" s="86">
        <v>350.0</v>
      </c>
      <c r="H34" s="10" t="s">
        <v>56</v>
      </c>
      <c r="I34" s="85">
        <v>1000.0</v>
      </c>
      <c r="J34" s="208" t="s">
        <v>56</v>
      </c>
      <c r="K34" s="10" t="s">
        <v>57</v>
      </c>
      <c r="L34" s="87">
        <v>1000.0</v>
      </c>
      <c r="M34" s="96">
        <f t="array" ref="M34">IFERROR((_xlfn.XLOOKUP(TRIM(F34), TRIM('Database Dapur'!C:C), 'Database Dapur'!D:D)),"")</f>
        <v>27000</v>
      </c>
      <c r="N34" s="96">
        <f t="array" ref="N34">IFERROR((_xlfn.XLOOKUP(TRIM(F34), TRIM('Database Dapur'!C:C), 'Database Dapur'!D:D) / L34),"")*1000</f>
        <v>27000</v>
      </c>
      <c r="O34" s="124">
        <f t="array" ref="O34">IFERROR((_xlfn.XLOOKUP(TRIM(F34), TRIM('Database Dapur'!C:C), 'Database Dapur'!D:D) / L34) * G34, "")
</f>
        <v>9450</v>
      </c>
      <c r="P34" s="125">
        <f>O42/I34*C34</f>
        <v>31108.04404</v>
      </c>
      <c r="Q34" s="256">
        <f>B34-P34</f>
        <v>6891.955959</v>
      </c>
      <c r="R34" s="130">
        <f>(P34/B34)</f>
        <v>0.8186327379</v>
      </c>
      <c r="S34" s="132">
        <f>IFERROR(VLOOKUP(A34, 'Database Dapur'!C:D, 2, FALSE),"")</f>
        <v>38000</v>
      </c>
      <c r="T34" s="85" t="str">
        <f>IFERROR(VLOOKUP(A34, 'Database Dapur'!C:F, 3, FALSE),"")</f>
        <v>Kg</v>
      </c>
      <c r="U34" s="132">
        <f t="shared" si="3"/>
        <v>38000</v>
      </c>
      <c r="V34" s="132">
        <f>U34-P34</f>
        <v>6891.955959</v>
      </c>
      <c r="W34" s="134">
        <f>(P34/U34)</f>
        <v>0.8186327379</v>
      </c>
      <c r="X34" s="210"/>
    </row>
    <row r="35">
      <c r="A35" s="136"/>
      <c r="B35" s="137"/>
      <c r="C35" s="137"/>
      <c r="D35" s="137"/>
      <c r="E35" s="137"/>
      <c r="F35" s="10" t="s">
        <v>2010</v>
      </c>
      <c r="G35" s="86">
        <v>80.0</v>
      </c>
      <c r="H35" s="10" t="s">
        <v>56</v>
      </c>
      <c r="I35" s="137"/>
      <c r="J35" s="137"/>
      <c r="K35" s="10" t="s">
        <v>57</v>
      </c>
      <c r="L35" s="87">
        <v>1000.0</v>
      </c>
      <c r="M35" s="96">
        <f t="array" ref="M35">IFERROR((_xlfn.XLOOKUP(TRIM(F35), TRIM('Database Dapur'!C:C), 'Database Dapur'!D:D)),"")</f>
        <v>50000</v>
      </c>
      <c r="N35" s="96">
        <f t="array" ref="N35">IFERROR((_xlfn.XLOOKUP(TRIM(F35), TRIM('Database Dapur'!C:C), 'Database Dapur'!D:D) / L35),"")*1000</f>
        <v>50000</v>
      </c>
      <c r="O35" s="124">
        <f t="array" ref="O35">IFERROR((_xlfn.XLOOKUP(TRIM(F35), TRIM('Database Dapur'!C:C), 'Database Dapur'!D:D) / L35) * G35, "")
</f>
        <v>4000</v>
      </c>
      <c r="P35" s="143"/>
      <c r="Q35" s="136"/>
      <c r="R35" s="137"/>
      <c r="S35" s="137"/>
      <c r="T35" s="137"/>
      <c r="U35" s="137"/>
      <c r="V35" s="137"/>
      <c r="W35" s="144"/>
      <c r="X35" s="145"/>
    </row>
    <row r="36">
      <c r="A36" s="136"/>
      <c r="B36" s="137"/>
      <c r="C36" s="137"/>
      <c r="D36" s="137"/>
      <c r="E36" s="137"/>
      <c r="F36" s="10" t="s">
        <v>2074</v>
      </c>
      <c r="G36" s="86">
        <v>200.0</v>
      </c>
      <c r="H36" s="10" t="s">
        <v>56</v>
      </c>
      <c r="I36" s="137"/>
      <c r="J36" s="137"/>
      <c r="K36" s="10" t="s">
        <v>7</v>
      </c>
      <c r="L36" s="87">
        <v>6200.0</v>
      </c>
      <c r="M36" s="96">
        <f t="array" ref="M36">IFERROR((_xlfn.XLOOKUP(TRIM(F36), TRIM('Database Dapur'!C:C), 'Database Dapur'!D:D)),"")</f>
        <v>208800</v>
      </c>
      <c r="N36" s="96">
        <f t="array" ref="N36">IFERROR((_xlfn.XLOOKUP(TRIM(F36), TRIM('Database Dapur'!C:C), 'Database Dapur'!D:D) / L36),"")*1000</f>
        <v>33677.41935</v>
      </c>
      <c r="O36" s="124">
        <f t="array" ref="O36">IFERROR((_xlfn.XLOOKUP(TRIM(F36), TRIM('Database Dapur'!C:C), 'Database Dapur'!D:D) / L36) * G36, "")
</f>
        <v>6735.483871</v>
      </c>
      <c r="P36" s="143"/>
      <c r="Q36" s="136"/>
      <c r="R36" s="137"/>
      <c r="S36" s="137"/>
      <c r="T36" s="137"/>
      <c r="U36" s="137"/>
      <c r="V36" s="137"/>
      <c r="W36" s="144"/>
      <c r="X36" s="145"/>
    </row>
    <row r="37">
      <c r="A37" s="136"/>
      <c r="B37" s="137"/>
      <c r="C37" s="137"/>
      <c r="D37" s="137"/>
      <c r="E37" s="137"/>
      <c r="F37" s="10" t="s">
        <v>2077</v>
      </c>
      <c r="G37" s="86">
        <v>200.0</v>
      </c>
      <c r="H37" s="10" t="s">
        <v>56</v>
      </c>
      <c r="I37" s="137"/>
      <c r="J37" s="137"/>
      <c r="K37" s="10" t="s">
        <v>7</v>
      </c>
      <c r="L37" s="87">
        <v>6200.0</v>
      </c>
      <c r="M37" s="96">
        <f t="array" ref="M37">IFERROR((_xlfn.XLOOKUP(TRIM(F37), TRIM('Database Dapur'!C:C), 'Database Dapur'!D:D)),"")</f>
        <v>241900</v>
      </c>
      <c r="N37" s="96">
        <f t="array" ref="N37">IFERROR((_xlfn.XLOOKUP(TRIM(F37), TRIM('Database Dapur'!C:C), 'Database Dapur'!D:D) / L37),"")*1000</f>
        <v>39016.12903</v>
      </c>
      <c r="O37" s="124">
        <f t="array" ref="O37">IFERROR((_xlfn.XLOOKUP(TRIM(F37), TRIM('Database Dapur'!C:C), 'Database Dapur'!D:D) / L37) * G37, "")
</f>
        <v>7803.225806</v>
      </c>
      <c r="P37" s="143"/>
      <c r="Q37" s="136"/>
      <c r="R37" s="137"/>
      <c r="S37" s="137"/>
      <c r="T37" s="137"/>
      <c r="U37" s="137"/>
      <c r="V37" s="137"/>
      <c r="W37" s="144"/>
      <c r="X37" s="145"/>
    </row>
    <row r="38">
      <c r="A38" s="136"/>
      <c r="B38" s="137"/>
      <c r="C38" s="137"/>
      <c r="D38" s="137"/>
      <c r="E38" s="137"/>
      <c r="F38" s="10" t="s">
        <v>386</v>
      </c>
      <c r="G38" s="86">
        <v>8.0</v>
      </c>
      <c r="H38" s="10" t="s">
        <v>56</v>
      </c>
      <c r="I38" s="137"/>
      <c r="J38" s="137"/>
      <c r="K38" s="10" t="s">
        <v>57</v>
      </c>
      <c r="L38" s="87">
        <v>1000.0</v>
      </c>
      <c r="M38" s="96">
        <f t="array" ref="M38">IFERROR((_xlfn.XLOOKUP(TRIM(F38), TRIM('Database Dapur'!C:C), 'Database Dapur'!D:D)),"")</f>
        <v>6100</v>
      </c>
      <c r="N38" s="96">
        <f t="array" ref="N38">IFERROR((_xlfn.XLOOKUP(TRIM(F38), TRIM('Database Dapur'!C:C), 'Database Dapur'!D:D) / L38),"")*1000</f>
        <v>6100</v>
      </c>
      <c r="O38" s="124">
        <f t="array" ref="O38">IFERROR((_xlfn.XLOOKUP(TRIM(F38), TRIM('Database Dapur'!C:C), 'Database Dapur'!D:D) / L38) * G38, "")
</f>
        <v>48.8</v>
      </c>
      <c r="P38" s="143"/>
      <c r="Q38" s="136"/>
      <c r="R38" s="137"/>
      <c r="S38" s="137"/>
      <c r="T38" s="137"/>
      <c r="U38" s="137"/>
      <c r="V38" s="137"/>
      <c r="W38" s="144"/>
      <c r="X38" s="145"/>
    </row>
    <row r="39">
      <c r="A39" s="136"/>
      <c r="B39" s="137"/>
      <c r="C39" s="137"/>
      <c r="D39" s="137"/>
      <c r="E39" s="137"/>
      <c r="F39" s="10" t="s">
        <v>1482</v>
      </c>
      <c r="G39" s="86">
        <v>10.0</v>
      </c>
      <c r="H39" s="10" t="s">
        <v>56</v>
      </c>
      <c r="I39" s="137"/>
      <c r="J39" s="137"/>
      <c r="K39" s="10" t="s">
        <v>57</v>
      </c>
      <c r="L39" s="87">
        <v>1000.0</v>
      </c>
      <c r="M39" s="96">
        <f t="array" ref="M39">IFERROR((_xlfn.XLOOKUP(TRIM(F39), TRIM('Database Dapur'!C:C), 'Database Dapur'!D:D)),"")</f>
        <v>44417</v>
      </c>
      <c r="N39" s="96">
        <f t="array" ref="N39">IFERROR((_xlfn.XLOOKUP(TRIM(F39), TRIM('Database Dapur'!C:C), 'Database Dapur'!D:D) / L39),"")*1000</f>
        <v>44417</v>
      </c>
      <c r="O39" s="124">
        <f t="array" ref="O39">IFERROR((_xlfn.XLOOKUP(TRIM(F39), TRIM('Database Dapur'!C:C), 'Database Dapur'!D:D) / L39) * G39, "")
</f>
        <v>444.17</v>
      </c>
      <c r="P39" s="143"/>
      <c r="Q39" s="136"/>
      <c r="R39" s="137"/>
      <c r="S39" s="137"/>
      <c r="T39" s="137"/>
      <c r="U39" s="137"/>
      <c r="V39" s="137"/>
      <c r="W39" s="144"/>
      <c r="X39" s="145"/>
    </row>
    <row r="40">
      <c r="A40" s="136"/>
      <c r="B40" s="137"/>
      <c r="C40" s="137"/>
      <c r="D40" s="137"/>
      <c r="E40" s="137"/>
      <c r="F40" s="10" t="s">
        <v>2439</v>
      </c>
      <c r="G40" s="86">
        <v>100.0</v>
      </c>
      <c r="H40" s="10" t="s">
        <v>56</v>
      </c>
      <c r="I40" s="137"/>
      <c r="J40" s="137"/>
      <c r="K40" s="10" t="s">
        <v>728</v>
      </c>
      <c r="L40" s="87">
        <v>5500.0</v>
      </c>
      <c r="M40" s="96">
        <f t="array" ref="M40">IFERROR((_xlfn.XLOOKUP(TRIM(F40), TRIM('Database Dapur'!C:C), 'Database Dapur'!D:D)),"")</f>
        <v>144450.04</v>
      </c>
      <c r="N40" s="96">
        <f t="array" ref="N40">IFERROR((_xlfn.XLOOKUP(TRIM(F40), TRIM('Database Dapur'!C:C), 'Database Dapur'!D:D) / L40),"")*1000</f>
        <v>26263.64364</v>
      </c>
      <c r="O40" s="124">
        <f t="array" ref="O40">IFERROR((_xlfn.XLOOKUP(TRIM(F40), TRIM('Database Dapur'!C:C), 'Database Dapur'!D:D) / L40) * G40, "")
</f>
        <v>2626.364364</v>
      </c>
      <c r="P40" s="143"/>
      <c r="Q40" s="136"/>
      <c r="R40" s="137"/>
      <c r="S40" s="137"/>
      <c r="T40" s="137"/>
      <c r="U40" s="137"/>
      <c r="V40" s="137"/>
      <c r="W40" s="144"/>
      <c r="X40" s="145"/>
    </row>
    <row r="41">
      <c r="A41" s="66"/>
      <c r="B41" s="67"/>
      <c r="C41" s="67"/>
      <c r="D41" s="67"/>
      <c r="E41" s="67"/>
      <c r="F41" s="10" t="s">
        <v>815</v>
      </c>
      <c r="G41" s="86">
        <v>120.0</v>
      </c>
      <c r="H41" s="10" t="s">
        <v>56</v>
      </c>
      <c r="I41" s="67"/>
      <c r="J41" s="67"/>
      <c r="K41" s="10"/>
      <c r="L41" s="10"/>
      <c r="M41" s="96" t="str">
        <f t="array" ref="M41">IFERROR((_xlfn.XLOOKUP(TRIM(F41), TRIM('Database Dapur'!C:C), 'Database Dapur'!D:D)),"")</f>
        <v/>
      </c>
      <c r="N41" s="96">
        <f t="array" ref="N41">IFERROR((_xlfn.XLOOKUP(TRIM(F41), TRIM('Database Dapur'!C:C), 'Database Dapur'!D:D) / L41),"")*1000</f>
        <v>0</v>
      </c>
      <c r="O41" s="96" t="str">
        <f t="array" ref="O41">IFERROR((_xlfn.XLOOKUP(TRIM(F41), TRIM('Database Dapur'!C:C), 'Database Dapur'!D:D) / L41) * G41, "")
</f>
        <v/>
      </c>
      <c r="P41" s="75"/>
      <c r="Q41" s="66"/>
      <c r="R41" s="67"/>
      <c r="S41" s="67"/>
      <c r="T41" s="67"/>
      <c r="U41" s="67"/>
      <c r="V41" s="67"/>
      <c r="W41" s="183"/>
      <c r="X41" s="81"/>
    </row>
    <row r="42">
      <c r="A42" s="185"/>
      <c r="B42" s="187" t="str">
        <f>IFERROR(VLOOKUP(A42, 'Database Dapur'!C:D, 2, FALSE),"")</f>
        <v/>
      </c>
      <c r="C42" s="189" t="str">
        <f>IFERROR(VLOOKUP(#REF!, 'Database Dapur'!A:D, 3, FALSE),"")</f>
        <v/>
      </c>
      <c r="D42" s="189" t="str">
        <f>IFERROR(VLOOKUP(#REF!, 'Database Dapur'!B:E, 3, FALSE),"")</f>
        <v/>
      </c>
      <c r="E42" s="189" t="str">
        <f>IFERROR(VLOOKUP(A42, 'Database Dapur'!C:F, 3, FALSE),"")</f>
        <v/>
      </c>
      <c r="F42" s="34"/>
      <c r="G42" s="191">
        <f>SUM(G34:G41)</f>
        <v>1068</v>
      </c>
      <c r="H42" s="34"/>
      <c r="I42" s="192"/>
      <c r="J42" s="192"/>
      <c r="K42" s="34"/>
      <c r="L42" s="34"/>
      <c r="M42" s="194" t="str">
        <f t="array" ref="M42">IFERROR((_xlfn.XLOOKUP(TRIM(F42), TRIM('Database Dapur'!C:C), 'Database Dapur'!D:D)),"")</f>
        <v/>
      </c>
      <c r="N42" s="194">
        <f t="array" ref="N42">IFERROR((_xlfn.XLOOKUP(TRIM(F42), TRIM('Database Dapur'!C:C), 'Database Dapur'!D:D) / L42),"")*1000</f>
        <v>0</v>
      </c>
      <c r="O42" s="197">
        <f>SUM(O34:O41)</f>
        <v>31108.04404</v>
      </c>
      <c r="P42" s="198"/>
      <c r="Q42" s="199"/>
      <c r="R42" s="201"/>
      <c r="S42" s="202"/>
      <c r="T42" s="192"/>
      <c r="U42" s="202">
        <f t="shared" ref="U42:U43" si="4">S42-X42</f>
        <v>0</v>
      </c>
      <c r="V42" s="202"/>
      <c r="W42" s="203"/>
      <c r="X42" s="204"/>
      <c r="Y42" s="205"/>
    </row>
    <row r="43">
      <c r="A43" s="82" t="s">
        <v>1886</v>
      </c>
      <c r="B43" s="83">
        <f>IFERROR(VLOOKUP(A43, 'Database Dapur'!C:D, 2, FALSE),"")</f>
        <v>31000</v>
      </c>
      <c r="C43" s="84">
        <f>D43*1000</f>
        <v>1000</v>
      </c>
      <c r="D43" s="84">
        <v>1.0</v>
      </c>
      <c r="E43" s="85" t="str">
        <f>IFERROR(VLOOKUP(A43, 'Database Dapur'!C:F, 3, FALSE),"")</f>
        <v>Kg</v>
      </c>
      <c r="F43" s="10" t="s">
        <v>2483</v>
      </c>
      <c r="G43" s="86">
        <v>35.0</v>
      </c>
      <c r="H43" s="10" t="s">
        <v>56</v>
      </c>
      <c r="I43" s="85">
        <v>1000.0</v>
      </c>
      <c r="J43" s="208" t="s">
        <v>56</v>
      </c>
      <c r="K43" s="10" t="s">
        <v>57</v>
      </c>
      <c r="L43" s="87">
        <v>1000.0</v>
      </c>
      <c r="M43" s="96">
        <f t="array" ref="M43">IFERROR((_xlfn.XLOOKUP(TRIM(F43), TRIM('Database Dapur'!C:C), 'Database Dapur'!D:D)),"")</f>
        <v>37000</v>
      </c>
      <c r="N43" s="96">
        <f t="array" ref="N43">IFERROR((_xlfn.XLOOKUP(TRIM(F43), TRIM('Database Dapur'!C:C), 'Database Dapur'!D:D) / L43),"")*1000</f>
        <v>37000</v>
      </c>
      <c r="O43" s="124">
        <f t="array" ref="O43">IFERROR((_xlfn.XLOOKUP(TRIM(F43), TRIM('Database Dapur'!C:C), 'Database Dapur'!D:D) / L43) * G43, "")
</f>
        <v>1295</v>
      </c>
      <c r="P43" s="125">
        <f>O58/I43*C43</f>
        <v>21028.97474</v>
      </c>
      <c r="Q43" s="128">
        <f>B43-P43</f>
        <v>9971.025264</v>
      </c>
      <c r="R43" s="130">
        <f>(P43/B43)</f>
        <v>0.6783540237</v>
      </c>
      <c r="S43" s="132">
        <f>IFERROR(VLOOKUP(A43, 'Database Dapur'!C:D, 2, FALSE),"")</f>
        <v>31000</v>
      </c>
      <c r="T43" s="85" t="str">
        <f>IFERROR(VLOOKUP(A43, 'Database Dapur'!C:F, 3, FALSE),"")</f>
        <v>Kg</v>
      </c>
      <c r="U43" s="132">
        <f t="shared" si="4"/>
        <v>31000</v>
      </c>
      <c r="V43" s="132">
        <f>U43-P43</f>
        <v>9971.025264</v>
      </c>
      <c r="W43" s="134">
        <f>(P43/U43)</f>
        <v>0.6783540237</v>
      </c>
      <c r="X43" s="210"/>
    </row>
    <row r="44">
      <c r="A44" s="136"/>
      <c r="B44" s="137"/>
      <c r="C44" s="137"/>
      <c r="D44" s="137"/>
      <c r="E44" s="137"/>
      <c r="F44" s="10" t="s">
        <v>2010</v>
      </c>
      <c r="G44" s="86">
        <v>5.0</v>
      </c>
      <c r="H44" s="10" t="s">
        <v>56</v>
      </c>
      <c r="I44" s="137"/>
      <c r="J44" s="137"/>
      <c r="K44" s="10" t="s">
        <v>57</v>
      </c>
      <c r="L44" s="87">
        <v>1000.0</v>
      </c>
      <c r="M44" s="96">
        <f t="array" ref="M44">IFERROR((_xlfn.XLOOKUP(TRIM(F44), TRIM('Database Dapur'!C:C), 'Database Dapur'!D:D)),"")</f>
        <v>50000</v>
      </c>
      <c r="N44" s="96">
        <f t="array" ref="N44">IFERROR((_xlfn.XLOOKUP(TRIM(F44), TRIM('Database Dapur'!C:C), 'Database Dapur'!D:D) / L44),"")*1000</f>
        <v>50000</v>
      </c>
      <c r="O44" s="124">
        <f t="array" ref="O44">IFERROR((_xlfn.XLOOKUP(TRIM(F44), TRIM('Database Dapur'!C:C), 'Database Dapur'!D:D) / L44) * G44, "")
</f>
        <v>250</v>
      </c>
      <c r="P44" s="143"/>
      <c r="Q44" s="136"/>
      <c r="R44" s="137"/>
      <c r="S44" s="137"/>
      <c r="T44" s="137"/>
      <c r="U44" s="137"/>
      <c r="V44" s="137"/>
      <c r="W44" s="144"/>
      <c r="X44" s="145"/>
    </row>
    <row r="45">
      <c r="A45" s="136"/>
      <c r="B45" s="137"/>
      <c r="C45" s="137"/>
      <c r="D45" s="137"/>
      <c r="E45" s="137"/>
      <c r="F45" s="10" t="s">
        <v>260</v>
      </c>
      <c r="G45" s="86">
        <v>120.0</v>
      </c>
      <c r="H45" s="10" t="s">
        <v>56</v>
      </c>
      <c r="I45" s="137"/>
      <c r="J45" s="137"/>
      <c r="K45" s="10" t="s">
        <v>57</v>
      </c>
      <c r="L45" s="87">
        <v>1000.0</v>
      </c>
      <c r="M45" s="96">
        <f t="array" ref="M45">IFERROR((_xlfn.XLOOKUP(TRIM(F45), TRIM('Database Dapur'!C:C), 'Database Dapur'!D:D)),"")</f>
        <v>17200</v>
      </c>
      <c r="N45" s="96">
        <f t="array" ref="N45">IFERROR((_xlfn.XLOOKUP(TRIM(F45), TRIM('Database Dapur'!C:C), 'Database Dapur'!D:D) / L45),"")*1000</f>
        <v>17200</v>
      </c>
      <c r="O45" s="124">
        <f t="array" ref="O45">IFERROR((_xlfn.XLOOKUP(TRIM(F45), TRIM('Database Dapur'!C:C), 'Database Dapur'!D:D) / L45) * G45, "")
</f>
        <v>2064</v>
      </c>
      <c r="P45" s="143"/>
      <c r="Q45" s="136"/>
      <c r="R45" s="137"/>
      <c r="S45" s="137"/>
      <c r="T45" s="137"/>
      <c r="U45" s="137"/>
      <c r="V45" s="137"/>
      <c r="W45" s="144"/>
      <c r="X45" s="145"/>
    </row>
    <row r="46">
      <c r="A46" s="136"/>
      <c r="B46" s="137"/>
      <c r="C46" s="137"/>
      <c r="D46" s="137"/>
      <c r="E46" s="137"/>
      <c r="F46" s="10" t="s">
        <v>2026</v>
      </c>
      <c r="G46" s="86">
        <v>30.0</v>
      </c>
      <c r="H46" s="10" t="s">
        <v>56</v>
      </c>
      <c r="I46" s="137"/>
      <c r="J46" s="137"/>
      <c r="K46" s="10" t="s">
        <v>57</v>
      </c>
      <c r="L46" s="87">
        <v>1000.0</v>
      </c>
      <c r="M46" s="96">
        <f t="array" ref="M46">IFERROR((_xlfn.XLOOKUP(TRIM(F46), TRIM('Database Dapur'!C:C), 'Database Dapur'!D:D)),"")</f>
        <v>45045</v>
      </c>
      <c r="N46" s="96">
        <f t="array" ref="N46">IFERROR((_xlfn.XLOOKUP(TRIM(F46), TRIM('Database Dapur'!C:C), 'Database Dapur'!D:D) / L46),"")*1000</f>
        <v>45045</v>
      </c>
      <c r="O46" s="124">
        <f t="array" ref="O46">IFERROR((_xlfn.XLOOKUP(TRIM(F46), TRIM('Database Dapur'!C:C), 'Database Dapur'!D:D) / L46) * G46, "")
</f>
        <v>1351.35</v>
      </c>
      <c r="P46" s="143"/>
      <c r="Q46" s="136"/>
      <c r="R46" s="137"/>
      <c r="S46" s="137"/>
      <c r="T46" s="137"/>
      <c r="U46" s="137"/>
      <c r="V46" s="137"/>
      <c r="W46" s="144"/>
      <c r="X46" s="145"/>
    </row>
    <row r="47">
      <c r="A47" s="136"/>
      <c r="B47" s="137"/>
      <c r="C47" s="137"/>
      <c r="D47" s="137"/>
      <c r="E47" s="137"/>
      <c r="F47" s="10" t="s">
        <v>2030</v>
      </c>
      <c r="G47" s="86">
        <v>75.0</v>
      </c>
      <c r="H47" s="10" t="s">
        <v>56</v>
      </c>
      <c r="I47" s="137"/>
      <c r="J47" s="137"/>
      <c r="K47" s="10" t="s">
        <v>2031</v>
      </c>
      <c r="L47" s="87">
        <v>6000.0</v>
      </c>
      <c r="M47" s="96">
        <f t="array" ref="M47">IFERROR((_xlfn.XLOOKUP(TRIM(F47), TRIM('Database Dapur'!C:C), 'Database Dapur'!D:D)),"")</f>
        <v>81022.16</v>
      </c>
      <c r="N47" s="96">
        <f t="array" ref="N47">IFERROR((_xlfn.XLOOKUP(TRIM(F47), TRIM('Database Dapur'!C:C), 'Database Dapur'!D:D) / L47),"")*1000</f>
        <v>13503.69333</v>
      </c>
      <c r="O47" s="124">
        <f t="array" ref="O47">IFERROR((_xlfn.XLOOKUP(TRIM(F47), TRIM('Database Dapur'!C:C), 'Database Dapur'!D:D) / L47) * G47, "")
</f>
        <v>1012.777</v>
      </c>
      <c r="P47" s="143"/>
      <c r="Q47" s="136"/>
      <c r="R47" s="137"/>
      <c r="S47" s="137"/>
      <c r="T47" s="137"/>
      <c r="U47" s="137"/>
      <c r="V47" s="137"/>
      <c r="W47" s="144"/>
      <c r="X47" s="145"/>
    </row>
    <row r="48">
      <c r="A48" s="136"/>
      <c r="B48" s="137"/>
      <c r="C48" s="137"/>
      <c r="D48" s="137"/>
      <c r="E48" s="137"/>
      <c r="F48" s="10" t="s">
        <v>2036</v>
      </c>
      <c r="G48" s="86">
        <v>40.0</v>
      </c>
      <c r="H48" s="10" t="s">
        <v>56</v>
      </c>
      <c r="I48" s="137"/>
      <c r="J48" s="137"/>
      <c r="K48" s="10" t="s">
        <v>2031</v>
      </c>
      <c r="L48" s="87">
        <v>6000.0</v>
      </c>
      <c r="M48" s="96">
        <f t="array" ref="M48">IFERROR((_xlfn.XLOOKUP(TRIM(F48), TRIM('Database Dapur'!C:C), 'Database Dapur'!D:D)),"")</f>
        <v>155404.025</v>
      </c>
      <c r="N48" s="96">
        <f t="array" ref="N48">IFERROR((_xlfn.XLOOKUP(TRIM(F48), TRIM('Database Dapur'!C:C), 'Database Dapur'!D:D) / L48),"")*1000</f>
        <v>25900.67083</v>
      </c>
      <c r="O48" s="124">
        <f t="array" ref="O48">IFERROR((_xlfn.XLOOKUP(TRIM(F48), TRIM('Database Dapur'!C:C), 'Database Dapur'!D:D) / L48) * G48, "")
</f>
        <v>1036.026833</v>
      </c>
      <c r="P48" s="143"/>
      <c r="Q48" s="136"/>
      <c r="R48" s="137"/>
      <c r="S48" s="137"/>
      <c r="T48" s="137"/>
      <c r="U48" s="137"/>
      <c r="V48" s="137"/>
      <c r="W48" s="144"/>
      <c r="X48" s="145"/>
    </row>
    <row r="49">
      <c r="A49" s="136"/>
      <c r="B49" s="137"/>
      <c r="C49" s="137"/>
      <c r="D49" s="137"/>
      <c r="E49" s="137"/>
      <c r="F49" s="10" t="s">
        <v>2081</v>
      </c>
      <c r="G49" s="86">
        <v>40.0</v>
      </c>
      <c r="H49" s="10" t="s">
        <v>56</v>
      </c>
      <c r="I49" s="137"/>
      <c r="J49" s="137"/>
      <c r="K49" s="10" t="s">
        <v>2088</v>
      </c>
      <c r="L49" s="87">
        <v>2200.0</v>
      </c>
      <c r="M49" s="96">
        <f t="array" ref="M49">IFERROR((_xlfn.XLOOKUP(TRIM(F49), TRIM('Database Dapur'!C:C), 'Database Dapur'!D:D)),"")</f>
        <v>76488</v>
      </c>
      <c r="N49" s="96">
        <f t="array" ref="N49">IFERROR((_xlfn.XLOOKUP(TRIM(F49), TRIM('Database Dapur'!C:C), 'Database Dapur'!D:D) / L49),"")*1000</f>
        <v>34767.27273</v>
      </c>
      <c r="O49" s="124">
        <f t="array" ref="O49">IFERROR((_xlfn.XLOOKUP(TRIM(F49), TRIM('Database Dapur'!C:C), 'Database Dapur'!D:D) / L49) * G49, "")
</f>
        <v>1390.690909</v>
      </c>
      <c r="P49" s="143"/>
      <c r="Q49" s="136"/>
      <c r="R49" s="137"/>
      <c r="S49" s="137"/>
      <c r="T49" s="137"/>
      <c r="U49" s="137"/>
      <c r="V49" s="137"/>
      <c r="W49" s="144"/>
      <c r="X49" s="145"/>
    </row>
    <row r="50">
      <c r="A50" s="136"/>
      <c r="B50" s="137"/>
      <c r="C50" s="137"/>
      <c r="D50" s="137"/>
      <c r="E50" s="137"/>
      <c r="F50" s="10" t="s">
        <v>1482</v>
      </c>
      <c r="G50" s="86">
        <v>10.0</v>
      </c>
      <c r="H50" s="10" t="s">
        <v>56</v>
      </c>
      <c r="I50" s="137"/>
      <c r="J50" s="137"/>
      <c r="K50" s="10" t="s">
        <v>57</v>
      </c>
      <c r="L50" s="87">
        <v>1000.0</v>
      </c>
      <c r="M50" s="96">
        <f t="array" ref="M50">IFERROR((_xlfn.XLOOKUP(TRIM(F50), TRIM('Database Dapur'!C:C), 'Database Dapur'!D:D)),"")</f>
        <v>44417</v>
      </c>
      <c r="N50" s="96">
        <f t="array" ref="N50">IFERROR((_xlfn.XLOOKUP(TRIM(F50), TRIM('Database Dapur'!C:C), 'Database Dapur'!D:D) / L50),"")*1000</f>
        <v>44417</v>
      </c>
      <c r="O50" s="124">
        <f t="array" ref="O50">IFERROR((_xlfn.XLOOKUP(TRIM(F50), TRIM('Database Dapur'!C:C), 'Database Dapur'!D:D) / L50) * G50, "")
</f>
        <v>444.17</v>
      </c>
      <c r="P50" s="143"/>
      <c r="Q50" s="136"/>
      <c r="R50" s="137"/>
      <c r="S50" s="137"/>
      <c r="T50" s="137"/>
      <c r="U50" s="137"/>
      <c r="V50" s="137"/>
      <c r="W50" s="144"/>
      <c r="X50" s="145"/>
    </row>
    <row r="51">
      <c r="A51" s="136"/>
      <c r="B51" s="137"/>
      <c r="C51" s="137"/>
      <c r="D51" s="137"/>
      <c r="E51" s="137"/>
      <c r="F51" s="10" t="s">
        <v>2247</v>
      </c>
      <c r="G51" s="86">
        <v>40.0</v>
      </c>
      <c r="H51" s="10" t="s">
        <v>56</v>
      </c>
      <c r="I51" s="137"/>
      <c r="J51" s="137"/>
      <c r="K51" s="10" t="s">
        <v>509</v>
      </c>
      <c r="L51" s="87">
        <v>700.0</v>
      </c>
      <c r="M51" s="96">
        <f t="array" ref="M51">IFERROR((_xlfn.XLOOKUP(TRIM(F51), TRIM('Database Dapur'!C:C), 'Database Dapur'!D:D)),"")</f>
        <v>25834</v>
      </c>
      <c r="N51" s="96">
        <f t="array" ref="N51">IFERROR((_xlfn.XLOOKUP(TRIM(F51), TRIM('Database Dapur'!C:C), 'Database Dapur'!D:D) / L51),"")*1000</f>
        <v>36905.71429</v>
      </c>
      <c r="O51" s="124">
        <f t="array" ref="O51">IFERROR((_xlfn.XLOOKUP(TRIM(F51), TRIM('Database Dapur'!C:C), 'Database Dapur'!D:D) / L51) * G51, "")
</f>
        <v>1476.228571</v>
      </c>
      <c r="P51" s="143"/>
      <c r="Q51" s="136"/>
      <c r="R51" s="137"/>
      <c r="S51" s="137"/>
      <c r="T51" s="137"/>
      <c r="U51" s="137"/>
      <c r="V51" s="137"/>
      <c r="W51" s="144"/>
      <c r="X51" s="145"/>
    </row>
    <row r="52">
      <c r="A52" s="136"/>
      <c r="B52" s="137"/>
      <c r="C52" s="137"/>
      <c r="D52" s="137"/>
      <c r="E52" s="137"/>
      <c r="F52" s="10" t="s">
        <v>2254</v>
      </c>
      <c r="G52" s="86">
        <v>10.0</v>
      </c>
      <c r="H52" s="10" t="s">
        <v>56</v>
      </c>
      <c r="I52" s="137"/>
      <c r="J52" s="137"/>
      <c r="K52" s="10" t="s">
        <v>57</v>
      </c>
      <c r="L52" s="87">
        <v>1000.0</v>
      </c>
      <c r="M52" s="96">
        <f t="array" ref="M52">IFERROR((_xlfn.XLOOKUP(TRIM(F52), TRIM('Database Dapur'!C:C), 'Database Dapur'!D:D)),"")</f>
        <v>88000</v>
      </c>
      <c r="N52" s="96">
        <f t="array" ref="N52">IFERROR((_xlfn.XLOOKUP(TRIM(F52), TRIM('Database Dapur'!C:C), 'Database Dapur'!D:D) / L52),"")*1000</f>
        <v>88000</v>
      </c>
      <c r="O52" s="124">
        <f t="array" ref="O52">IFERROR((_xlfn.XLOOKUP(TRIM(F52), TRIM('Database Dapur'!C:C), 'Database Dapur'!D:D) / L52) * G52, "")
</f>
        <v>880</v>
      </c>
      <c r="P52" s="143"/>
      <c r="Q52" s="136"/>
      <c r="R52" s="137"/>
      <c r="S52" s="137"/>
      <c r="T52" s="137"/>
      <c r="U52" s="137"/>
      <c r="V52" s="137"/>
      <c r="W52" s="144"/>
      <c r="X52" s="145"/>
    </row>
    <row r="53">
      <c r="A53" s="136"/>
      <c r="B53" s="137"/>
      <c r="C53" s="137"/>
      <c r="D53" s="137"/>
      <c r="E53" s="137"/>
      <c r="F53" s="10" t="s">
        <v>2257</v>
      </c>
      <c r="G53" s="86">
        <v>60.0</v>
      </c>
      <c r="H53" s="10" t="s">
        <v>56</v>
      </c>
      <c r="I53" s="137"/>
      <c r="J53" s="137"/>
      <c r="K53" s="10" t="s">
        <v>617</v>
      </c>
      <c r="L53" s="87">
        <v>500.0</v>
      </c>
      <c r="M53" s="96">
        <f t="array" ref="M53">IFERROR((_xlfn.XLOOKUP(TRIM(F53), TRIM('Database Dapur'!C:C), 'Database Dapur'!D:D)),"")</f>
        <v>20750</v>
      </c>
      <c r="N53" s="96">
        <f t="array" ref="N53">IFERROR((_xlfn.XLOOKUP(TRIM(F53), TRIM('Database Dapur'!C:C), 'Database Dapur'!D:D) / L53),"")*1000</f>
        <v>41500</v>
      </c>
      <c r="O53" s="124">
        <f t="array" ref="O53">IFERROR((_xlfn.XLOOKUP(TRIM(F53), TRIM('Database Dapur'!C:C), 'Database Dapur'!D:D) / L53) * G53, "")
</f>
        <v>2490</v>
      </c>
      <c r="P53" s="143"/>
      <c r="Q53" s="136"/>
      <c r="R53" s="137"/>
      <c r="S53" s="137"/>
      <c r="T53" s="137"/>
      <c r="U53" s="137"/>
      <c r="V53" s="137"/>
      <c r="W53" s="144"/>
      <c r="X53" s="145"/>
    </row>
    <row r="54">
      <c r="A54" s="136"/>
      <c r="B54" s="137"/>
      <c r="C54" s="137"/>
      <c r="D54" s="137"/>
      <c r="E54" s="137"/>
      <c r="F54" s="10" t="s">
        <v>502</v>
      </c>
      <c r="G54" s="86">
        <v>15.0</v>
      </c>
      <c r="H54" s="10" t="s">
        <v>56</v>
      </c>
      <c r="I54" s="137"/>
      <c r="J54" s="137"/>
      <c r="K54" s="10" t="s">
        <v>509</v>
      </c>
      <c r="L54" s="87">
        <v>650.0</v>
      </c>
      <c r="M54" s="96">
        <f t="array" ref="M54">IFERROR((_xlfn.XLOOKUP(TRIM(F54), TRIM('Database Dapur'!C:C), 'Database Dapur'!D:D)),"")</f>
        <v>15000</v>
      </c>
      <c r="N54" s="96">
        <f t="array" ref="N54">IFERROR((_xlfn.XLOOKUP(TRIM(F54), TRIM('Database Dapur'!C:C), 'Database Dapur'!D:D) / L54),"")*1000</f>
        <v>23076.92308</v>
      </c>
      <c r="O54" s="124">
        <f t="array" ref="O54">IFERROR((_xlfn.XLOOKUP(TRIM(F54), TRIM('Database Dapur'!C:C), 'Database Dapur'!D:D) / L54) * G54, "")
</f>
        <v>346.1538462</v>
      </c>
      <c r="P54" s="143"/>
      <c r="Q54" s="136"/>
      <c r="R54" s="137"/>
      <c r="S54" s="137"/>
      <c r="T54" s="137"/>
      <c r="U54" s="137"/>
      <c r="V54" s="137"/>
      <c r="W54" s="144"/>
      <c r="X54" s="145"/>
    </row>
    <row r="55">
      <c r="A55" s="136"/>
      <c r="B55" s="137"/>
      <c r="C55" s="137"/>
      <c r="D55" s="137"/>
      <c r="E55" s="137"/>
      <c r="F55" s="10" t="s">
        <v>2439</v>
      </c>
      <c r="G55" s="86">
        <v>250.0</v>
      </c>
      <c r="H55" s="10" t="s">
        <v>56</v>
      </c>
      <c r="I55" s="137"/>
      <c r="J55" s="137"/>
      <c r="K55" s="10" t="s">
        <v>728</v>
      </c>
      <c r="L55" s="87">
        <v>5500.0</v>
      </c>
      <c r="M55" s="96">
        <f t="array" ref="M55">IFERROR((_xlfn.XLOOKUP(TRIM(F55), TRIM('Database Dapur'!C:C), 'Database Dapur'!D:D)),"")</f>
        <v>144450.04</v>
      </c>
      <c r="N55" s="96">
        <f t="array" ref="N55">IFERROR((_xlfn.XLOOKUP(TRIM(F55), TRIM('Database Dapur'!C:C), 'Database Dapur'!D:D) / L55),"")*1000</f>
        <v>26263.64364</v>
      </c>
      <c r="O55" s="124">
        <f t="array" ref="O55">IFERROR((_xlfn.XLOOKUP(TRIM(F55), TRIM('Database Dapur'!C:C), 'Database Dapur'!D:D) / L55) * G55, "")
</f>
        <v>6565.910909</v>
      </c>
      <c r="P55" s="143"/>
      <c r="Q55" s="136"/>
      <c r="R55" s="137"/>
      <c r="S55" s="137"/>
      <c r="T55" s="137"/>
      <c r="U55" s="137"/>
      <c r="V55" s="137"/>
      <c r="W55" s="144"/>
      <c r="X55" s="145"/>
    </row>
    <row r="56">
      <c r="A56" s="136"/>
      <c r="B56" s="137"/>
      <c r="C56" s="137"/>
      <c r="D56" s="137"/>
      <c r="E56" s="137"/>
      <c r="F56" s="233" t="s">
        <v>2022</v>
      </c>
      <c r="G56" s="86">
        <v>8.0</v>
      </c>
      <c r="H56" s="10" t="s">
        <v>56</v>
      </c>
      <c r="I56" s="137"/>
      <c r="J56" s="137"/>
      <c r="K56" s="233" t="s">
        <v>30</v>
      </c>
      <c r="L56" s="233">
        <v>600.0</v>
      </c>
      <c r="M56" s="96">
        <f t="array" ref="M56">IFERROR((_xlfn.XLOOKUP(TRIM(F56), TRIM('Database Dapur'!C:C), 'Database Dapur'!D:D)),"")</f>
        <v>32000</v>
      </c>
      <c r="N56" s="96">
        <f t="array" ref="N56">IFERROR((_xlfn.XLOOKUP(TRIM(F56), TRIM('Database Dapur'!C:C), 'Database Dapur'!D:D) / L56),"")*1000</f>
        <v>53333.33333</v>
      </c>
      <c r="O56" s="96">
        <f t="array" ref="O56">IFERROR((_xlfn.XLOOKUP(TRIM(F56), TRIM('Database Dapur'!C:C), 'Database Dapur'!D:D) / L56) * G56, "")
</f>
        <v>426.6666667</v>
      </c>
      <c r="P56" s="143"/>
      <c r="Q56" s="136"/>
      <c r="R56" s="137"/>
      <c r="S56" s="137"/>
      <c r="T56" s="137"/>
      <c r="U56" s="137"/>
      <c r="V56" s="137"/>
      <c r="W56" s="144"/>
      <c r="X56" s="145"/>
    </row>
    <row r="57">
      <c r="A57" s="66"/>
      <c r="B57" s="67"/>
      <c r="C57" s="67"/>
      <c r="D57" s="67"/>
      <c r="E57" s="67"/>
      <c r="F57" s="10" t="s">
        <v>815</v>
      </c>
      <c r="G57" s="86">
        <v>450.0</v>
      </c>
      <c r="H57" s="10" t="s">
        <v>56</v>
      </c>
      <c r="I57" s="67"/>
      <c r="J57" s="67"/>
      <c r="K57" s="10"/>
      <c r="L57" s="10"/>
      <c r="M57" s="96" t="str">
        <f t="array" ref="M57">IFERROR((_xlfn.XLOOKUP(TRIM(F57), TRIM('Database Dapur'!C:C), 'Database Dapur'!D:D)),"")</f>
        <v/>
      </c>
      <c r="N57" s="96">
        <f t="array" ref="N57">IFERROR((_xlfn.XLOOKUP(TRIM(F57), TRIM('Database Dapur'!C:C), 'Database Dapur'!D:D) / L57),"")*1000</f>
        <v>0</v>
      </c>
      <c r="O57" s="96" t="str">
        <f t="array" ref="O57">IFERROR((_xlfn.XLOOKUP(TRIM(F57), TRIM('Database Dapur'!C:C), 'Database Dapur'!D:D) / L57) * G57, "")
</f>
        <v/>
      </c>
      <c r="P57" s="75"/>
      <c r="Q57" s="66"/>
      <c r="R57" s="67"/>
      <c r="S57" s="67"/>
      <c r="T57" s="67"/>
      <c r="U57" s="67"/>
      <c r="V57" s="67"/>
      <c r="W57" s="183"/>
      <c r="X57" s="81"/>
    </row>
    <row r="58">
      <c r="A58" s="185"/>
      <c r="B58" s="187" t="str">
        <f>IFERROR(VLOOKUP(A58, 'Database Dapur'!C:D, 2, FALSE),"")</f>
        <v/>
      </c>
      <c r="C58" s="189" t="str">
        <f>IFERROR(VLOOKUP(#REF!, 'Database Dapur'!A:D, 3, FALSE),"")</f>
        <v/>
      </c>
      <c r="D58" s="189" t="str">
        <f>IFERROR(VLOOKUP(#REF!, 'Database Dapur'!B:E, 3, FALSE),"")</f>
        <v/>
      </c>
      <c r="E58" s="189" t="str">
        <f>IFERROR(VLOOKUP(A58, 'Database Dapur'!C:F, 3, FALSE),"")</f>
        <v/>
      </c>
      <c r="F58" s="34"/>
      <c r="G58" s="191">
        <f>SUM(G43:G57)</f>
        <v>1188</v>
      </c>
      <c r="H58" s="34"/>
      <c r="I58" s="192"/>
      <c r="J58" s="192"/>
      <c r="K58" s="34"/>
      <c r="L58" s="34"/>
      <c r="M58" s="194" t="str">
        <f t="array" ref="M58">IFERROR((_xlfn.XLOOKUP(TRIM(F58), TRIM('Database Dapur'!C:C), 'Database Dapur'!D:D)),"")</f>
        <v/>
      </c>
      <c r="N58" s="194">
        <f t="array" ref="N58">IFERROR((_xlfn.XLOOKUP(TRIM(F58), TRIM('Database Dapur'!C:C), 'Database Dapur'!D:D) / L58),"")*1000</f>
        <v>0</v>
      </c>
      <c r="O58" s="197">
        <f>SUM(O43:O57)</f>
        <v>21028.97474</v>
      </c>
      <c r="P58" s="198"/>
      <c r="Q58" s="199"/>
      <c r="R58" s="201"/>
      <c r="S58" s="202"/>
      <c r="T58" s="192"/>
      <c r="U58" s="202">
        <f t="shared" ref="U58:U59" si="5">S58-X58</f>
        <v>0</v>
      </c>
      <c r="V58" s="202"/>
      <c r="W58" s="203"/>
      <c r="X58" s="204"/>
      <c r="Y58" s="205"/>
    </row>
    <row r="59">
      <c r="A59" s="82" t="s">
        <v>1892</v>
      </c>
      <c r="B59" s="83">
        <f>IFERROR(VLOOKUP(A59, 'Database Dapur'!C:D, 2, FALSE),"")</f>
        <v>38000</v>
      </c>
      <c r="C59" s="84">
        <f>D59*1000</f>
        <v>1000</v>
      </c>
      <c r="D59" s="84">
        <v>1.0</v>
      </c>
      <c r="E59" s="85" t="str">
        <f>IFERROR(VLOOKUP(A59, 'Database Dapur'!C:F, 3, FALSE),"")</f>
        <v>Kg</v>
      </c>
      <c r="F59" s="10" t="s">
        <v>1482</v>
      </c>
      <c r="G59" s="86">
        <v>15.0</v>
      </c>
      <c r="H59" s="10" t="s">
        <v>56</v>
      </c>
      <c r="I59" s="85">
        <v>1000.0</v>
      </c>
      <c r="J59" s="208" t="s">
        <v>56</v>
      </c>
      <c r="K59" s="10" t="s">
        <v>57</v>
      </c>
      <c r="L59" s="87">
        <v>1000.0</v>
      </c>
      <c r="M59" s="96">
        <f t="array" ref="M59">IFERROR((_xlfn.XLOOKUP(TRIM(F59), TRIM('Database Dapur'!C:C), 'Database Dapur'!D:D)),"")</f>
        <v>44417</v>
      </c>
      <c r="N59" s="96">
        <f t="array" ref="N59">IFERROR((_xlfn.XLOOKUP(TRIM(F59), TRIM('Database Dapur'!C:C), 'Database Dapur'!D:D) / L59),"")*1000</f>
        <v>44417</v>
      </c>
      <c r="O59" s="124">
        <f t="array" ref="O59">IFERROR((_xlfn.XLOOKUP(TRIM(F59), TRIM('Database Dapur'!C:C), 'Database Dapur'!D:D) / L59) * G59, "")
</f>
        <v>666.255</v>
      </c>
      <c r="P59" s="125">
        <f>O68/I59*C59</f>
        <v>25780.90338</v>
      </c>
      <c r="Q59" s="128">
        <f>B59-P59</f>
        <v>12219.09662</v>
      </c>
      <c r="R59" s="130">
        <f>(P59/B59)</f>
        <v>0.6784448257</v>
      </c>
      <c r="S59" s="132">
        <f>IFERROR(VLOOKUP(A59, 'Database Dapur'!C:D, 2, FALSE),"")</f>
        <v>38000</v>
      </c>
      <c r="T59" s="85" t="str">
        <f>IFERROR(VLOOKUP(A59, 'Database Dapur'!C:F, 3, FALSE),"")</f>
        <v>Kg</v>
      </c>
      <c r="U59" s="132">
        <f t="shared" si="5"/>
        <v>38000</v>
      </c>
      <c r="V59" s="132">
        <f>U59-P59</f>
        <v>12219.09662</v>
      </c>
      <c r="W59" s="134">
        <f>(P59/U59)</f>
        <v>0.6784448257</v>
      </c>
      <c r="X59" s="210"/>
    </row>
    <row r="60">
      <c r="A60" s="136"/>
      <c r="B60" s="137"/>
      <c r="C60" s="137"/>
      <c r="D60" s="137"/>
      <c r="E60" s="137"/>
      <c r="F60" s="10" t="s">
        <v>386</v>
      </c>
      <c r="G60" s="86">
        <v>6.0</v>
      </c>
      <c r="H60" s="10" t="s">
        <v>56</v>
      </c>
      <c r="I60" s="137"/>
      <c r="J60" s="137"/>
      <c r="K60" s="10" t="s">
        <v>57</v>
      </c>
      <c r="L60" s="87">
        <v>1000.0</v>
      </c>
      <c r="M60" s="96">
        <f t="array" ref="M60">IFERROR((_xlfn.XLOOKUP(TRIM(F60), TRIM('Database Dapur'!C:C), 'Database Dapur'!D:D)),"")</f>
        <v>6100</v>
      </c>
      <c r="N60" s="96">
        <f t="array" ref="N60">IFERROR((_xlfn.XLOOKUP(TRIM(F60), TRIM('Database Dapur'!C:C), 'Database Dapur'!D:D) / L60),"")*1000</f>
        <v>6100</v>
      </c>
      <c r="O60" s="124">
        <f t="array" ref="O60">IFERROR((_xlfn.XLOOKUP(TRIM(F60), TRIM('Database Dapur'!C:C), 'Database Dapur'!D:D) / L60) * G60, "")
</f>
        <v>36.6</v>
      </c>
      <c r="P60" s="143"/>
      <c r="Q60" s="136"/>
      <c r="R60" s="137"/>
      <c r="S60" s="137"/>
      <c r="T60" s="137"/>
      <c r="U60" s="137"/>
      <c r="V60" s="137"/>
      <c r="W60" s="144"/>
      <c r="X60" s="145"/>
    </row>
    <row r="61">
      <c r="A61" s="136"/>
      <c r="B61" s="137"/>
      <c r="C61" s="137"/>
      <c r="D61" s="137"/>
      <c r="E61" s="137"/>
      <c r="F61" s="10" t="s">
        <v>260</v>
      </c>
      <c r="G61" s="86">
        <v>310.0</v>
      </c>
      <c r="H61" s="10" t="s">
        <v>56</v>
      </c>
      <c r="I61" s="137"/>
      <c r="J61" s="137"/>
      <c r="K61" s="10" t="s">
        <v>57</v>
      </c>
      <c r="L61" s="87">
        <v>1000.0</v>
      </c>
      <c r="M61" s="96">
        <f t="array" ref="M61">IFERROR((_xlfn.XLOOKUP(TRIM(F61), TRIM('Database Dapur'!C:C), 'Database Dapur'!D:D)),"")</f>
        <v>17200</v>
      </c>
      <c r="N61" s="96">
        <f t="array" ref="N61">IFERROR((_xlfn.XLOOKUP(TRIM(F61), TRIM('Database Dapur'!C:C), 'Database Dapur'!D:D) / L61),"")*1000</f>
        <v>17200</v>
      </c>
      <c r="O61" s="124">
        <f t="array" ref="O61">IFERROR((_xlfn.XLOOKUP(TRIM(F61), TRIM('Database Dapur'!C:C), 'Database Dapur'!D:D) / L61) * G61, "")
</f>
        <v>5332</v>
      </c>
      <c r="P61" s="143"/>
      <c r="Q61" s="136"/>
      <c r="R61" s="137"/>
      <c r="S61" s="137"/>
      <c r="T61" s="137"/>
      <c r="U61" s="137"/>
      <c r="V61" s="137"/>
      <c r="W61" s="144"/>
      <c r="X61" s="145"/>
    </row>
    <row r="62">
      <c r="A62" s="136"/>
      <c r="B62" s="137"/>
      <c r="C62" s="137"/>
      <c r="D62" s="137"/>
      <c r="E62" s="137"/>
      <c r="F62" s="10" t="s">
        <v>2030</v>
      </c>
      <c r="G62" s="86">
        <v>90.0</v>
      </c>
      <c r="H62" s="10" t="s">
        <v>56</v>
      </c>
      <c r="I62" s="137"/>
      <c r="J62" s="137"/>
      <c r="K62" s="10" t="s">
        <v>2031</v>
      </c>
      <c r="L62" s="87">
        <v>6000.0</v>
      </c>
      <c r="M62" s="96">
        <f t="array" ref="M62">IFERROR((_xlfn.XLOOKUP(TRIM(F62), TRIM('Database Dapur'!C:C), 'Database Dapur'!D:D)),"")</f>
        <v>81022.16</v>
      </c>
      <c r="N62" s="96">
        <f t="array" ref="N62">IFERROR((_xlfn.XLOOKUP(TRIM(F62), TRIM('Database Dapur'!C:C), 'Database Dapur'!D:D) / L62),"")*1000</f>
        <v>13503.69333</v>
      </c>
      <c r="O62" s="124">
        <f t="array" ref="O62">IFERROR((_xlfn.XLOOKUP(TRIM(F62), TRIM('Database Dapur'!C:C), 'Database Dapur'!D:D) / L62) * G62, "")
</f>
        <v>1215.3324</v>
      </c>
      <c r="P62" s="143"/>
      <c r="Q62" s="136"/>
      <c r="R62" s="137"/>
      <c r="S62" s="137"/>
      <c r="T62" s="137"/>
      <c r="U62" s="137"/>
      <c r="V62" s="137"/>
      <c r="W62" s="144"/>
      <c r="X62" s="145"/>
    </row>
    <row r="63">
      <c r="A63" s="136"/>
      <c r="B63" s="137"/>
      <c r="C63" s="137"/>
      <c r="D63" s="137"/>
      <c r="E63" s="137"/>
      <c r="F63" s="10" t="s">
        <v>2257</v>
      </c>
      <c r="G63" s="86">
        <v>150.0</v>
      </c>
      <c r="H63" s="10" t="s">
        <v>56</v>
      </c>
      <c r="I63" s="137"/>
      <c r="J63" s="137"/>
      <c r="K63" s="10" t="s">
        <v>617</v>
      </c>
      <c r="L63" s="87">
        <v>500.0</v>
      </c>
      <c r="M63" s="96">
        <f t="array" ref="M63">IFERROR((_xlfn.XLOOKUP(TRIM(F63), TRIM('Database Dapur'!C:C), 'Database Dapur'!D:D)),"")</f>
        <v>20750</v>
      </c>
      <c r="N63" s="96">
        <f t="array" ref="N63">IFERROR((_xlfn.XLOOKUP(TRIM(F63), TRIM('Database Dapur'!C:C), 'Database Dapur'!D:D) / L63),"")*1000</f>
        <v>41500</v>
      </c>
      <c r="O63" s="124">
        <f t="array" ref="O63">IFERROR((_xlfn.XLOOKUP(TRIM(F63), TRIM('Database Dapur'!C:C), 'Database Dapur'!D:D) / L63) * G63, "")
</f>
        <v>6225</v>
      </c>
      <c r="P63" s="143"/>
      <c r="Q63" s="136"/>
      <c r="R63" s="137"/>
      <c r="S63" s="137"/>
      <c r="T63" s="137"/>
      <c r="U63" s="137"/>
      <c r="V63" s="137"/>
      <c r="W63" s="144"/>
      <c r="X63" s="145"/>
    </row>
    <row r="64">
      <c r="A64" s="136"/>
      <c r="B64" s="137"/>
      <c r="C64" s="137"/>
      <c r="D64" s="137"/>
      <c r="E64" s="137"/>
      <c r="F64" s="10" t="s">
        <v>614</v>
      </c>
      <c r="G64" s="86">
        <v>45.0</v>
      </c>
      <c r="H64" s="10" t="s">
        <v>56</v>
      </c>
      <c r="I64" s="137"/>
      <c r="J64" s="137"/>
      <c r="K64" s="10" t="s">
        <v>617</v>
      </c>
      <c r="L64" s="87">
        <v>7000.0</v>
      </c>
      <c r="M64" s="96">
        <f t="array" ref="M64">IFERROR((_xlfn.XLOOKUP(TRIM(F64), TRIM('Database Dapur'!C:C), 'Database Dapur'!D:D)),"")</f>
        <v>550000</v>
      </c>
      <c r="N64" s="96">
        <f t="array" ref="N64">IFERROR((_xlfn.XLOOKUP(TRIM(F64), TRIM('Database Dapur'!C:C), 'Database Dapur'!D:D) / L64),"")*1000</f>
        <v>78571.42857</v>
      </c>
      <c r="O64" s="124">
        <f t="array" ref="O64">IFERROR((_xlfn.XLOOKUP(TRIM(F64), TRIM('Database Dapur'!C:C), 'Database Dapur'!D:D) / L64) * G64, "")
</f>
        <v>3535.714286</v>
      </c>
      <c r="P64" s="143"/>
      <c r="Q64" s="136"/>
      <c r="R64" s="137"/>
      <c r="S64" s="137"/>
      <c r="T64" s="137"/>
      <c r="U64" s="137"/>
      <c r="V64" s="137"/>
      <c r="W64" s="144"/>
      <c r="X64" s="145"/>
    </row>
    <row r="65">
      <c r="A65" s="136"/>
      <c r="B65" s="137"/>
      <c r="C65" s="137"/>
      <c r="D65" s="137"/>
      <c r="E65" s="137"/>
      <c r="F65" s="10" t="s">
        <v>2439</v>
      </c>
      <c r="G65" s="86">
        <v>90.0</v>
      </c>
      <c r="H65" s="10" t="s">
        <v>56</v>
      </c>
      <c r="I65" s="137"/>
      <c r="J65" s="137"/>
      <c r="K65" s="10" t="s">
        <v>728</v>
      </c>
      <c r="L65" s="87">
        <v>5500.0</v>
      </c>
      <c r="M65" s="96">
        <f t="array" ref="M65">IFERROR((_xlfn.XLOOKUP(TRIM(F65), TRIM('Database Dapur'!C:C), 'Database Dapur'!D:D)),"")</f>
        <v>144450.04</v>
      </c>
      <c r="N65" s="96">
        <f t="array" ref="N65">IFERROR((_xlfn.XLOOKUP(TRIM(F65), TRIM('Database Dapur'!C:C), 'Database Dapur'!D:D) / L65),"")*1000</f>
        <v>26263.64364</v>
      </c>
      <c r="O65" s="124">
        <f t="array" ref="O65">IFERROR((_xlfn.XLOOKUP(TRIM(F65), TRIM('Database Dapur'!C:C), 'Database Dapur'!D:D) / L65) * G65, "")
</f>
        <v>2363.727927</v>
      </c>
      <c r="P65" s="143"/>
      <c r="Q65" s="136"/>
      <c r="R65" s="137"/>
      <c r="S65" s="137"/>
      <c r="T65" s="137"/>
      <c r="U65" s="137"/>
      <c r="V65" s="137"/>
      <c r="W65" s="144"/>
      <c r="X65" s="145"/>
    </row>
    <row r="66">
      <c r="A66" s="136"/>
      <c r="B66" s="137"/>
      <c r="C66" s="137"/>
      <c r="D66" s="137"/>
      <c r="E66" s="137"/>
      <c r="F66" s="10" t="s">
        <v>726</v>
      </c>
      <c r="G66" s="86">
        <v>250.0</v>
      </c>
      <c r="H66" s="10" t="s">
        <v>56</v>
      </c>
      <c r="I66" s="137"/>
      <c r="J66" s="137"/>
      <c r="K66" s="10" t="s">
        <v>728</v>
      </c>
      <c r="L66" s="87">
        <v>5700.0</v>
      </c>
      <c r="M66" s="96">
        <f t="array" ref="M66">IFERROR((_xlfn.XLOOKUP(TRIM(F66), TRIM('Database Dapur'!C:C), 'Database Dapur'!D:D)),"")</f>
        <v>110391.82</v>
      </c>
      <c r="N66" s="96">
        <f t="array" ref="N66">IFERROR((_xlfn.XLOOKUP(TRIM(F66), TRIM('Database Dapur'!C:C), 'Database Dapur'!D:D) / L66),"")*1000</f>
        <v>19366.98596</v>
      </c>
      <c r="O66" s="124">
        <f t="array" ref="O66">IFERROR((_xlfn.XLOOKUP(TRIM(F66), TRIM('Database Dapur'!C:C), 'Database Dapur'!D:D) / L66) * G66, "")
</f>
        <v>4841.746491</v>
      </c>
      <c r="P66" s="143"/>
      <c r="Q66" s="136"/>
      <c r="R66" s="137"/>
      <c r="S66" s="137"/>
      <c r="T66" s="137"/>
      <c r="U66" s="137"/>
      <c r="V66" s="137"/>
      <c r="W66" s="144"/>
      <c r="X66" s="145"/>
    </row>
    <row r="67">
      <c r="A67" s="66"/>
      <c r="B67" s="67"/>
      <c r="C67" s="67"/>
      <c r="D67" s="67"/>
      <c r="E67" s="67"/>
      <c r="F67" s="10" t="s">
        <v>2081</v>
      </c>
      <c r="G67" s="86">
        <v>45.0</v>
      </c>
      <c r="H67" s="10" t="s">
        <v>56</v>
      </c>
      <c r="I67" s="67"/>
      <c r="J67" s="67"/>
      <c r="K67" s="10" t="s">
        <v>2088</v>
      </c>
      <c r="L67" s="87">
        <v>2200.0</v>
      </c>
      <c r="M67" s="96">
        <f t="array" ref="M67">IFERROR((_xlfn.XLOOKUP(TRIM(F67), TRIM('Database Dapur'!C:C), 'Database Dapur'!D:D)),"")</f>
        <v>76488</v>
      </c>
      <c r="N67" s="96">
        <f t="array" ref="N67">IFERROR((_xlfn.XLOOKUP(TRIM(F67), TRIM('Database Dapur'!C:C), 'Database Dapur'!D:D) / L67),"")*1000</f>
        <v>34767.27273</v>
      </c>
      <c r="O67" s="124">
        <f t="array" ref="O67">IFERROR((_xlfn.XLOOKUP(TRIM(F67), TRIM('Database Dapur'!C:C), 'Database Dapur'!D:D) / L67) * G67, "")
</f>
        <v>1564.527273</v>
      </c>
      <c r="P67" s="75"/>
      <c r="Q67" s="66"/>
      <c r="R67" s="67"/>
      <c r="S67" s="67"/>
      <c r="T67" s="67"/>
      <c r="U67" s="67"/>
      <c r="V67" s="67"/>
      <c r="W67" s="183"/>
      <c r="X67" s="81"/>
    </row>
    <row r="68">
      <c r="A68" s="185"/>
      <c r="B68" s="187" t="str">
        <f>IFERROR(VLOOKUP(A68, 'Database Dapur'!C:D, 2, FALSE),"")</f>
        <v/>
      </c>
      <c r="C68" s="189" t="str">
        <f>IFERROR(VLOOKUP(#REF!, 'Database Dapur'!A:D, 3, FALSE),"")</f>
        <v/>
      </c>
      <c r="D68" s="189" t="str">
        <f>IFERROR(VLOOKUP(#REF!, 'Database Dapur'!B:E, 3, FALSE),"")</f>
        <v/>
      </c>
      <c r="E68" s="189" t="str">
        <f>IFERROR(VLOOKUP(A68, 'Database Dapur'!C:F, 3, FALSE),"")</f>
        <v/>
      </c>
      <c r="F68" s="34"/>
      <c r="G68" s="191">
        <f>SUM(G59:G67)</f>
        <v>1001</v>
      </c>
      <c r="H68" s="34"/>
      <c r="I68" s="192"/>
      <c r="J68" s="192"/>
      <c r="K68" s="34"/>
      <c r="L68" s="34"/>
      <c r="M68" s="194" t="str">
        <f t="array" ref="M68">IFERROR((_xlfn.XLOOKUP(TRIM(F68), TRIM('Database Dapur'!C:C), 'Database Dapur'!D:D)),"")</f>
        <v/>
      </c>
      <c r="N68" s="194">
        <f t="array" ref="N68">IFERROR((_xlfn.XLOOKUP(TRIM(F68), TRIM('Database Dapur'!C:C), 'Database Dapur'!D:D) / L68),"")*1000</f>
        <v>0</v>
      </c>
      <c r="O68" s="197">
        <f>SUM(O59:O67)</f>
        <v>25780.90338</v>
      </c>
      <c r="P68" s="198"/>
      <c r="Q68" s="199"/>
      <c r="R68" s="201"/>
      <c r="S68" s="202"/>
      <c r="T68" s="192"/>
      <c r="U68" s="202">
        <f t="shared" ref="U68:U69" si="6">S68-X68</f>
        <v>0</v>
      </c>
      <c r="V68" s="202"/>
      <c r="W68" s="203"/>
      <c r="X68" s="204"/>
      <c r="Y68" s="205"/>
    </row>
    <row r="69">
      <c r="A69" s="82" t="s">
        <v>1898</v>
      </c>
      <c r="B69" s="83">
        <f>IFERROR(VLOOKUP(A69, 'Database Dapur'!C:D, 2, FALSE),"")</f>
        <v>45000</v>
      </c>
      <c r="C69" s="84">
        <f>D69*1000</f>
        <v>1000</v>
      </c>
      <c r="D69" s="84">
        <v>1.0</v>
      </c>
      <c r="E69" s="85" t="str">
        <f>IFERROR(VLOOKUP(A69, 'Database Dapur'!C:F, 3, FALSE),"")</f>
        <v>Kg</v>
      </c>
      <c r="F69" s="10" t="s">
        <v>1482</v>
      </c>
      <c r="G69" s="86">
        <v>100.0</v>
      </c>
      <c r="H69" s="10" t="s">
        <v>56</v>
      </c>
      <c r="I69" s="85">
        <v>900.0</v>
      </c>
      <c r="J69" s="208" t="s">
        <v>56</v>
      </c>
      <c r="K69" s="10" t="s">
        <v>57</v>
      </c>
      <c r="L69" s="87">
        <v>1000.0</v>
      </c>
      <c r="M69" s="96">
        <f t="array" ref="M69">IFERROR((_xlfn.XLOOKUP(TRIM(F69), TRIM('Database Dapur'!C:C), 'Database Dapur'!D:D)),"")</f>
        <v>44417</v>
      </c>
      <c r="N69" s="96">
        <f t="array" ref="N69">IFERROR((_xlfn.XLOOKUP(TRIM(F69), TRIM('Database Dapur'!C:C), 'Database Dapur'!D:D) / L69),"")*1000</f>
        <v>44417</v>
      </c>
      <c r="O69" s="124">
        <f t="array" ref="O69">IFERROR((_xlfn.XLOOKUP(TRIM(F69), TRIM('Database Dapur'!C:C), 'Database Dapur'!D:D) / L69) * G69, "")
</f>
        <v>4441.7</v>
      </c>
      <c r="P69" s="125">
        <f>O78/I69*C69</f>
        <v>39194.75263</v>
      </c>
      <c r="Q69" s="331">
        <f>B69-P69</f>
        <v>5805.247366</v>
      </c>
      <c r="R69" s="130">
        <f>(P69/B69)</f>
        <v>0.870994503</v>
      </c>
      <c r="S69" s="132">
        <f>IFERROR(VLOOKUP(A69, 'Database Dapur'!C:D, 2, FALSE),"")</f>
        <v>45000</v>
      </c>
      <c r="T69" s="85" t="str">
        <f>IFERROR(VLOOKUP(A69, 'Database Dapur'!C:F, 3, FALSE),"")</f>
        <v>Kg</v>
      </c>
      <c r="U69" s="132">
        <f t="shared" si="6"/>
        <v>45000</v>
      </c>
      <c r="V69" s="132">
        <f>U69-P69</f>
        <v>5805.247366</v>
      </c>
      <c r="W69" s="134">
        <f>(P69/U69)</f>
        <v>0.870994503</v>
      </c>
      <c r="X69" s="210"/>
    </row>
    <row r="70">
      <c r="A70" s="136"/>
      <c r="B70" s="137"/>
      <c r="C70" s="137"/>
      <c r="D70" s="137"/>
      <c r="E70" s="137"/>
      <c r="F70" s="10" t="s">
        <v>2008</v>
      </c>
      <c r="G70" s="86">
        <v>160.0</v>
      </c>
      <c r="H70" s="10" t="s">
        <v>56</v>
      </c>
      <c r="I70" s="137"/>
      <c r="J70" s="137"/>
      <c r="K70" s="10" t="s">
        <v>57</v>
      </c>
      <c r="L70" s="87">
        <v>1000.0</v>
      </c>
      <c r="M70" s="96">
        <f t="array" ref="M70">IFERROR((_xlfn.XLOOKUP(TRIM(F70), TRIM('Database Dapur'!C:C), 'Database Dapur'!D:D)),"")</f>
        <v>43500</v>
      </c>
      <c r="N70" s="96">
        <f t="array" ref="N70">IFERROR((_xlfn.XLOOKUP(TRIM(F70), TRIM('Database Dapur'!C:C), 'Database Dapur'!D:D) / L70),"")*1000</f>
        <v>43500</v>
      </c>
      <c r="O70" s="124">
        <f t="array" ref="O70">IFERROR((_xlfn.XLOOKUP(TRIM(F70), TRIM('Database Dapur'!C:C), 'Database Dapur'!D:D) / L70) * G70, "")
</f>
        <v>6960</v>
      </c>
      <c r="P70" s="143"/>
      <c r="Q70" s="136"/>
      <c r="R70" s="137"/>
      <c r="S70" s="137"/>
      <c r="T70" s="137"/>
      <c r="U70" s="137"/>
      <c r="V70" s="137"/>
      <c r="W70" s="144"/>
      <c r="X70" s="145"/>
    </row>
    <row r="71">
      <c r="A71" s="136"/>
      <c r="B71" s="137"/>
      <c r="C71" s="137"/>
      <c r="D71" s="137"/>
      <c r="E71" s="137"/>
      <c r="F71" s="10" t="s">
        <v>2010</v>
      </c>
      <c r="G71" s="86">
        <v>330.0</v>
      </c>
      <c r="H71" s="10" t="s">
        <v>56</v>
      </c>
      <c r="I71" s="137"/>
      <c r="J71" s="137"/>
      <c r="K71" s="10" t="s">
        <v>57</v>
      </c>
      <c r="L71" s="87">
        <v>1000.0</v>
      </c>
      <c r="M71" s="96">
        <f t="array" ref="M71">IFERROR((_xlfn.XLOOKUP(TRIM(F71), TRIM('Database Dapur'!C:C), 'Database Dapur'!D:D)),"")</f>
        <v>50000</v>
      </c>
      <c r="N71" s="96">
        <f t="array" ref="N71">IFERROR((_xlfn.XLOOKUP(TRIM(F71), TRIM('Database Dapur'!C:C), 'Database Dapur'!D:D) / L71),"")*1000</f>
        <v>50000</v>
      </c>
      <c r="O71" s="124">
        <f t="array" ref="O71">IFERROR((_xlfn.XLOOKUP(TRIM(F71), TRIM('Database Dapur'!C:C), 'Database Dapur'!D:D) / L71) * G71, "")
</f>
        <v>16500</v>
      </c>
      <c r="P71" s="143"/>
      <c r="Q71" s="136"/>
      <c r="R71" s="137"/>
      <c r="S71" s="137"/>
      <c r="T71" s="137"/>
      <c r="U71" s="137"/>
      <c r="V71" s="137"/>
      <c r="W71" s="144"/>
      <c r="X71" s="145"/>
    </row>
    <row r="72">
      <c r="A72" s="136"/>
      <c r="B72" s="137"/>
      <c r="C72" s="137"/>
      <c r="D72" s="137"/>
      <c r="E72" s="137"/>
      <c r="F72" s="10" t="s">
        <v>386</v>
      </c>
      <c r="G72" s="86">
        <v>10.0</v>
      </c>
      <c r="H72" s="10" t="s">
        <v>56</v>
      </c>
      <c r="I72" s="137"/>
      <c r="J72" s="137"/>
      <c r="K72" s="10" t="s">
        <v>57</v>
      </c>
      <c r="L72" s="87">
        <v>1000.0</v>
      </c>
      <c r="M72" s="96">
        <f t="array" ref="M72">IFERROR((_xlfn.XLOOKUP(TRIM(F72), TRIM('Database Dapur'!C:C), 'Database Dapur'!D:D)),"")</f>
        <v>6100</v>
      </c>
      <c r="N72" s="96">
        <f t="array" ref="N72">IFERROR((_xlfn.XLOOKUP(TRIM(F72), TRIM('Database Dapur'!C:C), 'Database Dapur'!D:D) / L72),"")*1000</f>
        <v>6100</v>
      </c>
      <c r="O72" s="124">
        <f t="array" ref="O72">IFERROR((_xlfn.XLOOKUP(TRIM(F72), TRIM('Database Dapur'!C:C), 'Database Dapur'!D:D) / L72) * G72, "")
</f>
        <v>61</v>
      </c>
      <c r="P72" s="143"/>
      <c r="Q72" s="136"/>
      <c r="R72" s="137"/>
      <c r="S72" s="137"/>
      <c r="T72" s="137"/>
      <c r="U72" s="137"/>
      <c r="V72" s="137"/>
      <c r="W72" s="144"/>
      <c r="X72" s="145"/>
    </row>
    <row r="73">
      <c r="A73" s="136"/>
      <c r="B73" s="137"/>
      <c r="C73" s="137"/>
      <c r="D73" s="137"/>
      <c r="E73" s="137"/>
      <c r="F73" s="10" t="s">
        <v>260</v>
      </c>
      <c r="G73" s="86">
        <v>30.0</v>
      </c>
      <c r="H73" s="10" t="s">
        <v>56</v>
      </c>
      <c r="I73" s="137"/>
      <c r="J73" s="137"/>
      <c r="K73" s="10" t="s">
        <v>57</v>
      </c>
      <c r="L73" s="87">
        <v>1000.0</v>
      </c>
      <c r="M73" s="96">
        <f t="array" ref="M73">IFERROR((_xlfn.XLOOKUP(TRIM(F73), TRIM('Database Dapur'!C:C), 'Database Dapur'!D:D)),"")</f>
        <v>17200</v>
      </c>
      <c r="N73" s="96">
        <f t="array" ref="N73">IFERROR((_xlfn.XLOOKUP(TRIM(F73), TRIM('Database Dapur'!C:C), 'Database Dapur'!D:D) / L73),"")*1000</f>
        <v>17200</v>
      </c>
      <c r="O73" s="124">
        <f t="array" ref="O73">IFERROR((_xlfn.XLOOKUP(TRIM(F73), TRIM('Database Dapur'!C:C), 'Database Dapur'!D:D) / L73) * G73, "")
</f>
        <v>516</v>
      </c>
      <c r="P73" s="143"/>
      <c r="Q73" s="136"/>
      <c r="R73" s="137"/>
      <c r="S73" s="137"/>
      <c r="T73" s="137"/>
      <c r="U73" s="137"/>
      <c r="V73" s="137"/>
      <c r="W73" s="144"/>
      <c r="X73" s="145"/>
    </row>
    <row r="74">
      <c r="A74" s="136"/>
      <c r="B74" s="137"/>
      <c r="C74" s="137"/>
      <c r="D74" s="137"/>
      <c r="E74" s="137"/>
      <c r="F74" s="10" t="s">
        <v>2247</v>
      </c>
      <c r="G74" s="86">
        <v>80.0</v>
      </c>
      <c r="H74" s="10" t="s">
        <v>56</v>
      </c>
      <c r="I74" s="137"/>
      <c r="J74" s="137"/>
      <c r="K74" s="10" t="s">
        <v>509</v>
      </c>
      <c r="L74" s="87">
        <v>700.0</v>
      </c>
      <c r="M74" s="96">
        <f t="array" ref="M74">IFERROR((_xlfn.XLOOKUP(TRIM(F74), TRIM('Database Dapur'!C:C), 'Database Dapur'!D:D)),"")</f>
        <v>25834</v>
      </c>
      <c r="N74" s="96">
        <f t="array" ref="N74">IFERROR((_xlfn.XLOOKUP(TRIM(F74), TRIM('Database Dapur'!C:C), 'Database Dapur'!D:D) / L74),"")*1000</f>
        <v>36905.71429</v>
      </c>
      <c r="O74" s="124">
        <f t="array" ref="O74">IFERROR((_xlfn.XLOOKUP(TRIM(F74), TRIM('Database Dapur'!C:C), 'Database Dapur'!D:D) / L74) * G74, "")
</f>
        <v>2952.457143</v>
      </c>
      <c r="P74" s="143"/>
      <c r="Q74" s="136"/>
      <c r="R74" s="137"/>
      <c r="S74" s="137"/>
      <c r="T74" s="137"/>
      <c r="U74" s="137"/>
      <c r="V74" s="137"/>
      <c r="W74" s="144"/>
      <c r="X74" s="145"/>
    </row>
    <row r="75">
      <c r="A75" s="136"/>
      <c r="B75" s="137"/>
      <c r="C75" s="137"/>
      <c r="D75" s="137"/>
      <c r="E75" s="137"/>
      <c r="F75" s="10" t="s">
        <v>2439</v>
      </c>
      <c r="G75" s="86">
        <v>80.0</v>
      </c>
      <c r="H75" s="10" t="s">
        <v>56</v>
      </c>
      <c r="I75" s="137"/>
      <c r="J75" s="137"/>
      <c r="K75" s="10" t="s">
        <v>728</v>
      </c>
      <c r="L75" s="87">
        <v>5500.0</v>
      </c>
      <c r="M75" s="96">
        <f t="array" ref="M75">IFERROR((_xlfn.XLOOKUP(TRIM(F75), TRIM('Database Dapur'!C:C), 'Database Dapur'!D:D)),"")</f>
        <v>144450.04</v>
      </c>
      <c r="N75" s="96">
        <f t="array" ref="N75">IFERROR((_xlfn.XLOOKUP(TRIM(F75), TRIM('Database Dapur'!C:C), 'Database Dapur'!D:D) / L75),"")*1000</f>
        <v>26263.64364</v>
      </c>
      <c r="O75" s="124">
        <f t="array" ref="O75">IFERROR((_xlfn.XLOOKUP(TRIM(F75), TRIM('Database Dapur'!C:C), 'Database Dapur'!D:D) / L75) * G75, "")
</f>
        <v>2101.091491</v>
      </c>
      <c r="P75" s="143"/>
      <c r="Q75" s="136"/>
      <c r="R75" s="137"/>
      <c r="S75" s="137"/>
      <c r="T75" s="137"/>
      <c r="U75" s="137"/>
      <c r="V75" s="137"/>
      <c r="W75" s="144"/>
      <c r="X75" s="145"/>
    </row>
    <row r="76">
      <c r="A76" s="136"/>
      <c r="B76" s="137"/>
      <c r="C76" s="137"/>
      <c r="D76" s="137"/>
      <c r="E76" s="137"/>
      <c r="F76" s="10" t="s">
        <v>726</v>
      </c>
      <c r="G76" s="86">
        <v>90.0</v>
      </c>
      <c r="H76" s="10" t="s">
        <v>56</v>
      </c>
      <c r="I76" s="137"/>
      <c r="J76" s="137"/>
      <c r="K76" s="10" t="s">
        <v>728</v>
      </c>
      <c r="L76" s="87">
        <v>5700.0</v>
      </c>
      <c r="M76" s="96">
        <f t="array" ref="M76">IFERROR((_xlfn.XLOOKUP(TRIM(F76), TRIM('Database Dapur'!C:C), 'Database Dapur'!D:D)),"")</f>
        <v>110391.82</v>
      </c>
      <c r="N76" s="96">
        <f t="array" ref="N76">IFERROR((_xlfn.XLOOKUP(TRIM(F76), TRIM('Database Dapur'!C:C), 'Database Dapur'!D:D) / L76),"")*1000</f>
        <v>19366.98596</v>
      </c>
      <c r="O76" s="124">
        <f t="array" ref="O76">IFERROR((_xlfn.XLOOKUP(TRIM(F76), TRIM('Database Dapur'!C:C), 'Database Dapur'!D:D) / L76) * G76, "")
</f>
        <v>1743.028737</v>
      </c>
      <c r="P76" s="143"/>
      <c r="Q76" s="136"/>
      <c r="R76" s="137"/>
      <c r="S76" s="137"/>
      <c r="T76" s="137"/>
      <c r="U76" s="137"/>
      <c r="V76" s="137"/>
      <c r="W76" s="144"/>
      <c r="X76" s="145"/>
    </row>
    <row r="77">
      <c r="A77" s="66"/>
      <c r="B77" s="67"/>
      <c r="C77" s="67"/>
      <c r="D77" s="67"/>
      <c r="E77" s="67"/>
      <c r="F77" s="10" t="s">
        <v>815</v>
      </c>
      <c r="G77" s="86">
        <v>170.0</v>
      </c>
      <c r="H77" s="10" t="s">
        <v>56</v>
      </c>
      <c r="I77" s="67"/>
      <c r="J77" s="67"/>
      <c r="K77" s="10"/>
      <c r="L77" s="10"/>
      <c r="M77" s="96" t="str">
        <f t="array" ref="M77">IFERROR((_xlfn.XLOOKUP(TRIM(F77), TRIM('Database Dapur'!C:C), 'Database Dapur'!D:D)),"")</f>
        <v/>
      </c>
      <c r="N77" s="96">
        <f t="array" ref="N77">IFERROR((_xlfn.XLOOKUP(TRIM(F77), TRIM('Database Dapur'!C:C), 'Database Dapur'!D:D) / L77),"")*1000</f>
        <v>0</v>
      </c>
      <c r="O77" s="96" t="str">
        <f t="array" ref="O77">IFERROR((_xlfn.XLOOKUP(TRIM(F77), TRIM('Database Dapur'!C:C), 'Database Dapur'!D:D) / L77) * G77, "")
</f>
        <v/>
      </c>
      <c r="P77" s="75"/>
      <c r="Q77" s="66"/>
      <c r="R77" s="67"/>
      <c r="S77" s="67"/>
      <c r="T77" s="67"/>
      <c r="U77" s="67"/>
      <c r="V77" s="67"/>
      <c r="W77" s="183"/>
      <c r="X77" s="81"/>
    </row>
    <row r="78">
      <c r="A78" s="333"/>
      <c r="B78" s="334" t="str">
        <f>IFERROR(VLOOKUP(A78, 'Database Dapur'!C:D, 2, FALSE),"")</f>
        <v/>
      </c>
      <c r="C78" s="335" t="str">
        <f>IFERROR(VLOOKUP(#REF!, 'Database Dapur'!A:D, 3, FALSE),"")</f>
        <v/>
      </c>
      <c r="D78" s="335" t="str">
        <f>IFERROR(VLOOKUP(#REF!, 'Database Dapur'!B:E, 3, FALSE),"")</f>
        <v/>
      </c>
      <c r="E78" s="335" t="str">
        <f>IFERROR(VLOOKUP(A78, 'Database Dapur'!C:F, 3, FALSE),"")</f>
        <v/>
      </c>
      <c r="F78" s="336"/>
      <c r="G78" s="191">
        <f>SUM(G69:G77)</f>
        <v>1050</v>
      </c>
      <c r="H78" s="336"/>
      <c r="I78" s="337"/>
      <c r="J78" s="337"/>
      <c r="K78" s="336"/>
      <c r="L78" s="336"/>
      <c r="M78" s="194" t="str">
        <f t="array" ref="M78">IFERROR((_xlfn.XLOOKUP(TRIM(F78), TRIM('Database Dapur'!C:C), 'Database Dapur'!D:D)),"")</f>
        <v/>
      </c>
      <c r="N78" s="194">
        <f t="array" ref="N78">IFERROR((_xlfn.XLOOKUP(TRIM(F78), TRIM('Database Dapur'!C:C), 'Database Dapur'!D:D) / L78),"")*1000</f>
        <v>0</v>
      </c>
      <c r="O78" s="197">
        <f>SUM(O69:O77)</f>
        <v>35275.27737</v>
      </c>
      <c r="P78" s="338"/>
      <c r="Q78" s="339"/>
      <c r="R78" s="340"/>
      <c r="S78" s="341"/>
      <c r="T78" s="337"/>
      <c r="U78" s="341">
        <f t="shared" ref="U78:U79" si="7">S78-X78</f>
        <v>0</v>
      </c>
      <c r="V78" s="341"/>
      <c r="W78" s="342"/>
      <c r="X78" s="343"/>
    </row>
    <row r="79">
      <c r="A79" s="82" t="s">
        <v>1889</v>
      </c>
      <c r="B79" s="83">
        <f>IFERROR(VLOOKUP(A79, 'Database Dapur'!C:D, 2, FALSE),"")</f>
        <v>36000</v>
      </c>
      <c r="C79" s="84">
        <f>D79*1000</f>
        <v>1000</v>
      </c>
      <c r="D79" s="84">
        <v>1.0</v>
      </c>
      <c r="E79" s="85" t="str">
        <f>IFERROR(VLOOKUP(A79, 'Database Dapur'!C:F, 3, FALSE),"")</f>
        <v>Kg</v>
      </c>
      <c r="F79" s="10" t="s">
        <v>260</v>
      </c>
      <c r="G79" s="86">
        <v>230.0</v>
      </c>
      <c r="H79" s="10" t="s">
        <v>56</v>
      </c>
      <c r="I79" s="85">
        <v>950.0</v>
      </c>
      <c r="J79" s="208" t="s">
        <v>56</v>
      </c>
      <c r="K79" s="10" t="s">
        <v>57</v>
      </c>
      <c r="L79" s="87">
        <v>1000.0</v>
      </c>
      <c r="M79" s="96">
        <f t="array" ref="M79">IFERROR((_xlfn.XLOOKUP(TRIM(F79), TRIM('Database Dapur'!C:C), 'Database Dapur'!D:D)),"")</f>
        <v>17200</v>
      </c>
      <c r="N79" s="96">
        <f t="array" ref="N79">IFERROR((_xlfn.XLOOKUP(TRIM(F79), TRIM('Database Dapur'!C:C), 'Database Dapur'!D:D) / L79),"")*1000</f>
        <v>17200</v>
      </c>
      <c r="O79" s="124">
        <f t="array" ref="O79">IFERROR((_xlfn.XLOOKUP(TRIM(F79), TRIM('Database Dapur'!C:C), 'Database Dapur'!D:D) / L79) * G79, "")
</f>
        <v>3956</v>
      </c>
      <c r="P79" s="125">
        <f>O85/I79*C79</f>
        <v>25564.60439</v>
      </c>
      <c r="Q79" s="128">
        <f>B79-P79</f>
        <v>10435.39561</v>
      </c>
      <c r="R79" s="130">
        <f>(P79/B79)</f>
        <v>0.7101278998</v>
      </c>
      <c r="S79" s="132">
        <f>IFERROR(VLOOKUP(A79, 'Database Dapur'!C:D, 2, FALSE),"")</f>
        <v>36000</v>
      </c>
      <c r="T79" s="85" t="str">
        <f>IFERROR(VLOOKUP(A79, 'Database Dapur'!C:F, 3, FALSE),"")</f>
        <v>Kg</v>
      </c>
      <c r="U79" s="132">
        <f t="shared" si="7"/>
        <v>36000</v>
      </c>
      <c r="V79" s="132">
        <f>U79-P79</f>
        <v>10435.39561</v>
      </c>
      <c r="W79" s="134">
        <f>(P79/U79)</f>
        <v>0.7101278998</v>
      </c>
      <c r="X79" s="210"/>
    </row>
    <row r="80">
      <c r="A80" s="136"/>
      <c r="B80" s="137"/>
      <c r="C80" s="137"/>
      <c r="D80" s="137"/>
      <c r="E80" s="137"/>
      <c r="F80" s="10" t="s">
        <v>2036</v>
      </c>
      <c r="G80" s="86">
        <v>140.0</v>
      </c>
      <c r="H80" s="10" t="s">
        <v>56</v>
      </c>
      <c r="I80" s="137"/>
      <c r="J80" s="137"/>
      <c r="K80" s="10" t="s">
        <v>2031</v>
      </c>
      <c r="L80" s="87">
        <v>6000.0</v>
      </c>
      <c r="M80" s="96">
        <f t="array" ref="M80">IFERROR((_xlfn.XLOOKUP(TRIM(F80), TRIM('Database Dapur'!C:C), 'Database Dapur'!D:D)),"")</f>
        <v>155404.025</v>
      </c>
      <c r="N80" s="96">
        <f t="array" ref="N80">IFERROR((_xlfn.XLOOKUP(TRIM(F80), TRIM('Database Dapur'!C:C), 'Database Dapur'!D:D) / L80),"")*1000</f>
        <v>25900.67083</v>
      </c>
      <c r="O80" s="124">
        <f t="array" ref="O80">IFERROR((_xlfn.XLOOKUP(TRIM(F80), TRIM('Database Dapur'!C:C), 'Database Dapur'!D:D) / L80) * G80, "")
</f>
        <v>3626.093917</v>
      </c>
      <c r="P80" s="143"/>
      <c r="Q80" s="136"/>
      <c r="R80" s="137"/>
      <c r="S80" s="137"/>
      <c r="T80" s="137"/>
      <c r="U80" s="137"/>
      <c r="V80" s="137"/>
      <c r="W80" s="144"/>
      <c r="X80" s="145"/>
    </row>
    <row r="81">
      <c r="A81" s="136"/>
      <c r="B81" s="137"/>
      <c r="C81" s="137"/>
      <c r="D81" s="137"/>
      <c r="E81" s="137"/>
      <c r="F81" s="10" t="s">
        <v>2262</v>
      </c>
      <c r="G81" s="86">
        <v>140.0</v>
      </c>
      <c r="H81" s="10" t="s">
        <v>56</v>
      </c>
      <c r="I81" s="137"/>
      <c r="J81" s="137"/>
      <c r="K81" s="10" t="s">
        <v>2264</v>
      </c>
      <c r="L81" s="87">
        <v>18000.0</v>
      </c>
      <c r="M81" s="96">
        <f t="array" ref="M81">IFERROR((_xlfn.XLOOKUP(TRIM(F81), TRIM('Database Dapur'!C:C), 'Database Dapur'!D:D)),"")</f>
        <v>1250000</v>
      </c>
      <c r="N81" s="96">
        <f t="array" ref="N81">IFERROR((_xlfn.XLOOKUP(TRIM(F81), TRIM('Database Dapur'!C:C), 'Database Dapur'!D:D) / L81),"")*1000</f>
        <v>69444.44444</v>
      </c>
      <c r="O81" s="124">
        <f t="array" ref="O81">IFERROR((_xlfn.XLOOKUP(TRIM(F81), TRIM('Database Dapur'!C:C), 'Database Dapur'!D:D) / L81) * G81, "")
</f>
        <v>9722.222222</v>
      </c>
      <c r="P81" s="143"/>
      <c r="Q81" s="136"/>
      <c r="R81" s="137"/>
      <c r="S81" s="137"/>
      <c r="T81" s="137"/>
      <c r="U81" s="137"/>
      <c r="V81" s="137"/>
      <c r="W81" s="144"/>
      <c r="X81" s="145"/>
    </row>
    <row r="82">
      <c r="A82" s="136"/>
      <c r="B82" s="137"/>
      <c r="C82" s="137"/>
      <c r="D82" s="137"/>
      <c r="E82" s="137"/>
      <c r="F82" s="10" t="s">
        <v>726</v>
      </c>
      <c r="G82" s="86">
        <v>140.0</v>
      </c>
      <c r="H82" s="10" t="s">
        <v>56</v>
      </c>
      <c r="I82" s="137"/>
      <c r="J82" s="137"/>
      <c r="K82" s="10" t="s">
        <v>728</v>
      </c>
      <c r="L82" s="87">
        <v>5700.0</v>
      </c>
      <c r="M82" s="96">
        <f t="array" ref="M82">IFERROR((_xlfn.XLOOKUP(TRIM(F82), TRIM('Database Dapur'!C:C), 'Database Dapur'!D:D)),"")</f>
        <v>110391.82</v>
      </c>
      <c r="N82" s="96">
        <f t="array" ref="N82">IFERROR((_xlfn.XLOOKUP(TRIM(F82), TRIM('Database Dapur'!C:C), 'Database Dapur'!D:D) / L82),"")*1000</f>
        <v>19366.98596</v>
      </c>
      <c r="O82" s="124">
        <f t="array" ref="O82">IFERROR((_xlfn.XLOOKUP(TRIM(F82), TRIM('Database Dapur'!C:C), 'Database Dapur'!D:D) / L82) * G82, "")
</f>
        <v>2711.378035</v>
      </c>
      <c r="P82" s="143"/>
      <c r="Q82" s="136"/>
      <c r="R82" s="137"/>
      <c r="S82" s="137"/>
      <c r="T82" s="137"/>
      <c r="U82" s="137"/>
      <c r="V82" s="137"/>
      <c r="W82" s="144"/>
      <c r="X82" s="145"/>
    </row>
    <row r="83">
      <c r="A83" s="136"/>
      <c r="B83" s="137"/>
      <c r="C83" s="137"/>
      <c r="D83" s="137"/>
      <c r="E83" s="137"/>
      <c r="F83" s="233" t="s">
        <v>3573</v>
      </c>
      <c r="G83" s="86">
        <v>100.0</v>
      </c>
      <c r="H83" s="10" t="s">
        <v>56</v>
      </c>
      <c r="I83" s="137"/>
      <c r="J83" s="137"/>
      <c r="K83" s="233" t="s">
        <v>56</v>
      </c>
      <c r="L83" s="344">
        <v>1000.0</v>
      </c>
      <c r="M83" s="96">
        <f t="array" ref="M83">IFERROR((_xlfn.XLOOKUP(TRIM(F83), TRIM('Database Dapur'!C:C), 'Database Dapur'!D:D)),"")</f>
        <v>42706.8</v>
      </c>
      <c r="N83" s="96">
        <f t="array" ref="N83">IFERROR((_xlfn.XLOOKUP(TRIM(F83), TRIM('Database Dapur'!C:C), 'Database Dapur'!D:D) / L83),"")*1000</f>
        <v>42706.8</v>
      </c>
      <c r="O83" s="124">
        <f t="array" ref="O83">IFERROR((_xlfn.XLOOKUP(TRIM(F83), TRIM('Database Dapur'!C:C), 'Database Dapur'!D:D) / L83) * G83, "")
</f>
        <v>4270.68</v>
      </c>
      <c r="P83" s="143"/>
      <c r="Q83" s="136"/>
      <c r="R83" s="137"/>
      <c r="S83" s="137"/>
      <c r="T83" s="137"/>
      <c r="U83" s="137"/>
      <c r="V83" s="137"/>
      <c r="W83" s="144"/>
      <c r="X83" s="145"/>
    </row>
    <row r="84">
      <c r="A84" s="66"/>
      <c r="B84" s="67"/>
      <c r="C84" s="67"/>
      <c r="D84" s="67"/>
      <c r="E84" s="67"/>
      <c r="F84" s="10" t="s">
        <v>815</v>
      </c>
      <c r="G84" s="86">
        <v>340.0</v>
      </c>
      <c r="H84" s="10"/>
      <c r="I84" s="67"/>
      <c r="J84" s="67"/>
      <c r="K84" s="10"/>
      <c r="L84" s="10"/>
      <c r="M84" s="96" t="str">
        <f t="array" ref="M84">IFERROR((_xlfn.XLOOKUP(TRIM(F84), TRIM('Database Dapur'!C:C), 'Database Dapur'!D:D)),"")</f>
        <v/>
      </c>
      <c r="N84" s="96">
        <f t="array" ref="N84">IFERROR((_xlfn.XLOOKUP(TRIM(F84), TRIM('Database Dapur'!C:C), 'Database Dapur'!D:D) / L84),"")*1000</f>
        <v>0</v>
      </c>
      <c r="O84" s="96" t="str">
        <f t="array" ref="O84">IFERROR((_xlfn.XLOOKUP(TRIM(F84), TRIM('Database Dapur'!C:C), 'Database Dapur'!D:D) / L84) * G84, "")
</f>
        <v/>
      </c>
      <c r="P84" s="75"/>
      <c r="Q84" s="66"/>
      <c r="R84" s="67"/>
      <c r="S84" s="67"/>
      <c r="T84" s="67"/>
      <c r="U84" s="67"/>
      <c r="V84" s="67"/>
      <c r="W84" s="183"/>
      <c r="X84" s="81"/>
    </row>
    <row r="85">
      <c r="A85" s="333"/>
      <c r="B85" s="334" t="str">
        <f>IFERROR(VLOOKUP(A85, 'Database Dapur'!C:D, 2, FALSE),"")</f>
        <v/>
      </c>
      <c r="C85" s="335" t="str">
        <f>IFERROR(VLOOKUP(#REF!, 'Database Dapur'!A:D, 3, FALSE),"")</f>
        <v/>
      </c>
      <c r="D85" s="335" t="str">
        <f>IFERROR(VLOOKUP(#REF!, 'Database Dapur'!B:E, 3, FALSE),"")</f>
        <v/>
      </c>
      <c r="E85" s="335" t="str">
        <f>IFERROR(VLOOKUP(A85, 'Database Dapur'!C:F, 3, FALSE),"")</f>
        <v/>
      </c>
      <c r="F85" s="336"/>
      <c r="G85" s="191">
        <f>SUM(G79:G84)</f>
        <v>1090</v>
      </c>
      <c r="H85" s="336"/>
      <c r="I85" s="337"/>
      <c r="J85" s="337"/>
      <c r="K85" s="336"/>
      <c r="L85" s="336"/>
      <c r="M85" s="194" t="str">
        <f t="array" ref="M85">IFERROR((_xlfn.XLOOKUP(TRIM(F85), TRIM('Database Dapur'!C:C), 'Database Dapur'!D:D)),"")</f>
        <v/>
      </c>
      <c r="N85" s="194">
        <f t="array" ref="N85">IFERROR((_xlfn.XLOOKUP(TRIM(F85), TRIM('Database Dapur'!C:C), 'Database Dapur'!D:D) / L85),"")*1000</f>
        <v>0</v>
      </c>
      <c r="O85" s="197">
        <f>SUM(O79:O84)</f>
        <v>24286.37417</v>
      </c>
      <c r="P85" s="338"/>
      <c r="Q85" s="339"/>
      <c r="R85" s="340"/>
      <c r="S85" s="341"/>
      <c r="T85" s="337"/>
      <c r="U85" s="341">
        <f t="shared" ref="U85:U86" si="8">S85-X85</f>
        <v>0</v>
      </c>
      <c r="V85" s="341"/>
      <c r="W85" s="342"/>
      <c r="X85" s="343"/>
    </row>
    <row r="86" hidden="1">
      <c r="A86" s="82" t="s">
        <v>3573</v>
      </c>
      <c r="B86" s="83">
        <f>IFERROR(VLOOKUP(A86, 'Database Dapur'!C:D, 2, FALSE),"")</f>
        <v>42706.8</v>
      </c>
      <c r="C86" s="85">
        <f>D86*1000</f>
        <v>0</v>
      </c>
      <c r="D86" s="85" t="str">
        <f>IFERROR(VLOOKUP(#REF!, 'Database Dapur'!B:E, 3, FALSE),"")</f>
        <v/>
      </c>
      <c r="E86" s="85" t="str">
        <f>IFERROR(VLOOKUP(A86, 'Database Dapur'!C:F, 3, FALSE),"")</f>
        <v>Kg</v>
      </c>
      <c r="F86" s="10" t="s">
        <v>1655</v>
      </c>
      <c r="G86" s="86">
        <v>100.0</v>
      </c>
      <c r="H86" s="10" t="s">
        <v>56</v>
      </c>
      <c r="I86" s="85">
        <v>7500.0</v>
      </c>
      <c r="J86" s="208" t="s">
        <v>56</v>
      </c>
      <c r="K86" s="10" t="s">
        <v>57</v>
      </c>
      <c r="L86" s="87">
        <v>1000.0</v>
      </c>
      <c r="M86" s="96">
        <f t="array" ref="M86">IFERROR((_xlfn.XLOOKUP(TRIM(F86), TRIM('Database Dapur'!C:C), 'Database Dapur'!D:D)),"")</f>
        <v>29860</v>
      </c>
      <c r="N86" s="96">
        <f t="array" ref="N86">IFERROR((_xlfn.XLOOKUP(TRIM(F86), TRIM('Database Dapur'!C:C), 'Database Dapur'!D:D) / L86),"")*1000</f>
        <v>29860</v>
      </c>
      <c r="O86" s="124">
        <f t="array" ref="O86">IFERROR((_xlfn.XLOOKUP(TRIM(F86), TRIM('Database Dapur'!C:C), 'Database Dapur'!D:D) / L86) * G86, "")
</f>
        <v>2986</v>
      </c>
      <c r="P86" s="125">
        <f>O89/I86*C86</f>
        <v>0</v>
      </c>
      <c r="Q86" s="348">
        <f>B86-P86</f>
        <v>42706.8</v>
      </c>
      <c r="R86" s="130">
        <f>(P86/B86)</f>
        <v>0</v>
      </c>
      <c r="S86" s="349">
        <f>IFERROR(VLOOKUP(A86, 'Database Dapur'!C:D, 2, FALSE),"")</f>
        <v>42706.8</v>
      </c>
      <c r="T86" s="350" t="str">
        <f>IFERROR(VLOOKUP(A86, 'Database Dapur'!C:F, 3, FALSE),"")</f>
        <v>Kg</v>
      </c>
      <c r="U86" s="132">
        <f t="shared" si="8"/>
        <v>42706.8</v>
      </c>
      <c r="V86" s="132">
        <f>U86-P86</f>
        <v>42706.8</v>
      </c>
      <c r="W86" s="134">
        <f>(P86/U86)</f>
        <v>0</v>
      </c>
      <c r="X86" s="210"/>
    </row>
    <row r="87" hidden="1">
      <c r="A87" s="136"/>
      <c r="B87" s="137"/>
      <c r="C87" s="137"/>
      <c r="D87" s="137"/>
      <c r="E87" s="137"/>
      <c r="F87" s="10" t="s">
        <v>260</v>
      </c>
      <c r="G87" s="86">
        <v>1750.0</v>
      </c>
      <c r="H87" s="10" t="s">
        <v>56</v>
      </c>
      <c r="I87" s="137"/>
      <c r="J87" s="137"/>
      <c r="K87" s="10" t="s">
        <v>57</v>
      </c>
      <c r="L87" s="87">
        <v>1000.0</v>
      </c>
      <c r="M87" s="96">
        <f t="array" ref="M87">IFERROR((_xlfn.XLOOKUP(TRIM(F87), TRIM('Database Dapur'!C:C), 'Database Dapur'!D:D)),"")</f>
        <v>17200</v>
      </c>
      <c r="N87" s="96">
        <f t="array" ref="N87">IFERROR((_xlfn.XLOOKUP(TRIM(F87), TRIM('Database Dapur'!C:C), 'Database Dapur'!D:D) / L87),"")*1000</f>
        <v>17200</v>
      </c>
      <c r="O87" s="124">
        <f t="array" ref="O87">IFERROR((_xlfn.XLOOKUP(TRIM(F87), TRIM('Database Dapur'!C:C), 'Database Dapur'!D:D) / L87) * G87, "")
</f>
        <v>30100</v>
      </c>
      <c r="P87" s="143"/>
      <c r="Q87" s="136"/>
      <c r="R87" s="137"/>
      <c r="S87" s="137"/>
      <c r="T87" s="137"/>
      <c r="U87" s="137"/>
      <c r="V87" s="137"/>
      <c r="W87" s="144"/>
      <c r="X87" s="145"/>
    </row>
    <row r="88" hidden="1">
      <c r="A88" s="66"/>
      <c r="B88" s="67"/>
      <c r="C88" s="67"/>
      <c r="D88" s="67"/>
      <c r="E88" s="67"/>
      <c r="F88" s="10" t="s">
        <v>2198</v>
      </c>
      <c r="G88" s="86">
        <v>5000.0</v>
      </c>
      <c r="H88" s="10" t="s">
        <v>56</v>
      </c>
      <c r="I88" s="67"/>
      <c r="J88" s="67"/>
      <c r="K88" s="10" t="s">
        <v>57</v>
      </c>
      <c r="L88" s="87">
        <v>1000.0</v>
      </c>
      <c r="M88" s="96">
        <f t="array" ref="M88">IFERROR((_xlfn.XLOOKUP(TRIM(F88), TRIM('Database Dapur'!C:C), 'Database Dapur'!D:D)),"")</f>
        <v>57443</v>
      </c>
      <c r="N88" s="96">
        <f t="array" ref="N88">IFERROR((_xlfn.XLOOKUP(TRIM(F88), TRIM('Database Dapur'!C:C), 'Database Dapur'!D:D) / L88),"")*1000</f>
        <v>57443</v>
      </c>
      <c r="O88" s="124">
        <f t="array" ref="O88">IFERROR((_xlfn.XLOOKUP(TRIM(F88), TRIM('Database Dapur'!C:C), 'Database Dapur'!D:D) / L88) * G88, "")
</f>
        <v>287215</v>
      </c>
      <c r="P88" s="75"/>
      <c r="Q88" s="66"/>
      <c r="R88" s="67"/>
      <c r="S88" s="67"/>
      <c r="T88" s="67"/>
      <c r="U88" s="67"/>
      <c r="V88" s="67"/>
      <c r="W88" s="183"/>
      <c r="X88" s="81"/>
    </row>
    <row r="89" hidden="1">
      <c r="A89" s="333"/>
      <c r="B89" s="334" t="str">
        <f>IFERROR(VLOOKUP(A89, 'Database Dapur'!C:D, 2, FALSE),"")</f>
        <v/>
      </c>
      <c r="C89" s="335" t="str">
        <f>IFERROR(VLOOKUP(#REF!, 'Database Dapur'!A:D, 3, FALSE),"")</f>
        <v/>
      </c>
      <c r="D89" s="335" t="str">
        <f>IFERROR(VLOOKUP(#REF!, 'Database Dapur'!B:E, 3, FALSE),"")</f>
        <v/>
      </c>
      <c r="E89" s="335" t="str">
        <f>IFERROR(VLOOKUP(A89, 'Database Dapur'!C:F, 3, FALSE),"")</f>
        <v/>
      </c>
      <c r="F89" s="336"/>
      <c r="G89" s="191">
        <f>SUM(G86:G88)</f>
        <v>6850</v>
      </c>
      <c r="H89" s="336"/>
      <c r="I89" s="337"/>
      <c r="J89" s="337"/>
      <c r="K89" s="336"/>
      <c r="L89" s="336"/>
      <c r="M89" s="194" t="str">
        <f t="array" ref="M89">IFERROR((_xlfn.XLOOKUP(TRIM(F89), TRIM('Database Dapur'!C:C), 'Database Dapur'!D:D)),"")</f>
        <v/>
      </c>
      <c r="N89" s="194">
        <f t="array" ref="N89">IFERROR((_xlfn.XLOOKUP(TRIM(F89), TRIM('Database Dapur'!C:C), 'Database Dapur'!D:D) / L89),"")*1000</f>
        <v>0</v>
      </c>
      <c r="O89" s="197">
        <f>SUM(O86:O88)</f>
        <v>320301</v>
      </c>
      <c r="P89" s="338"/>
      <c r="Q89" s="339"/>
      <c r="R89" s="340"/>
      <c r="S89" s="341"/>
      <c r="T89" s="337"/>
      <c r="U89" s="341">
        <f t="shared" ref="U89:U90" si="9">S89-X89</f>
        <v>0</v>
      </c>
      <c r="V89" s="341"/>
      <c r="W89" s="342"/>
      <c r="X89" s="343"/>
    </row>
    <row r="90">
      <c r="A90" s="82" t="s">
        <v>1725</v>
      </c>
      <c r="B90" s="83">
        <f>IFERROR(VLOOKUP(A90, 'Database Dapur'!C:D, 2, FALSE),"")</f>
        <v>63000</v>
      </c>
      <c r="C90" s="84">
        <f>D90*1000</f>
        <v>1000</v>
      </c>
      <c r="D90" s="84">
        <v>1.0</v>
      </c>
      <c r="E90" s="85" t="str">
        <f>IFERROR(VLOOKUP(A90, 'Database Dapur'!C:F, 3, FALSE),"")</f>
        <v>Kg</v>
      </c>
      <c r="F90" s="10" t="s">
        <v>1482</v>
      </c>
      <c r="G90" s="86">
        <v>105.0</v>
      </c>
      <c r="H90" s="10" t="s">
        <v>56</v>
      </c>
      <c r="I90" s="84">
        <v>3000.0</v>
      </c>
      <c r="J90" s="208" t="s">
        <v>56</v>
      </c>
      <c r="K90" s="10" t="s">
        <v>57</v>
      </c>
      <c r="L90" s="87">
        <v>1000.0</v>
      </c>
      <c r="M90" s="96">
        <f t="array" ref="M90">IFERROR((_xlfn.XLOOKUP(TRIM(F90), TRIM('Database Dapur'!C:C), 'Database Dapur'!D:D)),"")</f>
        <v>44417</v>
      </c>
      <c r="N90" s="96">
        <f t="array" ref="N90">IFERROR((_xlfn.XLOOKUP(TRIM(F90), TRIM('Database Dapur'!C:C), 'Database Dapur'!D:D) / L90),"")*1000</f>
        <v>44417</v>
      </c>
      <c r="O90" s="124">
        <f t="array" ref="O90">IFERROR((_xlfn.XLOOKUP(TRIM(F90), TRIM('Database Dapur'!C:C), 'Database Dapur'!D:D) / L90) * G90, "")
</f>
        <v>4663.785</v>
      </c>
      <c r="P90" s="125">
        <f>O96/I90*C90</f>
        <v>57304.11611</v>
      </c>
      <c r="Q90" s="128">
        <f>B90-P90</f>
        <v>5695.883889</v>
      </c>
      <c r="R90" s="130">
        <f>(P90/B90)</f>
        <v>0.9095891446</v>
      </c>
      <c r="S90" s="132">
        <f>IFERROR(VLOOKUP(A90, 'Database Dapur'!C:D, 2, FALSE),"")</f>
        <v>63000</v>
      </c>
      <c r="T90" s="85" t="str">
        <f>IFERROR(VLOOKUP(A90, 'Database Dapur'!C:F, 3, FALSE),"")</f>
        <v>Kg</v>
      </c>
      <c r="U90" s="132">
        <f t="shared" si="9"/>
        <v>63000</v>
      </c>
      <c r="V90" s="132">
        <f>U90-P90</f>
        <v>5695.883889</v>
      </c>
      <c r="W90" s="134">
        <f>(P90/U90)</f>
        <v>0.9095891446</v>
      </c>
      <c r="X90" s="210"/>
    </row>
    <row r="91">
      <c r="A91" s="136"/>
      <c r="B91" s="137"/>
      <c r="C91" s="137"/>
      <c r="D91" s="137"/>
      <c r="E91" s="137"/>
      <c r="F91" s="10" t="s">
        <v>1702</v>
      </c>
      <c r="G91" s="86">
        <v>3025.0</v>
      </c>
      <c r="H91" s="10" t="s">
        <v>56</v>
      </c>
      <c r="I91" s="137"/>
      <c r="J91" s="137"/>
      <c r="K91" s="10" t="s">
        <v>57</v>
      </c>
      <c r="L91" s="87">
        <v>1000.0</v>
      </c>
      <c r="M91" s="96">
        <f t="array" ref="M91">IFERROR((_xlfn.XLOOKUP(TRIM(F91), TRIM('Database Dapur'!C:C), 'Database Dapur'!D:D)),"")</f>
        <v>41333.33333</v>
      </c>
      <c r="N91" s="96">
        <f t="array" ref="N91">IFERROR((_xlfn.XLOOKUP(TRIM(F91), TRIM('Database Dapur'!C:C), 'Database Dapur'!D:D) / L91),"")*1000</f>
        <v>41333.33333</v>
      </c>
      <c r="O91" s="124">
        <f t="array" ref="O91">IFERROR((_xlfn.XLOOKUP(TRIM(F91), TRIM('Database Dapur'!C:C), 'Database Dapur'!D:D) / L91) * G91, "")
</f>
        <v>125033.3333</v>
      </c>
      <c r="P91" s="143"/>
      <c r="Q91" s="136"/>
      <c r="R91" s="137"/>
      <c r="S91" s="137"/>
      <c r="T91" s="137"/>
      <c r="U91" s="137"/>
      <c r="V91" s="137"/>
      <c r="W91" s="144"/>
      <c r="X91" s="145"/>
    </row>
    <row r="92">
      <c r="A92" s="136"/>
      <c r="B92" s="137"/>
      <c r="C92" s="137"/>
      <c r="D92" s="137"/>
      <c r="E92" s="137"/>
      <c r="F92" s="233" t="s">
        <v>2007</v>
      </c>
      <c r="G92" s="86">
        <v>1047.0</v>
      </c>
      <c r="H92" s="10" t="s">
        <v>56</v>
      </c>
      <c r="I92" s="137"/>
      <c r="J92" s="137"/>
      <c r="K92" s="10" t="s">
        <v>57</v>
      </c>
      <c r="L92" s="87">
        <v>1000.0</v>
      </c>
      <c r="M92" s="96">
        <f t="array" ref="M92">IFERROR((_xlfn.XLOOKUP(TRIM(F92), TRIM('Database Dapur'!C:C), 'Database Dapur'!D:D)),"")</f>
        <v>37000</v>
      </c>
      <c r="N92" s="96">
        <f t="array" ref="N92">IFERROR((_xlfn.XLOOKUP(TRIM(F92), TRIM('Database Dapur'!C:C), 'Database Dapur'!D:D) / L92),"")*1000</f>
        <v>37000</v>
      </c>
      <c r="O92" s="124">
        <f t="array" ref="O92">IFERROR((_xlfn.XLOOKUP(TRIM(F92), TRIM('Database Dapur'!C:C), 'Database Dapur'!D:D) / L92) * G92, "")
</f>
        <v>38739</v>
      </c>
      <c r="P92" s="143"/>
      <c r="Q92" s="136"/>
      <c r="R92" s="137"/>
      <c r="S92" s="137"/>
      <c r="T92" s="137"/>
      <c r="U92" s="137"/>
      <c r="V92" s="137"/>
      <c r="W92" s="144"/>
      <c r="X92" s="145"/>
    </row>
    <row r="93">
      <c r="A93" s="136"/>
      <c r="B93" s="137"/>
      <c r="C93" s="137"/>
      <c r="D93" s="137"/>
      <c r="E93" s="137"/>
      <c r="F93" s="10" t="s">
        <v>386</v>
      </c>
      <c r="G93" s="86">
        <v>45.0</v>
      </c>
      <c r="H93" s="10" t="s">
        <v>56</v>
      </c>
      <c r="I93" s="137"/>
      <c r="J93" s="137"/>
      <c r="K93" s="10" t="s">
        <v>57</v>
      </c>
      <c r="L93" s="87">
        <v>1000.0</v>
      </c>
      <c r="M93" s="96">
        <f t="array" ref="M93">IFERROR((_xlfn.XLOOKUP(TRIM(F93), TRIM('Database Dapur'!C:C), 'Database Dapur'!D:D)),"")</f>
        <v>6100</v>
      </c>
      <c r="N93" s="96">
        <f t="array" ref="N93">IFERROR((_xlfn.XLOOKUP(TRIM(F93), TRIM('Database Dapur'!C:C), 'Database Dapur'!D:D) / L93),"")*1000</f>
        <v>6100</v>
      </c>
      <c r="O93" s="124">
        <f t="array" ref="O93">IFERROR((_xlfn.XLOOKUP(TRIM(F93), TRIM('Database Dapur'!C:C), 'Database Dapur'!D:D) / L93) * G93, "")
</f>
        <v>274.5</v>
      </c>
      <c r="P93" s="143"/>
      <c r="Q93" s="136"/>
      <c r="R93" s="137"/>
      <c r="S93" s="137"/>
      <c r="T93" s="137"/>
      <c r="U93" s="137"/>
      <c r="V93" s="137"/>
      <c r="W93" s="144"/>
      <c r="X93" s="145"/>
    </row>
    <row r="94">
      <c r="A94" s="136"/>
      <c r="B94" s="137"/>
      <c r="C94" s="137"/>
      <c r="D94" s="137"/>
      <c r="E94" s="137"/>
      <c r="F94" s="10" t="s">
        <v>2230</v>
      </c>
      <c r="G94" s="86">
        <v>110.0</v>
      </c>
      <c r="H94" s="10" t="s">
        <v>56</v>
      </c>
      <c r="I94" s="137"/>
      <c r="J94" s="137"/>
      <c r="K94" s="10" t="s">
        <v>57</v>
      </c>
      <c r="L94" s="87">
        <v>1000.0</v>
      </c>
      <c r="M94" s="96">
        <f t="array" ref="M94">IFERROR((_xlfn.XLOOKUP(TRIM(F94), TRIM('Database Dapur'!C:C), 'Database Dapur'!D:D)),"")</f>
        <v>15000</v>
      </c>
      <c r="N94" s="96">
        <f t="array" ref="N94">IFERROR((_xlfn.XLOOKUP(TRIM(F94), TRIM('Database Dapur'!C:C), 'Database Dapur'!D:D) / L94),"")*1000</f>
        <v>15000</v>
      </c>
      <c r="O94" s="124">
        <f t="array" ref="O94">IFERROR((_xlfn.XLOOKUP(TRIM(F94), TRIM('Database Dapur'!C:C), 'Database Dapur'!D:D) / L94) * G94, "")
</f>
        <v>1650</v>
      </c>
      <c r="P94" s="143"/>
      <c r="Q94" s="136"/>
      <c r="R94" s="137"/>
      <c r="S94" s="137"/>
      <c r="T94" s="137"/>
      <c r="U94" s="137"/>
      <c r="V94" s="137"/>
      <c r="W94" s="144"/>
      <c r="X94" s="145"/>
    </row>
    <row r="95">
      <c r="A95" s="66"/>
      <c r="B95" s="67"/>
      <c r="C95" s="67"/>
      <c r="D95" s="67"/>
      <c r="E95" s="67"/>
      <c r="F95" s="10" t="s">
        <v>2429</v>
      </c>
      <c r="G95" s="86">
        <v>38.0</v>
      </c>
      <c r="H95" s="10" t="s">
        <v>56</v>
      </c>
      <c r="I95" s="67"/>
      <c r="J95" s="67"/>
      <c r="K95" s="10" t="s">
        <v>617</v>
      </c>
      <c r="L95" s="87">
        <v>1000.0</v>
      </c>
      <c r="M95" s="96">
        <f t="array" ref="M95">IFERROR((_xlfn.XLOOKUP(TRIM(F95), TRIM('Database Dapur'!C:C), 'Database Dapur'!D:D)),"")</f>
        <v>40835</v>
      </c>
      <c r="N95" s="96">
        <f t="array" ref="N95">IFERROR((_xlfn.XLOOKUP(TRIM(F95), TRIM('Database Dapur'!C:C), 'Database Dapur'!D:D) / L95),"")*1000</f>
        <v>40835</v>
      </c>
      <c r="O95" s="124">
        <f t="array" ref="O95">IFERROR((_xlfn.XLOOKUP(TRIM(F95), TRIM('Database Dapur'!C:C), 'Database Dapur'!D:D) / L95) * G95, "")
</f>
        <v>1551.73</v>
      </c>
      <c r="P95" s="75"/>
      <c r="Q95" s="66"/>
      <c r="R95" s="67"/>
      <c r="S95" s="67"/>
      <c r="T95" s="67"/>
      <c r="U95" s="67"/>
      <c r="V95" s="67"/>
      <c r="W95" s="183"/>
      <c r="X95" s="81"/>
    </row>
    <row r="96">
      <c r="A96" s="333"/>
      <c r="B96" s="334" t="str">
        <f>IFERROR(VLOOKUP(A96, 'Database Dapur'!C:D, 2, FALSE),"")</f>
        <v/>
      </c>
      <c r="C96" s="335" t="str">
        <f>IFERROR(VLOOKUP(#REF!, 'Database Dapur'!A:D, 3, FALSE),"")</f>
        <v/>
      </c>
      <c r="D96" s="335" t="str">
        <f>IFERROR(VLOOKUP(#REF!, 'Database Dapur'!B:E, 3, FALSE),"")</f>
        <v/>
      </c>
      <c r="E96" s="335" t="str">
        <f>IFERROR(VLOOKUP(A96, 'Database Dapur'!C:F, 3, FALSE),"")</f>
        <v/>
      </c>
      <c r="F96" s="336"/>
      <c r="G96" s="191">
        <f>SUM(G90:G95)</f>
        <v>4370</v>
      </c>
      <c r="H96" s="336"/>
      <c r="I96" s="337"/>
      <c r="J96" s="337"/>
      <c r="K96" s="336"/>
      <c r="L96" s="336"/>
      <c r="M96" s="194" t="str">
        <f t="array" ref="M96">IFERROR((_xlfn.XLOOKUP(TRIM(F96), TRIM('Database Dapur'!C:C), 'Database Dapur'!D:D)),"")</f>
        <v/>
      </c>
      <c r="N96" s="194">
        <f t="array" ref="N96">IFERROR((_xlfn.XLOOKUP(TRIM(F96), TRIM('Database Dapur'!C:C), 'Database Dapur'!D:D) / L96),"")*1000</f>
        <v>0</v>
      </c>
      <c r="O96" s="197">
        <f>SUM(O90:O95)</f>
        <v>171912.3483</v>
      </c>
      <c r="P96" s="338"/>
      <c r="Q96" s="339"/>
      <c r="R96" s="340"/>
      <c r="S96" s="341"/>
      <c r="T96" s="337"/>
      <c r="U96" s="341">
        <f t="shared" ref="U96:U97" si="10">S96-X96</f>
        <v>0</v>
      </c>
      <c r="V96" s="341"/>
      <c r="W96" s="342"/>
      <c r="X96" s="343"/>
    </row>
    <row r="97">
      <c r="A97" s="82" t="s">
        <v>1722</v>
      </c>
      <c r="B97" s="83">
        <f>IFERROR(VLOOKUP(A97, 'Database Dapur'!C:D, 2, FALSE),"")</f>
        <v>67000</v>
      </c>
      <c r="C97" s="84">
        <f>D97*1000</f>
        <v>1000</v>
      </c>
      <c r="D97" s="84">
        <v>1.0</v>
      </c>
      <c r="E97" s="85" t="str">
        <f>IFERROR(VLOOKUP(A97, 'Database Dapur'!C:F, 3, FALSE),"")</f>
        <v>Kg</v>
      </c>
      <c r="F97" s="10" t="s">
        <v>1482</v>
      </c>
      <c r="G97" s="86">
        <v>35.0</v>
      </c>
      <c r="H97" s="10" t="s">
        <v>56</v>
      </c>
      <c r="I97" s="85">
        <v>5000.0</v>
      </c>
      <c r="J97" s="208" t="s">
        <v>56</v>
      </c>
      <c r="K97" s="10" t="s">
        <v>57</v>
      </c>
      <c r="L97" s="87">
        <v>1000.0</v>
      </c>
      <c r="M97" s="96">
        <f t="array" ref="M97">IFERROR((_xlfn.XLOOKUP(TRIM(F97), TRIM('Database Dapur'!C:C), 'Database Dapur'!D:D)),"")</f>
        <v>44417</v>
      </c>
      <c r="N97" s="96">
        <f t="array" ref="N97">IFERROR((_xlfn.XLOOKUP(TRIM(F97), TRIM('Database Dapur'!C:C), 'Database Dapur'!D:D) / L97),"")*1000</f>
        <v>44417</v>
      </c>
      <c r="O97" s="124">
        <f t="array" ref="O97">IFERROR((_xlfn.XLOOKUP(TRIM(F97), TRIM('Database Dapur'!C:C), 'Database Dapur'!D:D) / L97) * G97, "")
</f>
        <v>1554.595</v>
      </c>
      <c r="P97" s="125">
        <f>O105/I97*C97</f>
        <v>47526.09427</v>
      </c>
      <c r="Q97" s="128">
        <f>B97-P97</f>
        <v>19473.90573</v>
      </c>
      <c r="R97" s="130">
        <f>(P97/B97)</f>
        <v>0.7093446906</v>
      </c>
      <c r="S97" s="132">
        <f>IFERROR(VLOOKUP(A97, 'Database Dapur'!C:D, 2, FALSE),"")</f>
        <v>67000</v>
      </c>
      <c r="T97" s="85" t="str">
        <f>IFERROR(VLOOKUP(A97, 'Database Dapur'!C:F, 3, FALSE),"")</f>
        <v>Kg</v>
      </c>
      <c r="U97" s="132">
        <f t="shared" si="10"/>
        <v>67000</v>
      </c>
      <c r="V97" s="132">
        <f>U97-P97</f>
        <v>19473.90573</v>
      </c>
      <c r="W97" s="134">
        <f>(P97/U97)</f>
        <v>0.7093446906</v>
      </c>
      <c r="X97" s="210"/>
    </row>
    <row r="98">
      <c r="A98" s="136"/>
      <c r="B98" s="137"/>
      <c r="C98" s="137"/>
      <c r="D98" s="137"/>
      <c r="E98" s="137"/>
      <c r="F98" s="10" t="s">
        <v>1702</v>
      </c>
      <c r="G98" s="86">
        <v>5000.0</v>
      </c>
      <c r="H98" s="10" t="s">
        <v>56</v>
      </c>
      <c r="I98" s="137"/>
      <c r="J98" s="137"/>
      <c r="K98" s="10" t="s">
        <v>57</v>
      </c>
      <c r="L98" s="87">
        <v>1000.0</v>
      </c>
      <c r="M98" s="96">
        <f t="array" ref="M98">IFERROR((_xlfn.XLOOKUP(TRIM(F98), TRIM('Database Dapur'!C:C), 'Database Dapur'!D:D)),"")</f>
        <v>41333.33333</v>
      </c>
      <c r="N98" s="96">
        <f t="array" ref="N98">IFERROR((_xlfn.XLOOKUP(TRIM(F98), TRIM('Database Dapur'!C:C), 'Database Dapur'!D:D) / L98),"")*1000</f>
        <v>41333.33333</v>
      </c>
      <c r="O98" s="124">
        <f t="array" ref="O98">IFERROR((_xlfn.XLOOKUP(TRIM(F98), TRIM('Database Dapur'!C:C), 'Database Dapur'!D:D) / L98) * G98, "")
</f>
        <v>206666.6667</v>
      </c>
      <c r="P98" s="143"/>
      <c r="Q98" s="136"/>
      <c r="R98" s="137"/>
      <c r="S98" s="137"/>
      <c r="T98" s="137"/>
      <c r="U98" s="137"/>
      <c r="V98" s="137"/>
      <c r="W98" s="144"/>
      <c r="X98" s="145"/>
    </row>
    <row r="99">
      <c r="A99" s="136"/>
      <c r="B99" s="137"/>
      <c r="C99" s="137"/>
      <c r="D99" s="137"/>
      <c r="E99" s="137"/>
      <c r="F99" s="10" t="s">
        <v>2235</v>
      </c>
      <c r="G99" s="86">
        <v>15.0</v>
      </c>
      <c r="H99" s="10" t="s">
        <v>56</v>
      </c>
      <c r="I99" s="137"/>
      <c r="J99" s="137"/>
      <c r="K99" s="10" t="s">
        <v>57</v>
      </c>
      <c r="L99" s="87">
        <v>1000.0</v>
      </c>
      <c r="M99" s="96">
        <f t="array" ref="M99">IFERROR((_xlfn.XLOOKUP(TRIM(F99), TRIM('Database Dapur'!C:C), 'Database Dapur'!D:D)),"")</f>
        <v>12000</v>
      </c>
      <c r="N99" s="96">
        <f t="array" ref="N99">IFERROR((_xlfn.XLOOKUP(TRIM(F99), TRIM('Database Dapur'!C:C), 'Database Dapur'!D:D) / L99),"")*1000</f>
        <v>12000</v>
      </c>
      <c r="O99" s="124">
        <f t="array" ref="O99">IFERROR((_xlfn.XLOOKUP(TRIM(F99), TRIM('Database Dapur'!C:C), 'Database Dapur'!D:D) / L99) * G99, "")
</f>
        <v>180</v>
      </c>
      <c r="P99" s="143"/>
      <c r="Q99" s="136"/>
      <c r="R99" s="137"/>
      <c r="S99" s="137"/>
      <c r="T99" s="137"/>
      <c r="U99" s="137"/>
      <c r="V99" s="137"/>
      <c r="W99" s="144"/>
      <c r="X99" s="145"/>
    </row>
    <row r="100">
      <c r="A100" s="136"/>
      <c r="B100" s="137"/>
      <c r="C100" s="137"/>
      <c r="D100" s="137"/>
      <c r="E100" s="137"/>
      <c r="F100" s="10" t="s">
        <v>386</v>
      </c>
      <c r="G100" s="86">
        <v>35.0</v>
      </c>
      <c r="H100" s="10" t="s">
        <v>56</v>
      </c>
      <c r="I100" s="137"/>
      <c r="J100" s="137"/>
      <c r="K100" s="10" t="s">
        <v>57</v>
      </c>
      <c r="L100" s="87">
        <v>1000.0</v>
      </c>
      <c r="M100" s="96">
        <f t="array" ref="M100">IFERROR((_xlfn.XLOOKUP(TRIM(F100), TRIM('Database Dapur'!C:C), 'Database Dapur'!D:D)),"")</f>
        <v>6100</v>
      </c>
      <c r="N100" s="96">
        <f t="array" ref="N100">IFERROR((_xlfn.XLOOKUP(TRIM(F100), TRIM('Database Dapur'!C:C), 'Database Dapur'!D:D) / L100),"")*1000</f>
        <v>6100</v>
      </c>
      <c r="O100" s="124">
        <f t="array" ref="O100">IFERROR((_xlfn.XLOOKUP(TRIM(F100), TRIM('Database Dapur'!C:C), 'Database Dapur'!D:D) / L100) * G100, "")
</f>
        <v>213.5</v>
      </c>
      <c r="P100" s="143"/>
      <c r="Q100" s="136"/>
      <c r="R100" s="137"/>
      <c r="S100" s="137"/>
      <c r="T100" s="137"/>
      <c r="U100" s="137"/>
      <c r="V100" s="137"/>
      <c r="W100" s="144"/>
      <c r="X100" s="145"/>
    </row>
    <row r="101">
      <c r="A101" s="136"/>
      <c r="B101" s="137"/>
      <c r="C101" s="137"/>
      <c r="D101" s="137"/>
      <c r="E101" s="137"/>
      <c r="F101" s="10" t="s">
        <v>260</v>
      </c>
      <c r="G101" s="86">
        <v>35.0</v>
      </c>
      <c r="H101" s="10" t="s">
        <v>56</v>
      </c>
      <c r="I101" s="137"/>
      <c r="J101" s="137"/>
      <c r="K101" s="10" t="s">
        <v>57</v>
      </c>
      <c r="L101" s="87">
        <v>1000.0</v>
      </c>
      <c r="M101" s="96">
        <f t="array" ref="M101">IFERROR((_xlfn.XLOOKUP(TRIM(F101), TRIM('Database Dapur'!C:C), 'Database Dapur'!D:D)),"")</f>
        <v>17200</v>
      </c>
      <c r="N101" s="96">
        <f t="array" ref="N101">IFERROR((_xlfn.XLOOKUP(TRIM(F101), TRIM('Database Dapur'!C:C), 'Database Dapur'!D:D) / L101),"")*1000</f>
        <v>17200</v>
      </c>
      <c r="O101" s="124">
        <f t="array" ref="O101">IFERROR((_xlfn.XLOOKUP(TRIM(F101), TRIM('Database Dapur'!C:C), 'Database Dapur'!D:D) / L101) * G101, "")
</f>
        <v>602</v>
      </c>
      <c r="P101" s="143"/>
      <c r="Q101" s="136"/>
      <c r="R101" s="137"/>
      <c r="S101" s="137"/>
      <c r="T101" s="137"/>
      <c r="U101" s="137"/>
      <c r="V101" s="137"/>
      <c r="W101" s="144"/>
      <c r="X101" s="145"/>
    </row>
    <row r="102">
      <c r="A102" s="136"/>
      <c r="B102" s="137"/>
      <c r="C102" s="137"/>
      <c r="D102" s="137"/>
      <c r="E102" s="137"/>
      <c r="F102" s="10" t="s">
        <v>3584</v>
      </c>
      <c r="G102" s="86">
        <v>35.0</v>
      </c>
      <c r="H102" s="10" t="s">
        <v>56</v>
      </c>
      <c r="I102" s="137"/>
      <c r="J102" s="137"/>
      <c r="K102" s="10" t="s">
        <v>57</v>
      </c>
      <c r="L102" s="87">
        <v>1000.0</v>
      </c>
      <c r="M102" s="96">
        <f t="array" ref="M102">IFERROR((_xlfn.XLOOKUP(TRIM(F102), TRIM('Database Dapur'!C:C), 'Database Dapur'!D:D)),"")</f>
        <v>145000</v>
      </c>
      <c r="N102" s="96">
        <f t="array" ref="N102">IFERROR((_xlfn.XLOOKUP(TRIM(F102), TRIM('Database Dapur'!C:C), 'Database Dapur'!D:D) / L102),"")*1000</f>
        <v>145000</v>
      </c>
      <c r="O102" s="124">
        <f t="array" ref="O102">IFERROR((_xlfn.XLOOKUP(TRIM(F102), TRIM('Database Dapur'!C:C), 'Database Dapur'!D:D) / L102) * G102, "")
</f>
        <v>5075</v>
      </c>
      <c r="P102" s="143"/>
      <c r="Q102" s="136"/>
      <c r="R102" s="137"/>
      <c r="S102" s="137"/>
      <c r="T102" s="137"/>
      <c r="U102" s="137"/>
      <c r="V102" s="137"/>
      <c r="W102" s="144"/>
      <c r="X102" s="145"/>
    </row>
    <row r="103">
      <c r="A103" s="136"/>
      <c r="B103" s="137"/>
      <c r="C103" s="137"/>
      <c r="D103" s="137"/>
      <c r="E103" s="137"/>
      <c r="F103" s="10" t="s">
        <v>2444</v>
      </c>
      <c r="G103" s="86">
        <v>340.0</v>
      </c>
      <c r="H103" s="10" t="s">
        <v>56</v>
      </c>
      <c r="I103" s="137"/>
      <c r="J103" s="137"/>
      <c r="K103" s="10" t="s">
        <v>509</v>
      </c>
      <c r="L103" s="344">
        <v>620.0</v>
      </c>
      <c r="M103" s="96">
        <f t="array" ref="M103">IFERROR((_xlfn.XLOOKUP(TRIM(F103), TRIM('Database Dapur'!C:C), 'Database Dapur'!D:D)),"")</f>
        <v>38000</v>
      </c>
      <c r="N103" s="96">
        <f t="array" ref="N103">IFERROR((_xlfn.XLOOKUP(TRIM(F103), TRIM('Database Dapur'!C:C), 'Database Dapur'!D:D) / L103),"")*1000</f>
        <v>61290.32258</v>
      </c>
      <c r="O103" s="124">
        <f t="array" ref="O103">IFERROR((_xlfn.XLOOKUP(TRIM(F103), TRIM('Database Dapur'!C:C), 'Database Dapur'!D:D) / L103) * G103, "")
</f>
        <v>20838.70968</v>
      </c>
      <c r="P103" s="143"/>
      <c r="Q103" s="136"/>
      <c r="R103" s="137"/>
      <c r="S103" s="137"/>
      <c r="T103" s="137"/>
      <c r="U103" s="137"/>
      <c r="V103" s="137"/>
      <c r="W103" s="144"/>
      <c r="X103" s="145"/>
    </row>
    <row r="104">
      <c r="A104" s="66"/>
      <c r="B104" s="67"/>
      <c r="C104" s="67"/>
      <c r="D104" s="67"/>
      <c r="E104" s="67"/>
      <c r="F104" s="233" t="s">
        <v>2191</v>
      </c>
      <c r="G104" s="86">
        <v>100.0</v>
      </c>
      <c r="H104" s="10" t="s">
        <v>56</v>
      </c>
      <c r="I104" s="67"/>
      <c r="J104" s="67"/>
      <c r="K104" s="233" t="s">
        <v>57</v>
      </c>
      <c r="L104" s="233">
        <v>1000.0</v>
      </c>
      <c r="M104" s="96">
        <f t="array" ref="M104">IFERROR((_xlfn.XLOOKUP(TRIM(F104), TRIM('Database Dapur'!C:C), 'Database Dapur'!D:D)),"")</f>
        <v>25000</v>
      </c>
      <c r="N104" s="96">
        <f t="array" ref="N104">IFERROR((_xlfn.XLOOKUP(TRIM(F104), TRIM('Database Dapur'!C:C), 'Database Dapur'!D:D) / L104),"")*1000</f>
        <v>25000</v>
      </c>
      <c r="O104" s="96">
        <f t="array" ref="O104">IFERROR((_xlfn.XLOOKUP(TRIM(F104), TRIM('Database Dapur'!C:C), 'Database Dapur'!D:D) / L104) * G104, "")
</f>
        <v>2500</v>
      </c>
      <c r="P104" s="75"/>
      <c r="Q104" s="66"/>
      <c r="R104" s="67"/>
      <c r="S104" s="67"/>
      <c r="T104" s="67"/>
      <c r="U104" s="67"/>
      <c r="V104" s="67"/>
      <c r="W104" s="183"/>
      <c r="X104" s="81"/>
    </row>
    <row r="105">
      <c r="A105" s="333"/>
      <c r="B105" s="334" t="str">
        <f>IFERROR(VLOOKUP(A105, 'Database Dapur'!C:D, 2, FALSE),"")</f>
        <v/>
      </c>
      <c r="C105" s="335" t="str">
        <f>IFERROR(VLOOKUP(#REF!, 'Database Dapur'!A:D, 3, FALSE),"")</f>
        <v/>
      </c>
      <c r="D105" s="335" t="str">
        <f>IFERROR(VLOOKUP(#REF!, 'Database Dapur'!B:E, 3, FALSE),"")</f>
        <v/>
      </c>
      <c r="E105" s="335" t="str">
        <f>IFERROR(VLOOKUP(A105, 'Database Dapur'!C:F, 3, FALSE),"")</f>
        <v/>
      </c>
      <c r="F105" s="336"/>
      <c r="G105" s="191">
        <f>SUM(G97:G104)</f>
        <v>5595</v>
      </c>
      <c r="H105" s="336"/>
      <c r="I105" s="337"/>
      <c r="J105" s="337"/>
      <c r="K105" s="336"/>
      <c r="L105" s="336"/>
      <c r="M105" s="194" t="str">
        <f t="array" ref="M105">IFERROR((_xlfn.XLOOKUP(TRIM(F105), TRIM('Database Dapur'!C:C), 'Database Dapur'!D:D)),"")</f>
        <v/>
      </c>
      <c r="N105" s="194">
        <f t="array" ref="N105">IFERROR((_xlfn.XLOOKUP(TRIM(F105), TRIM('Database Dapur'!C:C), 'Database Dapur'!D:D) / L105),"")*1000</f>
        <v>0</v>
      </c>
      <c r="O105" s="197">
        <f>SUM(O97:O104)</f>
        <v>237630.4713</v>
      </c>
      <c r="P105" s="338"/>
      <c r="Q105" s="339"/>
      <c r="R105" s="340"/>
      <c r="S105" s="341"/>
      <c r="T105" s="337"/>
      <c r="U105" s="341">
        <f t="shared" ref="U105:U106" si="11">S105-X105</f>
        <v>0</v>
      </c>
      <c r="V105" s="341"/>
      <c r="W105" s="342"/>
      <c r="X105" s="343"/>
    </row>
    <row r="106">
      <c r="A106" s="82" t="s">
        <v>1994</v>
      </c>
      <c r="B106" s="83">
        <f>IFERROR(VLOOKUP(A106, 'Database Dapur'!C:D, 2, FALSE),"")</f>
        <v>25000</v>
      </c>
      <c r="C106" s="84">
        <f>D106*1000</f>
        <v>1000</v>
      </c>
      <c r="D106" s="84">
        <v>1.0</v>
      </c>
      <c r="E106" s="85" t="str">
        <f>IFERROR(VLOOKUP(A106, 'Database Dapur'!C:F, 3, FALSE),"")</f>
        <v>Ltr</v>
      </c>
      <c r="F106" s="10" t="s">
        <v>1992</v>
      </c>
      <c r="G106" s="86">
        <v>2400.0</v>
      </c>
      <c r="H106" s="10" t="s">
        <v>56</v>
      </c>
      <c r="I106" s="85">
        <v>32000.0</v>
      </c>
      <c r="J106" s="208" t="s">
        <v>56</v>
      </c>
      <c r="K106" s="10" t="s">
        <v>509</v>
      </c>
      <c r="L106" s="87">
        <v>1000.0</v>
      </c>
      <c r="M106" s="96">
        <f t="array" ref="M106">IFERROR((_xlfn.XLOOKUP(TRIM(F106), TRIM('Database Dapur'!C:C), 'Database Dapur'!D:D)),"")</f>
        <v>105450</v>
      </c>
      <c r="N106" s="96">
        <f t="array" ref="N106">IFERROR((_xlfn.XLOOKUP(TRIM(F106), TRIM('Database Dapur'!C:C), 'Database Dapur'!D:D) / L106),"")*1000</f>
        <v>105450</v>
      </c>
      <c r="O106" s="124">
        <f t="array" ref="O106">IFERROR((_xlfn.XLOOKUP(TRIM(F106), TRIM('Database Dapur'!C:C), 'Database Dapur'!D:D) / L106) * G106, "")
</f>
        <v>253080</v>
      </c>
      <c r="P106" s="125">
        <f>O108/I106*C106</f>
        <v>21502.96875</v>
      </c>
      <c r="Q106" s="128">
        <f>B106-P106</f>
        <v>3497.03125</v>
      </c>
      <c r="R106" s="130">
        <f>(P106/B106)</f>
        <v>0.86011875</v>
      </c>
      <c r="S106" s="132">
        <f>IFERROR(VLOOKUP(A106, 'Database Dapur'!C:D, 2, FALSE),"")</f>
        <v>25000</v>
      </c>
      <c r="T106" s="85" t="str">
        <f>IFERROR(VLOOKUP(A106, 'Database Dapur'!C:F, 3, FALSE),"")</f>
        <v>Ltr</v>
      </c>
      <c r="U106" s="132">
        <f t="shared" si="11"/>
        <v>25000</v>
      </c>
      <c r="V106" s="132">
        <f>U106-P106</f>
        <v>3497.03125</v>
      </c>
      <c r="W106" s="134">
        <f>(P106/U106)</f>
        <v>0.86011875</v>
      </c>
      <c r="X106" s="210"/>
    </row>
    <row r="107">
      <c r="A107" s="66"/>
      <c r="B107" s="67"/>
      <c r="C107" s="67"/>
      <c r="D107" s="67"/>
      <c r="E107" s="67"/>
      <c r="F107" s="10" t="s">
        <v>3588</v>
      </c>
      <c r="G107" s="86">
        <v>30000.0</v>
      </c>
      <c r="H107" s="10" t="s">
        <v>56</v>
      </c>
      <c r="I107" s="67"/>
      <c r="J107" s="67"/>
      <c r="K107" s="10" t="s">
        <v>1922</v>
      </c>
      <c r="L107" s="87">
        <v>1000.0</v>
      </c>
      <c r="M107" s="96">
        <f t="array" ref="M107">IFERROR((_xlfn.XLOOKUP(TRIM(F107), TRIM('Database Dapur'!C:C), 'Database Dapur'!D:D)),"")</f>
        <v>14500.5</v>
      </c>
      <c r="N107" s="96">
        <f t="array" ref="N107">IFERROR((_xlfn.XLOOKUP(TRIM(F107), TRIM('Database Dapur'!C:C), 'Database Dapur'!D:D) / L107),"")*1000</f>
        <v>14500.5</v>
      </c>
      <c r="O107" s="124">
        <f t="array" ref="O107">IFERROR((_xlfn.XLOOKUP(TRIM(F107), TRIM('Database Dapur'!C:C), 'Database Dapur'!D:D) / L107) * G107, "")
</f>
        <v>435015</v>
      </c>
      <c r="P107" s="75"/>
      <c r="Q107" s="66"/>
      <c r="R107" s="67"/>
      <c r="S107" s="67"/>
      <c r="T107" s="67"/>
      <c r="U107" s="67"/>
      <c r="V107" s="67"/>
      <c r="W107" s="183"/>
      <c r="X107" s="81"/>
    </row>
    <row r="108">
      <c r="A108" s="333"/>
      <c r="B108" s="334" t="str">
        <f>IFERROR(VLOOKUP(A108, 'Database Dapur'!C:D, 2, FALSE),"")</f>
        <v/>
      </c>
      <c r="C108" s="335" t="str">
        <f>IFERROR(VLOOKUP(#REF!, 'Database Dapur'!A:D, 3, FALSE),"")</f>
        <v/>
      </c>
      <c r="D108" s="335" t="str">
        <f>IFERROR(VLOOKUP(#REF!, 'Database Dapur'!B:E, 3, FALSE),"")</f>
        <v/>
      </c>
      <c r="E108" s="335" t="str">
        <f>IFERROR(VLOOKUP(A108, 'Database Dapur'!C:F, 3, FALSE),"")</f>
        <v/>
      </c>
      <c r="F108" s="336"/>
      <c r="G108" s="191">
        <f>SUM(G106:G107)</f>
        <v>32400</v>
      </c>
      <c r="H108" s="336"/>
      <c r="I108" s="337"/>
      <c r="J108" s="337"/>
      <c r="K108" s="336"/>
      <c r="L108" s="336"/>
      <c r="M108" s="194" t="str">
        <f t="array" ref="M108">IFERROR((_xlfn.XLOOKUP(TRIM(F108), TRIM('Database Dapur'!C:C), 'Database Dapur'!D:D)),"")</f>
        <v/>
      </c>
      <c r="N108" s="194">
        <f t="array" ref="N108">IFERROR((_xlfn.XLOOKUP(TRIM(F108), TRIM('Database Dapur'!C:C), 'Database Dapur'!D:D) / L108),"")*1000</f>
        <v>0</v>
      </c>
      <c r="O108" s="197">
        <f>SUM(O106:O107)</f>
        <v>688095</v>
      </c>
      <c r="P108" s="338"/>
      <c r="Q108" s="339"/>
      <c r="R108" s="340"/>
      <c r="S108" s="341"/>
      <c r="T108" s="337"/>
      <c r="U108" s="341">
        <f t="shared" ref="U108:U109" si="12">S108-X108</f>
        <v>0</v>
      </c>
      <c r="V108" s="341"/>
      <c r="W108" s="342"/>
      <c r="X108" s="343"/>
    </row>
    <row r="109">
      <c r="A109" s="371" t="s">
        <v>1952</v>
      </c>
      <c r="B109" s="83">
        <f>IFERROR(VLOOKUP(A109, 'Database Dapur'!C:D, 2, FALSE),"")</f>
        <v>25000</v>
      </c>
      <c r="C109" s="84">
        <f>D109*1000</f>
        <v>1000</v>
      </c>
      <c r="D109" s="84">
        <v>1.0</v>
      </c>
      <c r="E109" s="85" t="str">
        <f>IFERROR(VLOOKUP(A109, 'Database Dapur'!C:F, 3, FALSE),"")</f>
        <v>Kg</v>
      </c>
      <c r="F109" s="10" t="s">
        <v>260</v>
      </c>
      <c r="G109" s="86">
        <v>1880.0</v>
      </c>
      <c r="H109" s="10" t="s">
        <v>56</v>
      </c>
      <c r="I109" s="85">
        <v>12000.0</v>
      </c>
      <c r="J109" s="208" t="s">
        <v>56</v>
      </c>
      <c r="K109" s="10" t="s">
        <v>57</v>
      </c>
      <c r="L109" s="87">
        <v>1000.0</v>
      </c>
      <c r="M109" s="96">
        <f t="array" ref="M109">IFERROR((_xlfn.XLOOKUP(TRIM(F109), TRIM('Database Dapur'!C:C), 'Database Dapur'!D:D)),"")</f>
        <v>17200</v>
      </c>
      <c r="N109" s="96">
        <f t="array" ref="N109">IFERROR((_xlfn.XLOOKUP(TRIM(F109), TRIM('Database Dapur'!C:C), 'Database Dapur'!D:D) / L109),"")*1000</f>
        <v>17200</v>
      </c>
      <c r="O109" s="124">
        <f t="array" ref="O109">IFERROR((_xlfn.XLOOKUP(TRIM(F109), TRIM('Database Dapur'!C:C), 'Database Dapur'!D:D) / L109) * G109, "")
</f>
        <v>32336</v>
      </c>
      <c r="P109" s="125">
        <f>O111/I109*C109</f>
        <v>20403</v>
      </c>
      <c r="Q109" s="372">
        <f>B109-P109</f>
        <v>4597</v>
      </c>
      <c r="R109" s="130">
        <f>(P109/B109)</f>
        <v>0.81612</v>
      </c>
      <c r="S109" s="132">
        <f>IFERROR(VLOOKUP(A109, 'Database Dapur'!C:D, 2, FALSE),"")</f>
        <v>25000</v>
      </c>
      <c r="T109" s="85" t="str">
        <f>IFERROR(VLOOKUP(A109, 'Database Dapur'!C:F, 3, FALSE),"")</f>
        <v>Kg</v>
      </c>
      <c r="U109" s="132">
        <f t="shared" si="12"/>
        <v>25000</v>
      </c>
      <c r="V109" s="132">
        <f>U109-P109</f>
        <v>4597</v>
      </c>
      <c r="W109" s="134">
        <f>(P109/U109)</f>
        <v>0.81612</v>
      </c>
      <c r="X109" s="210"/>
    </row>
    <row r="110">
      <c r="A110" s="66"/>
      <c r="B110" s="67"/>
      <c r="C110" s="67"/>
      <c r="D110" s="67"/>
      <c r="E110" s="67"/>
      <c r="F110" s="10" t="s">
        <v>1940</v>
      </c>
      <c r="G110" s="86">
        <v>5000.0</v>
      </c>
      <c r="H110" s="10" t="s">
        <v>56</v>
      </c>
      <c r="I110" s="67"/>
      <c r="J110" s="67"/>
      <c r="K110" s="10" t="s">
        <v>57</v>
      </c>
      <c r="L110" s="87">
        <v>1000.0</v>
      </c>
      <c r="M110" s="96">
        <f t="array" ref="M110">IFERROR((_xlfn.XLOOKUP(TRIM(F110), TRIM('Database Dapur'!C:C), 'Database Dapur'!D:D)),"")</f>
        <v>42500</v>
      </c>
      <c r="N110" s="96">
        <f t="array" ref="N110">IFERROR((_xlfn.XLOOKUP(TRIM(F110), TRIM('Database Dapur'!C:C), 'Database Dapur'!D:D) / L110),"")*1000</f>
        <v>42500</v>
      </c>
      <c r="O110" s="124">
        <f t="array" ref="O110">IFERROR((_xlfn.XLOOKUP(TRIM(F110), TRIM('Database Dapur'!C:C), 'Database Dapur'!D:D) / L110) * G110, "")
</f>
        <v>212500</v>
      </c>
      <c r="P110" s="75"/>
      <c r="Q110" s="66"/>
      <c r="R110" s="67"/>
      <c r="S110" s="67"/>
      <c r="T110" s="67"/>
      <c r="U110" s="67"/>
      <c r="V110" s="67"/>
      <c r="W110" s="183"/>
      <c r="X110" s="81"/>
    </row>
    <row r="111">
      <c r="A111" s="333"/>
      <c r="B111" s="334" t="str">
        <f>IFERROR(VLOOKUP(A111, 'Database Dapur'!C:D, 2, FALSE),"")</f>
        <v/>
      </c>
      <c r="C111" s="335" t="str">
        <f>IFERROR(VLOOKUP(#REF!, 'Database Dapur'!A:D, 3, FALSE),"")</f>
        <v/>
      </c>
      <c r="D111" s="335" t="str">
        <f>IFERROR(VLOOKUP(#REF!, 'Database Dapur'!B:E, 3, FALSE),"")</f>
        <v/>
      </c>
      <c r="E111" s="335" t="str">
        <f>IFERROR(VLOOKUP(A111, 'Database Dapur'!C:F, 3, FALSE),"")</f>
        <v/>
      </c>
      <c r="F111" s="336"/>
      <c r="G111" s="191">
        <f>SUM(G109:G110)</f>
        <v>6880</v>
      </c>
      <c r="H111" s="336"/>
      <c r="I111" s="337"/>
      <c r="J111" s="337"/>
      <c r="K111" s="336"/>
      <c r="L111" s="336"/>
      <c r="M111" s="194" t="str">
        <f t="array" ref="M111">IFERROR((_xlfn.XLOOKUP(TRIM(F111), TRIM('Database Dapur'!C:C), 'Database Dapur'!D:D)),"")</f>
        <v/>
      </c>
      <c r="N111" s="194">
        <f t="array" ref="N111">IFERROR((_xlfn.XLOOKUP(TRIM(F111), TRIM('Database Dapur'!C:C), 'Database Dapur'!D:D) / L111),"")*1000</f>
        <v>0</v>
      </c>
      <c r="O111" s="197">
        <f>SUM(O109:O110)</f>
        <v>244836</v>
      </c>
      <c r="P111" s="338"/>
      <c r="Q111" s="339"/>
      <c r="R111" s="340"/>
      <c r="S111" s="341"/>
      <c r="T111" s="337"/>
      <c r="U111" s="341">
        <f t="shared" ref="U111:U112" si="13">S111-X111</f>
        <v>0</v>
      </c>
      <c r="V111" s="341"/>
      <c r="W111" s="342"/>
      <c r="X111" s="343"/>
    </row>
    <row r="112">
      <c r="A112" s="373" t="s">
        <v>1959</v>
      </c>
      <c r="B112" s="83">
        <f>IFERROR(VLOOKUP(A112, 'Database Dapur'!C:D, 2, FALSE),"")</f>
        <v>18000</v>
      </c>
      <c r="C112" s="84">
        <f>D112*1000</f>
        <v>1000</v>
      </c>
      <c r="D112" s="84">
        <v>1.0</v>
      </c>
      <c r="E112" s="85" t="str">
        <f>IFERROR(VLOOKUP(A112, 'Database Dapur'!C:F, 3, FALSE),"")</f>
        <v>Kg</v>
      </c>
      <c r="F112" s="10" t="s">
        <v>260</v>
      </c>
      <c r="G112" s="86">
        <v>1880.0</v>
      </c>
      <c r="H112" s="10" t="s">
        <v>56</v>
      </c>
      <c r="I112" s="85">
        <v>15000.0</v>
      </c>
      <c r="J112" s="208" t="s">
        <v>56</v>
      </c>
      <c r="K112" s="10" t="s">
        <v>57</v>
      </c>
      <c r="L112" s="87">
        <v>1000.0</v>
      </c>
      <c r="M112" s="96">
        <f t="array" ref="M112">IFERROR((_xlfn.XLOOKUP(TRIM(F112), TRIM('Database Dapur'!C:C), 'Database Dapur'!D:D)),"")</f>
        <v>17200</v>
      </c>
      <c r="N112" s="96">
        <f t="array" ref="N112">IFERROR((_xlfn.XLOOKUP(TRIM(F112), TRIM('Database Dapur'!C:C), 'Database Dapur'!D:D) / L112),"")*1000</f>
        <v>17200</v>
      </c>
      <c r="O112" s="124">
        <f t="array" ref="O112">IFERROR((_xlfn.XLOOKUP(TRIM(F112), TRIM('Database Dapur'!C:C), 'Database Dapur'!D:D) / L112) * G112, "")
</f>
        <v>32336</v>
      </c>
      <c r="P112" s="125">
        <f>O114/I112*C112</f>
        <v>12489.06667</v>
      </c>
      <c r="Q112" s="372">
        <f>B112-P112</f>
        <v>5510.933333</v>
      </c>
      <c r="R112" s="130">
        <f>(P112/B112)</f>
        <v>0.693837037</v>
      </c>
      <c r="S112" s="132">
        <f>IFERROR(VLOOKUP(A112, 'Database Dapur'!C:D, 2, FALSE),"")</f>
        <v>18000</v>
      </c>
      <c r="T112" s="85" t="str">
        <f>IFERROR(VLOOKUP(A112, 'Database Dapur'!C:F, 3, FALSE),"")</f>
        <v>Kg</v>
      </c>
      <c r="U112" s="132">
        <f t="shared" si="13"/>
        <v>18000</v>
      </c>
      <c r="V112" s="132">
        <f>U112-P112</f>
        <v>5510.933333</v>
      </c>
      <c r="W112" s="134">
        <f>(P112/U112)</f>
        <v>0.693837037</v>
      </c>
      <c r="X112" s="210"/>
    </row>
    <row r="113">
      <c r="A113" s="66"/>
      <c r="B113" s="67"/>
      <c r="C113" s="67"/>
      <c r="D113" s="67"/>
      <c r="E113" s="67"/>
      <c r="F113" s="10" t="s">
        <v>1950</v>
      </c>
      <c r="G113" s="86">
        <v>5000.0</v>
      </c>
      <c r="H113" s="10" t="s">
        <v>56</v>
      </c>
      <c r="I113" s="67"/>
      <c r="J113" s="67"/>
      <c r="K113" s="10" t="s">
        <v>57</v>
      </c>
      <c r="L113" s="87">
        <v>1000.0</v>
      </c>
      <c r="M113" s="96">
        <f t="array" ref="M113">IFERROR((_xlfn.XLOOKUP(TRIM(F113), TRIM('Database Dapur'!C:C), 'Database Dapur'!D:D)),"")</f>
        <v>31000</v>
      </c>
      <c r="N113" s="96">
        <f t="array" ref="N113">IFERROR((_xlfn.XLOOKUP(TRIM(F113), TRIM('Database Dapur'!C:C), 'Database Dapur'!D:D) / L113),"")*1000</f>
        <v>31000</v>
      </c>
      <c r="O113" s="124">
        <f t="array" ref="O113">IFERROR((_xlfn.XLOOKUP(TRIM(F113), TRIM('Database Dapur'!C:C), 'Database Dapur'!D:D) / L113) * G113, "")
</f>
        <v>155000</v>
      </c>
      <c r="P113" s="75"/>
      <c r="Q113" s="66"/>
      <c r="R113" s="67"/>
      <c r="S113" s="67"/>
      <c r="T113" s="67"/>
      <c r="U113" s="67"/>
      <c r="V113" s="67"/>
      <c r="W113" s="183"/>
      <c r="X113" s="81"/>
    </row>
    <row r="114">
      <c r="A114" s="333"/>
      <c r="B114" s="334" t="str">
        <f>IFERROR(VLOOKUP(A114, 'Database Dapur'!C:D, 2, FALSE),"")</f>
        <v/>
      </c>
      <c r="C114" s="335" t="str">
        <f>IFERROR(VLOOKUP(#REF!, 'Database Dapur'!A:D, 3, FALSE),"")</f>
        <v/>
      </c>
      <c r="D114" s="335" t="str">
        <f>IFERROR(VLOOKUP(#REF!, 'Database Dapur'!B:E, 3, FALSE),"")</f>
        <v/>
      </c>
      <c r="E114" s="335" t="str">
        <f>IFERROR(VLOOKUP(A114, 'Database Dapur'!C:F, 3, FALSE),"")</f>
        <v/>
      </c>
      <c r="F114" s="336"/>
      <c r="G114" s="191">
        <f>SUM(G112:G113)</f>
        <v>6880</v>
      </c>
      <c r="H114" s="336"/>
      <c r="I114" s="337"/>
      <c r="J114" s="337"/>
      <c r="K114" s="336"/>
      <c r="L114" s="336"/>
      <c r="M114" s="194" t="str">
        <f t="array" ref="M114">IFERROR((_xlfn.XLOOKUP(TRIM(F114), TRIM('Database Dapur'!C:C), 'Database Dapur'!D:D)),"")</f>
        <v/>
      </c>
      <c r="N114" s="194">
        <f t="array" ref="N114">IFERROR((_xlfn.XLOOKUP(TRIM(F114), TRIM('Database Dapur'!C:C), 'Database Dapur'!D:D) / L114),"")*1000</f>
        <v>0</v>
      </c>
      <c r="O114" s="197">
        <f>SUM(O112:O113)</f>
        <v>187336</v>
      </c>
      <c r="P114" s="338"/>
      <c r="Q114" s="339"/>
      <c r="R114" s="340"/>
      <c r="S114" s="341"/>
      <c r="T114" s="337"/>
      <c r="U114" s="341">
        <f t="shared" ref="U114:U115" si="14">S114-X114</f>
        <v>0</v>
      </c>
      <c r="V114" s="341"/>
      <c r="W114" s="342"/>
      <c r="X114" s="343"/>
    </row>
    <row r="115">
      <c r="A115" s="371" t="s">
        <v>1732</v>
      </c>
      <c r="B115" s="83">
        <f>IFERROR(VLOOKUP(A115, 'Database Dapur'!C:D, 2, FALSE),"")</f>
        <v>41500</v>
      </c>
      <c r="C115" s="84">
        <f>D115*1000</f>
        <v>500</v>
      </c>
      <c r="D115" s="84">
        <v>0.5</v>
      </c>
      <c r="E115" s="85" t="str">
        <f>IFERROR(VLOOKUP(A115, 'Database Dapur'!C:F, 3, FALSE),"")</f>
        <v>500gr</v>
      </c>
      <c r="F115" s="10" t="s">
        <v>1482</v>
      </c>
      <c r="G115" s="86">
        <v>120.0</v>
      </c>
      <c r="H115" s="10" t="s">
        <v>56</v>
      </c>
      <c r="I115" s="85">
        <v>4790.0</v>
      </c>
      <c r="J115" s="208" t="s">
        <v>56</v>
      </c>
      <c r="K115" s="10" t="s">
        <v>57</v>
      </c>
      <c r="L115" s="87">
        <v>1000.0</v>
      </c>
      <c r="M115" s="96">
        <f t="array" ref="M115">IFERROR((_xlfn.XLOOKUP(TRIM(F115), TRIM('Database Dapur'!C:C), 'Database Dapur'!D:D)),"")</f>
        <v>44417</v>
      </c>
      <c r="N115" s="96">
        <f t="array" ref="N115">IFERROR((_xlfn.XLOOKUP(TRIM(F115), TRIM('Database Dapur'!C:C), 'Database Dapur'!D:D) / L115),"")*1000</f>
        <v>44417</v>
      </c>
      <c r="O115" s="124">
        <f t="array" ref="O115">IFERROR((_xlfn.XLOOKUP(TRIM(F115), TRIM('Database Dapur'!C:C), 'Database Dapur'!D:D) / L115) * G115, "")
</f>
        <v>5330.04</v>
      </c>
      <c r="P115" s="125">
        <f>O123/I115*C115</f>
        <v>26950.27335</v>
      </c>
      <c r="Q115" s="128">
        <f>B115-P115</f>
        <v>14549.72665</v>
      </c>
      <c r="R115" s="130">
        <f>(P115/B115)</f>
        <v>0.6494041772</v>
      </c>
      <c r="S115" s="132">
        <f>IFERROR(VLOOKUP(A115, 'Database Dapur'!C:D, 2, FALSE),"")</f>
        <v>41500</v>
      </c>
      <c r="T115" s="85" t="str">
        <f>IFERROR(VLOOKUP(A115, 'Database Dapur'!C:F, 3, FALSE),"")</f>
        <v>500gr</v>
      </c>
      <c r="U115" s="132">
        <f t="shared" si="14"/>
        <v>41500</v>
      </c>
      <c r="V115" s="132">
        <f>U115-P115</f>
        <v>14549.72665</v>
      </c>
      <c r="W115" s="134">
        <f>(P115/U115)</f>
        <v>0.6494041772</v>
      </c>
      <c r="X115" s="210"/>
    </row>
    <row r="116">
      <c r="A116" s="136"/>
      <c r="B116" s="137"/>
      <c r="C116" s="137"/>
      <c r="D116" s="137"/>
      <c r="E116" s="137"/>
      <c r="F116" s="10" t="s">
        <v>1702</v>
      </c>
      <c r="G116" s="86">
        <v>3600.0</v>
      </c>
      <c r="H116" s="10" t="s">
        <v>56</v>
      </c>
      <c r="I116" s="137"/>
      <c r="J116" s="137"/>
      <c r="K116" s="10" t="s">
        <v>57</v>
      </c>
      <c r="L116" s="87">
        <v>1000.0</v>
      </c>
      <c r="M116" s="96">
        <f t="array" ref="M116">IFERROR((_xlfn.XLOOKUP(TRIM(F116), TRIM('Database Dapur'!C:C), 'Database Dapur'!D:D)),"")</f>
        <v>41333.33333</v>
      </c>
      <c r="N116" s="96">
        <f t="array" ref="N116">IFERROR((_xlfn.XLOOKUP(TRIM(F116), TRIM('Database Dapur'!C:C), 'Database Dapur'!D:D) / L116),"")*1000</f>
        <v>41333.33333</v>
      </c>
      <c r="O116" s="124">
        <f t="array" ref="O116">IFERROR((_xlfn.XLOOKUP(TRIM(F116), TRIM('Database Dapur'!C:C), 'Database Dapur'!D:D) / L116) * G116, "")
</f>
        <v>148800</v>
      </c>
      <c r="P116" s="143"/>
      <c r="Q116" s="136"/>
      <c r="R116" s="137"/>
      <c r="S116" s="137"/>
      <c r="T116" s="137"/>
      <c r="U116" s="137"/>
      <c r="V116" s="137"/>
      <c r="W116" s="144"/>
      <c r="X116" s="145"/>
    </row>
    <row r="117">
      <c r="A117" s="136"/>
      <c r="B117" s="137"/>
      <c r="C117" s="137"/>
      <c r="D117" s="137"/>
      <c r="E117" s="137"/>
      <c r="F117" s="10" t="s">
        <v>2256</v>
      </c>
      <c r="G117" s="86">
        <v>150.0</v>
      </c>
      <c r="H117" s="10" t="s">
        <v>56</v>
      </c>
      <c r="I117" s="137"/>
      <c r="J117" s="137"/>
      <c r="K117" s="10" t="s">
        <v>57</v>
      </c>
      <c r="L117" s="87">
        <v>1000.0</v>
      </c>
      <c r="M117" s="96">
        <f t="array" ref="M117">IFERROR((_xlfn.XLOOKUP(TRIM(F117), TRIM('Database Dapur'!C:C), 'Database Dapur'!D:D)),"")</f>
        <v>40000</v>
      </c>
      <c r="N117" s="96">
        <f t="array" ref="N117">IFERROR((_xlfn.XLOOKUP(TRIM(F117), TRIM('Database Dapur'!C:C), 'Database Dapur'!D:D) / L117),"")*1000</f>
        <v>40000</v>
      </c>
      <c r="O117" s="124">
        <f t="array" ref="O117">IFERROR((_xlfn.XLOOKUP(TRIM(F117), TRIM('Database Dapur'!C:C), 'Database Dapur'!D:D) / L117) * G117, "")
</f>
        <v>6000</v>
      </c>
      <c r="P117" s="143"/>
      <c r="Q117" s="136"/>
      <c r="R117" s="137"/>
      <c r="S117" s="137"/>
      <c r="T117" s="137"/>
      <c r="U117" s="137"/>
      <c r="V117" s="137"/>
      <c r="W117" s="144"/>
      <c r="X117" s="145"/>
    </row>
    <row r="118">
      <c r="A118" s="136"/>
      <c r="B118" s="137"/>
      <c r="C118" s="137"/>
      <c r="D118" s="137"/>
      <c r="E118" s="137"/>
      <c r="F118" s="10" t="s">
        <v>2254</v>
      </c>
      <c r="G118" s="86">
        <v>90.0</v>
      </c>
      <c r="H118" s="10" t="s">
        <v>56</v>
      </c>
      <c r="I118" s="137"/>
      <c r="J118" s="137"/>
      <c r="K118" s="10" t="s">
        <v>57</v>
      </c>
      <c r="L118" s="87">
        <v>1000.0</v>
      </c>
      <c r="M118" s="96">
        <f t="array" ref="M118">IFERROR((_xlfn.XLOOKUP(TRIM(F118), TRIM('Database Dapur'!C:C), 'Database Dapur'!D:D)),"")</f>
        <v>88000</v>
      </c>
      <c r="N118" s="96">
        <f t="array" ref="N118">IFERROR((_xlfn.XLOOKUP(TRIM(F118), TRIM('Database Dapur'!C:C), 'Database Dapur'!D:D) / L118),"")*1000</f>
        <v>88000</v>
      </c>
      <c r="O118" s="124">
        <f t="array" ref="O118">IFERROR((_xlfn.XLOOKUP(TRIM(F118), TRIM('Database Dapur'!C:C), 'Database Dapur'!D:D) / L118) * G118, "")
</f>
        <v>7920</v>
      </c>
      <c r="P118" s="143"/>
      <c r="Q118" s="136"/>
      <c r="R118" s="137"/>
      <c r="S118" s="137"/>
      <c r="T118" s="137"/>
      <c r="U118" s="137"/>
      <c r="V118" s="137"/>
      <c r="W118" s="144"/>
      <c r="X118" s="145"/>
    </row>
    <row r="119">
      <c r="A119" s="136"/>
      <c r="B119" s="137"/>
      <c r="C119" s="137"/>
      <c r="D119" s="137"/>
      <c r="E119" s="137"/>
      <c r="F119" s="10" t="s">
        <v>386</v>
      </c>
      <c r="G119" s="86">
        <v>60.0</v>
      </c>
      <c r="H119" s="10" t="s">
        <v>56</v>
      </c>
      <c r="I119" s="137"/>
      <c r="J119" s="137"/>
      <c r="K119" s="10" t="s">
        <v>57</v>
      </c>
      <c r="L119" s="87">
        <v>1000.0</v>
      </c>
      <c r="M119" s="96">
        <f t="array" ref="M119">IFERROR((_xlfn.XLOOKUP(TRIM(F119), TRIM('Database Dapur'!C:C), 'Database Dapur'!D:D)),"")</f>
        <v>6100</v>
      </c>
      <c r="N119" s="96">
        <f t="array" ref="N119">IFERROR((_xlfn.XLOOKUP(TRIM(F119), TRIM('Database Dapur'!C:C), 'Database Dapur'!D:D) / L119),"")*1000</f>
        <v>6100</v>
      </c>
      <c r="O119" s="124">
        <f t="array" ref="O119">IFERROR((_xlfn.XLOOKUP(TRIM(F119), TRIM('Database Dapur'!C:C), 'Database Dapur'!D:D) / L119) * G119, "")
</f>
        <v>366</v>
      </c>
      <c r="P119" s="143"/>
      <c r="Q119" s="136"/>
      <c r="R119" s="137"/>
      <c r="S119" s="137"/>
      <c r="T119" s="137"/>
      <c r="U119" s="137"/>
      <c r="V119" s="137"/>
      <c r="W119" s="144"/>
      <c r="X119" s="145"/>
    </row>
    <row r="120">
      <c r="A120" s="136"/>
      <c r="B120" s="137"/>
      <c r="C120" s="137"/>
      <c r="D120" s="137"/>
      <c r="E120" s="137"/>
      <c r="F120" s="10" t="s">
        <v>260</v>
      </c>
      <c r="G120" s="86">
        <v>60.0</v>
      </c>
      <c r="H120" s="10" t="s">
        <v>56</v>
      </c>
      <c r="I120" s="137"/>
      <c r="J120" s="137"/>
      <c r="K120" s="10" t="s">
        <v>57</v>
      </c>
      <c r="L120" s="87">
        <v>1000.0</v>
      </c>
      <c r="M120" s="96">
        <f t="array" ref="M120">IFERROR((_xlfn.XLOOKUP(TRIM(F120), TRIM('Database Dapur'!C:C), 'Database Dapur'!D:D)),"")</f>
        <v>17200</v>
      </c>
      <c r="N120" s="96">
        <f t="array" ref="N120">IFERROR((_xlfn.XLOOKUP(TRIM(F120), TRIM('Database Dapur'!C:C), 'Database Dapur'!D:D) / L120),"")*1000</f>
        <v>17200</v>
      </c>
      <c r="O120" s="124">
        <f t="array" ref="O120">IFERROR((_xlfn.XLOOKUP(TRIM(F120), TRIM('Database Dapur'!C:C), 'Database Dapur'!D:D) / L120) * G120, "")
</f>
        <v>1032</v>
      </c>
      <c r="P120" s="143"/>
      <c r="Q120" s="136"/>
      <c r="R120" s="137"/>
      <c r="S120" s="137"/>
      <c r="T120" s="137"/>
      <c r="U120" s="137"/>
      <c r="V120" s="137"/>
      <c r="W120" s="144"/>
      <c r="X120" s="145"/>
    </row>
    <row r="121">
      <c r="A121" s="136"/>
      <c r="B121" s="137"/>
      <c r="C121" s="137"/>
      <c r="D121" s="137"/>
      <c r="E121" s="137"/>
      <c r="F121" s="233" t="s">
        <v>2265</v>
      </c>
      <c r="G121" s="86">
        <v>1200.0</v>
      </c>
      <c r="H121" s="10" t="s">
        <v>56</v>
      </c>
      <c r="I121" s="137"/>
      <c r="J121" s="137"/>
      <c r="K121" s="10" t="s">
        <v>2088</v>
      </c>
      <c r="L121" s="87">
        <v>195.0</v>
      </c>
      <c r="M121" s="96">
        <f t="array" ref="M121">IFERROR((_xlfn.XLOOKUP(TRIM(F121), TRIM('Database Dapur'!C:C), 'Database Dapur'!D:D)),"")</f>
        <v>14167</v>
      </c>
      <c r="N121" s="96">
        <f t="array" ref="N121">IFERROR((_xlfn.XLOOKUP(TRIM(F121), TRIM('Database Dapur'!C:C), 'Database Dapur'!D:D) / L121),"")*1000</f>
        <v>72651.28205</v>
      </c>
      <c r="O121" s="96">
        <f t="array" ref="O121">IFERROR((_xlfn.XLOOKUP(TRIM(F121), TRIM('Database Dapur'!C:C), 'Database Dapur'!D:D) / L121) * G121, "")
</f>
        <v>87181.53846</v>
      </c>
      <c r="P121" s="143"/>
      <c r="Q121" s="136"/>
      <c r="R121" s="137"/>
      <c r="S121" s="137"/>
      <c r="T121" s="137"/>
      <c r="U121" s="137"/>
      <c r="V121" s="137"/>
      <c r="W121" s="144"/>
      <c r="X121" s="145"/>
    </row>
    <row r="122">
      <c r="A122" s="66"/>
      <c r="B122" s="67"/>
      <c r="C122" s="67"/>
      <c r="D122" s="67"/>
      <c r="E122" s="67"/>
      <c r="F122" s="10" t="s">
        <v>2036</v>
      </c>
      <c r="G122" s="86">
        <v>60.0</v>
      </c>
      <c r="H122" s="10" t="s">
        <v>56</v>
      </c>
      <c r="I122" s="67"/>
      <c r="J122" s="67"/>
      <c r="K122" s="10" t="s">
        <v>2031</v>
      </c>
      <c r="L122" s="87">
        <v>6000.0</v>
      </c>
      <c r="M122" s="96">
        <f t="array" ref="M122">IFERROR((_xlfn.XLOOKUP(TRIM(F122), TRIM('Database Dapur'!C:C), 'Database Dapur'!D:D)),"")</f>
        <v>155404.025</v>
      </c>
      <c r="N122" s="96">
        <f t="array" ref="N122">IFERROR((_xlfn.XLOOKUP(TRIM(F122), TRIM('Database Dapur'!C:C), 'Database Dapur'!D:D) / L122),"")*1000</f>
        <v>25900.67083</v>
      </c>
      <c r="O122" s="124">
        <f t="array" ref="O122">IFERROR((_xlfn.XLOOKUP(TRIM(F122), TRIM('Database Dapur'!C:C), 'Database Dapur'!D:D) / L122) * G122, "")
</f>
        <v>1554.04025</v>
      </c>
      <c r="P122" s="75"/>
      <c r="Q122" s="66"/>
      <c r="R122" s="67"/>
      <c r="S122" s="67"/>
      <c r="T122" s="67"/>
      <c r="U122" s="67"/>
      <c r="V122" s="67"/>
      <c r="W122" s="183"/>
      <c r="X122" s="81"/>
    </row>
    <row r="123">
      <c r="A123" s="333"/>
      <c r="B123" s="334" t="str">
        <f>IFERROR(VLOOKUP(A123, 'Database Dapur'!C:D, 2, FALSE),"")</f>
        <v/>
      </c>
      <c r="C123" s="335" t="str">
        <f>IFERROR(VLOOKUP(#REF!, 'Database Dapur'!A:D, 3, FALSE),"")</f>
        <v/>
      </c>
      <c r="D123" s="335" t="str">
        <f>IFERROR(VLOOKUP(#REF!, 'Database Dapur'!B:E, 3, FALSE),"")</f>
        <v/>
      </c>
      <c r="E123" s="335" t="str">
        <f>IFERROR(VLOOKUP(A123, 'Database Dapur'!C:F, 3, FALSE),"")</f>
        <v/>
      </c>
      <c r="F123" s="336"/>
      <c r="G123" s="191">
        <f>SUM(G115:G122)</f>
        <v>5340</v>
      </c>
      <c r="H123" s="336"/>
      <c r="I123" s="337"/>
      <c r="J123" s="337"/>
      <c r="K123" s="336"/>
      <c r="L123" s="336"/>
      <c r="M123" s="194" t="str">
        <f t="array" ref="M123">IFERROR((_xlfn.XLOOKUP(TRIM(F123), TRIM('Database Dapur'!C:C), 'Database Dapur'!D:D)),"")</f>
        <v/>
      </c>
      <c r="N123" s="194">
        <f t="array" ref="N123">IFERROR((_xlfn.XLOOKUP(TRIM(F123), TRIM('Database Dapur'!C:C), 'Database Dapur'!D:D) / L123),"")*1000</f>
        <v>0</v>
      </c>
      <c r="O123" s="197">
        <f>SUM(O115:O122)</f>
        <v>258183.6187</v>
      </c>
      <c r="P123" s="338"/>
      <c r="Q123" s="339"/>
      <c r="R123" s="340"/>
      <c r="S123" s="341"/>
      <c r="T123" s="337"/>
      <c r="U123" s="341">
        <f t="shared" ref="U123:U124" si="15">S123-X123</f>
        <v>0</v>
      </c>
      <c r="V123" s="341"/>
      <c r="W123" s="342"/>
      <c r="X123" s="343"/>
    </row>
    <row r="124">
      <c r="A124" s="371" t="s">
        <v>1729</v>
      </c>
      <c r="B124" s="83">
        <f>IFERROR(VLOOKUP(A124, 'Database Dapur'!C:D, 2, FALSE),"")</f>
        <v>41500</v>
      </c>
      <c r="C124" s="84">
        <f>D124*1000</f>
        <v>500</v>
      </c>
      <c r="D124" s="84">
        <v>0.5</v>
      </c>
      <c r="E124" s="85" t="str">
        <f>IFERROR(VLOOKUP(A124, 'Database Dapur'!C:F, 3, FALSE),"")</f>
        <v>500gr</v>
      </c>
      <c r="F124" s="10" t="s">
        <v>1702</v>
      </c>
      <c r="G124" s="86">
        <v>6000.0</v>
      </c>
      <c r="H124" s="10" t="s">
        <v>56</v>
      </c>
      <c r="I124" s="85">
        <v>5500.0</v>
      </c>
      <c r="J124" s="208" t="s">
        <v>56</v>
      </c>
      <c r="K124" s="10" t="s">
        <v>57</v>
      </c>
      <c r="L124" s="87">
        <v>1000.0</v>
      </c>
      <c r="M124" s="96">
        <f t="array" ref="M124">IFERROR((_xlfn.XLOOKUP(TRIM(F124), TRIM('Database Dapur'!C:C), 'Database Dapur'!D:D)),"")</f>
        <v>41333.33333</v>
      </c>
      <c r="N124" s="96">
        <f t="array" ref="N124">IFERROR((_xlfn.XLOOKUP(TRIM(F124), TRIM('Database Dapur'!C:C), 'Database Dapur'!D:D) / L124),"")*1000</f>
        <v>41333.33333</v>
      </c>
      <c r="O124" s="124">
        <f t="array" ref="O124">IFERROR((_xlfn.XLOOKUP(TRIM(F124), TRIM('Database Dapur'!C:C), 'Database Dapur'!D:D) / L124) * G124, "")
</f>
        <v>248000</v>
      </c>
      <c r="P124" s="125">
        <f>O129/I124*C124</f>
        <v>28520.7614</v>
      </c>
      <c r="Q124" s="128">
        <f>B124-P124</f>
        <v>12979.2386</v>
      </c>
      <c r="R124" s="130">
        <f>(P124/B124)</f>
        <v>0.6872472627</v>
      </c>
      <c r="S124" s="132">
        <f>IFERROR(VLOOKUP(A124, 'Database Dapur'!C:D, 2, FALSE),"")</f>
        <v>41500</v>
      </c>
      <c r="T124" s="85" t="str">
        <f>IFERROR(VLOOKUP(A124, 'Database Dapur'!C:F, 3, FALSE),"")</f>
        <v>500gr</v>
      </c>
      <c r="U124" s="132">
        <f t="shared" si="15"/>
        <v>41500</v>
      </c>
      <c r="V124" s="132">
        <f>U124-P124</f>
        <v>12979.2386</v>
      </c>
      <c r="W124" s="134">
        <f>(P124/U124)</f>
        <v>0.6872472627</v>
      </c>
      <c r="X124" s="210"/>
    </row>
    <row r="125">
      <c r="A125" s="136"/>
      <c r="B125" s="137"/>
      <c r="C125" s="137"/>
      <c r="D125" s="137"/>
      <c r="E125" s="137"/>
      <c r="F125" s="10" t="s">
        <v>2256</v>
      </c>
      <c r="G125" s="86">
        <v>250.0</v>
      </c>
      <c r="H125" s="10" t="s">
        <v>56</v>
      </c>
      <c r="I125" s="137"/>
      <c r="J125" s="137"/>
      <c r="K125" s="10" t="s">
        <v>57</v>
      </c>
      <c r="L125" s="87">
        <v>1000.0</v>
      </c>
      <c r="M125" s="96">
        <f t="array" ref="M125">IFERROR((_xlfn.XLOOKUP(TRIM(F125), TRIM('Database Dapur'!C:C), 'Database Dapur'!D:D)),"")</f>
        <v>40000</v>
      </c>
      <c r="N125" s="96">
        <f t="array" ref="N125">IFERROR((_xlfn.XLOOKUP(TRIM(F125), TRIM('Database Dapur'!C:C), 'Database Dapur'!D:D) / L125),"")*1000</f>
        <v>40000</v>
      </c>
      <c r="O125" s="124">
        <f t="array" ref="O125">IFERROR((_xlfn.XLOOKUP(TRIM(F125), TRIM('Database Dapur'!C:C), 'Database Dapur'!D:D) / L125) * G125, "")
</f>
        <v>10000</v>
      </c>
      <c r="P125" s="143"/>
      <c r="Q125" s="136"/>
      <c r="R125" s="137"/>
      <c r="S125" s="137"/>
      <c r="T125" s="137"/>
      <c r="U125" s="137"/>
      <c r="V125" s="137"/>
      <c r="W125" s="144"/>
      <c r="X125" s="145"/>
    </row>
    <row r="126">
      <c r="A126" s="136"/>
      <c r="B126" s="137"/>
      <c r="C126" s="137"/>
      <c r="D126" s="137"/>
      <c r="E126" s="137"/>
      <c r="F126" s="10" t="s">
        <v>2026</v>
      </c>
      <c r="G126" s="86">
        <v>500.0</v>
      </c>
      <c r="H126" s="10" t="s">
        <v>56</v>
      </c>
      <c r="I126" s="137"/>
      <c r="J126" s="137"/>
      <c r="K126" s="10" t="s">
        <v>57</v>
      </c>
      <c r="L126" s="87">
        <v>1000.0</v>
      </c>
      <c r="M126" s="96">
        <f t="array" ref="M126">IFERROR((_xlfn.XLOOKUP(TRIM(F126), TRIM('Database Dapur'!C:C), 'Database Dapur'!D:D)),"")</f>
        <v>45045</v>
      </c>
      <c r="N126" s="96">
        <f t="array" ref="N126">IFERROR((_xlfn.XLOOKUP(TRIM(F126), TRIM('Database Dapur'!C:C), 'Database Dapur'!D:D) / L126),"")*1000</f>
        <v>45045</v>
      </c>
      <c r="O126" s="124">
        <f t="array" ref="O126">IFERROR((_xlfn.XLOOKUP(TRIM(F126), TRIM('Database Dapur'!C:C), 'Database Dapur'!D:D) / L126) * G126, "")
</f>
        <v>22522.5</v>
      </c>
      <c r="P126" s="143"/>
      <c r="Q126" s="136"/>
      <c r="R126" s="137"/>
      <c r="S126" s="137"/>
      <c r="T126" s="137"/>
      <c r="U126" s="137"/>
      <c r="V126" s="137"/>
      <c r="W126" s="144"/>
      <c r="X126" s="145"/>
    </row>
    <row r="127">
      <c r="A127" s="136"/>
      <c r="B127" s="137"/>
      <c r="C127" s="137"/>
      <c r="D127" s="137"/>
      <c r="E127" s="137"/>
      <c r="F127" s="10" t="s">
        <v>2030</v>
      </c>
      <c r="G127" s="86">
        <v>1500.0</v>
      </c>
      <c r="H127" s="10" t="s">
        <v>56</v>
      </c>
      <c r="I127" s="137"/>
      <c r="J127" s="137"/>
      <c r="K127" s="10" t="s">
        <v>2031</v>
      </c>
      <c r="L127" s="87">
        <v>6000.0</v>
      </c>
      <c r="M127" s="96">
        <f t="array" ref="M127">IFERROR((_xlfn.XLOOKUP(TRIM(F127), TRIM('Database Dapur'!C:C), 'Database Dapur'!D:D)),"")</f>
        <v>81022.16</v>
      </c>
      <c r="N127" s="96">
        <f t="array" ref="N127">IFERROR((_xlfn.XLOOKUP(TRIM(F127), TRIM('Database Dapur'!C:C), 'Database Dapur'!D:D) / L127),"")*1000</f>
        <v>13503.69333</v>
      </c>
      <c r="O127" s="124">
        <f t="array" ref="O127">IFERROR((_xlfn.XLOOKUP(TRIM(F127), TRIM('Database Dapur'!C:C), 'Database Dapur'!D:D) / L127) * G127, "")
</f>
        <v>20255.54</v>
      </c>
      <c r="P127" s="143"/>
      <c r="Q127" s="136"/>
      <c r="R127" s="137"/>
      <c r="S127" s="137"/>
      <c r="T127" s="137"/>
      <c r="U127" s="137"/>
      <c r="V127" s="137"/>
      <c r="W127" s="144"/>
      <c r="X127" s="145"/>
    </row>
    <row r="128">
      <c r="A128" s="66"/>
      <c r="B128" s="67"/>
      <c r="C128" s="67"/>
      <c r="D128" s="67"/>
      <c r="E128" s="67"/>
      <c r="F128" s="10" t="s">
        <v>2036</v>
      </c>
      <c r="G128" s="86">
        <v>500.0</v>
      </c>
      <c r="H128" s="10" t="s">
        <v>56</v>
      </c>
      <c r="I128" s="67"/>
      <c r="J128" s="67"/>
      <c r="K128" s="10" t="s">
        <v>2031</v>
      </c>
      <c r="L128" s="87">
        <v>6000.0</v>
      </c>
      <c r="M128" s="96">
        <f t="array" ref="M128">IFERROR((_xlfn.XLOOKUP(TRIM(F128), TRIM('Database Dapur'!C:C), 'Database Dapur'!D:D)),"")</f>
        <v>155404.025</v>
      </c>
      <c r="N128" s="96">
        <f t="array" ref="N128">IFERROR((_xlfn.XLOOKUP(TRIM(F128), TRIM('Database Dapur'!C:C), 'Database Dapur'!D:D) / L128),"")*1000</f>
        <v>25900.67083</v>
      </c>
      <c r="O128" s="124">
        <f t="array" ref="O128">IFERROR((_xlfn.XLOOKUP(TRIM(F128), TRIM('Database Dapur'!C:C), 'Database Dapur'!D:D) / L128) * G128, "")
</f>
        <v>12950.33542</v>
      </c>
      <c r="P128" s="75"/>
      <c r="Q128" s="66"/>
      <c r="R128" s="67"/>
      <c r="S128" s="67"/>
      <c r="T128" s="67"/>
      <c r="U128" s="67"/>
      <c r="V128" s="67"/>
      <c r="W128" s="183"/>
      <c r="X128" s="81"/>
    </row>
    <row r="129">
      <c r="A129" s="333"/>
      <c r="B129" s="334" t="str">
        <f>IFERROR(VLOOKUP(A129, 'Database Dapur'!C:D, 2, FALSE),"")</f>
        <v/>
      </c>
      <c r="C129" s="335" t="str">
        <f>IFERROR(VLOOKUP(#REF!, 'Database Dapur'!A:D, 3, FALSE),"")</f>
        <v/>
      </c>
      <c r="D129" s="335" t="str">
        <f>IFERROR(VLOOKUP(#REF!, 'Database Dapur'!B:E, 3, FALSE),"")</f>
        <v/>
      </c>
      <c r="E129" s="335" t="str">
        <f>IFERROR(VLOOKUP(A129, 'Database Dapur'!C:F, 3, FALSE),"")</f>
        <v/>
      </c>
      <c r="F129" s="336"/>
      <c r="G129" s="191">
        <f>SUM(G124:G128)</f>
        <v>8750</v>
      </c>
      <c r="H129" s="336"/>
      <c r="I129" s="337"/>
      <c r="J129" s="337"/>
      <c r="K129" s="336"/>
      <c r="L129" s="336"/>
      <c r="M129" s="194" t="str">
        <f t="array" ref="M129">IFERROR((_xlfn.XLOOKUP(TRIM(F129), TRIM('Database Dapur'!C:C), 'Database Dapur'!D:D)),"")</f>
        <v/>
      </c>
      <c r="N129" s="194">
        <f t="array" ref="N129">IFERROR((_xlfn.XLOOKUP(TRIM(F129), TRIM('Database Dapur'!C:C), 'Database Dapur'!D:D) / L129),"")*1000</f>
        <v>0</v>
      </c>
      <c r="O129" s="197">
        <f>SUM(O124:O128)</f>
        <v>313728.3754</v>
      </c>
      <c r="P129" s="338"/>
      <c r="Q129" s="339"/>
      <c r="R129" s="340"/>
      <c r="S129" s="341"/>
      <c r="T129" s="337"/>
      <c r="U129" s="341">
        <f t="shared" ref="U129:U130" si="16">S129-X129</f>
        <v>0</v>
      </c>
      <c r="V129" s="341"/>
      <c r="W129" s="342"/>
      <c r="X129" s="343"/>
    </row>
    <row r="130">
      <c r="A130" s="371" t="s">
        <v>1738</v>
      </c>
      <c r="B130" s="83">
        <f>IFERROR(VLOOKUP(A130, 'Database Dapur'!C:D, 2, FALSE),"")</f>
        <v>35000</v>
      </c>
      <c r="C130" s="84">
        <f>D130*1000</f>
        <v>500</v>
      </c>
      <c r="D130" s="84">
        <v>0.5</v>
      </c>
      <c r="E130" s="85" t="str">
        <f>IFERROR(VLOOKUP(A130, 'Database Dapur'!C:F, 3, FALSE),"")</f>
        <v>500gr</v>
      </c>
      <c r="F130" s="10" t="s">
        <v>1482</v>
      </c>
      <c r="G130" s="86">
        <v>75.0</v>
      </c>
      <c r="H130" s="10" t="s">
        <v>56</v>
      </c>
      <c r="I130" s="85">
        <v>2885.0</v>
      </c>
      <c r="J130" s="208" t="s">
        <v>56</v>
      </c>
      <c r="K130" s="10" t="s">
        <v>57</v>
      </c>
      <c r="L130" s="87">
        <v>1000.0</v>
      </c>
      <c r="M130" s="96">
        <f t="array" ref="M130">IFERROR((_xlfn.XLOOKUP(TRIM(F130), TRIM('Database Dapur'!C:C), 'Database Dapur'!D:D)),"")</f>
        <v>44417</v>
      </c>
      <c r="N130" s="96">
        <f t="array" ref="N130">IFERROR((_xlfn.XLOOKUP(TRIM(F130), TRIM('Database Dapur'!C:C), 'Database Dapur'!D:D) / L130),"")*1000</f>
        <v>44417</v>
      </c>
      <c r="O130" s="124">
        <f t="array" ref="O130">IFERROR((_xlfn.XLOOKUP(TRIM(F130), TRIM('Database Dapur'!C:C), 'Database Dapur'!D:D) / L130) * G130, "")
</f>
        <v>3331.275</v>
      </c>
      <c r="P130" s="125">
        <f>O138/I130*C130</f>
        <v>23286.61612</v>
      </c>
      <c r="Q130" s="331">
        <f>B130-P130</f>
        <v>11713.38388</v>
      </c>
      <c r="R130" s="130">
        <f>(P130/B130)</f>
        <v>0.6653318891</v>
      </c>
      <c r="S130" s="132">
        <f>IFERROR(VLOOKUP(A130, 'Database Dapur'!C:D, 2, FALSE),"")</f>
        <v>35000</v>
      </c>
      <c r="T130" s="85" t="str">
        <f>IFERROR(VLOOKUP(A130, 'Database Dapur'!C:F, 3, FALSE),"")</f>
        <v>500gr</v>
      </c>
      <c r="U130" s="132">
        <f t="shared" si="16"/>
        <v>35000</v>
      </c>
      <c r="V130" s="132">
        <f>U130-P130</f>
        <v>11713.38388</v>
      </c>
      <c r="W130" s="134">
        <f>(P130/U130)</f>
        <v>0.6653318891</v>
      </c>
      <c r="X130" s="210"/>
    </row>
    <row r="131">
      <c r="A131" s="136"/>
      <c r="B131" s="137"/>
      <c r="C131" s="137"/>
      <c r="D131" s="137"/>
      <c r="E131" s="137"/>
      <c r="F131" s="10" t="s">
        <v>1702</v>
      </c>
      <c r="G131" s="86">
        <v>2250.0</v>
      </c>
      <c r="H131" s="10" t="s">
        <v>56</v>
      </c>
      <c r="I131" s="137"/>
      <c r="J131" s="137"/>
      <c r="K131" s="10" t="s">
        <v>57</v>
      </c>
      <c r="L131" s="87">
        <v>1000.0</v>
      </c>
      <c r="M131" s="96">
        <f t="array" ref="M131">IFERROR((_xlfn.XLOOKUP(TRIM(F131), TRIM('Database Dapur'!C:C), 'Database Dapur'!D:D)),"")</f>
        <v>41333.33333</v>
      </c>
      <c r="N131" s="96">
        <f t="array" ref="N131">IFERROR((_xlfn.XLOOKUP(TRIM(F131), TRIM('Database Dapur'!C:C), 'Database Dapur'!D:D) / L131),"")*1000</f>
        <v>41333.33333</v>
      </c>
      <c r="O131" s="124">
        <f t="array" ref="O131">IFERROR((_xlfn.XLOOKUP(TRIM(F131), TRIM('Database Dapur'!C:C), 'Database Dapur'!D:D) / L131) * G131, "")
</f>
        <v>93000</v>
      </c>
      <c r="P131" s="143"/>
      <c r="Q131" s="136"/>
      <c r="R131" s="137"/>
      <c r="S131" s="137"/>
      <c r="T131" s="137"/>
      <c r="U131" s="137"/>
      <c r="V131" s="137"/>
      <c r="W131" s="144"/>
      <c r="X131" s="145"/>
    </row>
    <row r="132">
      <c r="A132" s="136"/>
      <c r="B132" s="137"/>
      <c r="C132" s="137"/>
      <c r="D132" s="137"/>
      <c r="E132" s="137"/>
      <c r="F132" s="10" t="s">
        <v>2483</v>
      </c>
      <c r="G132" s="86">
        <v>225.0</v>
      </c>
      <c r="H132" s="10" t="s">
        <v>56</v>
      </c>
      <c r="I132" s="137"/>
      <c r="J132" s="137"/>
      <c r="K132" s="10" t="s">
        <v>57</v>
      </c>
      <c r="L132" s="87">
        <v>1000.0</v>
      </c>
      <c r="M132" s="96">
        <f t="array" ref="M132">IFERROR((_xlfn.XLOOKUP(TRIM(F132), TRIM('Database Dapur'!C:C), 'Database Dapur'!D:D)),"")</f>
        <v>37000</v>
      </c>
      <c r="N132" s="96">
        <f t="array" ref="N132">IFERROR((_xlfn.XLOOKUP(TRIM(F132), TRIM('Database Dapur'!C:C), 'Database Dapur'!D:D) / L132),"")*1000</f>
        <v>37000</v>
      </c>
      <c r="O132" s="124">
        <f t="array" ref="O132">IFERROR((_xlfn.XLOOKUP(TRIM(F132), TRIM('Database Dapur'!C:C), 'Database Dapur'!D:D) / L132) * G132, "")
</f>
        <v>8325</v>
      </c>
      <c r="P132" s="143"/>
      <c r="Q132" s="136"/>
      <c r="R132" s="137"/>
      <c r="S132" s="137"/>
      <c r="T132" s="137"/>
      <c r="U132" s="137"/>
      <c r="V132" s="137"/>
      <c r="W132" s="144"/>
      <c r="X132" s="145"/>
    </row>
    <row r="133">
      <c r="A133" s="136"/>
      <c r="B133" s="137"/>
      <c r="C133" s="137"/>
      <c r="D133" s="137"/>
      <c r="E133" s="137"/>
      <c r="F133" s="10" t="s">
        <v>2010</v>
      </c>
      <c r="G133" s="86">
        <v>375.0</v>
      </c>
      <c r="H133" s="10" t="s">
        <v>56</v>
      </c>
      <c r="I133" s="137"/>
      <c r="J133" s="137"/>
      <c r="K133" s="10" t="s">
        <v>57</v>
      </c>
      <c r="L133" s="87">
        <v>1000.0</v>
      </c>
      <c r="M133" s="96">
        <f t="array" ref="M133">IFERROR((_xlfn.XLOOKUP(TRIM(F133), TRIM('Database Dapur'!C:C), 'Database Dapur'!D:D)),"")</f>
        <v>50000</v>
      </c>
      <c r="N133" s="96">
        <f t="array" ref="N133">IFERROR((_xlfn.XLOOKUP(TRIM(F133), TRIM('Database Dapur'!C:C), 'Database Dapur'!D:D) / L133),"")*1000</f>
        <v>50000</v>
      </c>
      <c r="O133" s="124">
        <f t="array" ref="O133">IFERROR((_xlfn.XLOOKUP(TRIM(F133), TRIM('Database Dapur'!C:C), 'Database Dapur'!D:D) / L133) * G133, "")
</f>
        <v>18750</v>
      </c>
      <c r="P133" s="143"/>
      <c r="Q133" s="136"/>
      <c r="R133" s="137"/>
      <c r="S133" s="137"/>
      <c r="T133" s="137"/>
      <c r="U133" s="137"/>
      <c r="V133" s="137"/>
      <c r="W133" s="144"/>
      <c r="X133" s="145"/>
    </row>
    <row r="134">
      <c r="A134" s="136"/>
      <c r="B134" s="137"/>
      <c r="C134" s="137"/>
      <c r="D134" s="137"/>
      <c r="E134" s="137"/>
      <c r="F134" s="10" t="s">
        <v>2254</v>
      </c>
      <c r="G134" s="86">
        <v>75.0</v>
      </c>
      <c r="H134" s="10" t="s">
        <v>56</v>
      </c>
      <c r="I134" s="137"/>
      <c r="J134" s="137"/>
      <c r="K134" s="10" t="s">
        <v>57</v>
      </c>
      <c r="L134" s="87">
        <v>1000.0</v>
      </c>
      <c r="M134" s="96">
        <f t="array" ref="M134">IFERROR((_xlfn.XLOOKUP(TRIM(F134), TRIM('Database Dapur'!C:C), 'Database Dapur'!D:D)),"")</f>
        <v>88000</v>
      </c>
      <c r="N134" s="96">
        <f t="array" ref="N134">IFERROR((_xlfn.XLOOKUP(TRIM(F134), TRIM('Database Dapur'!C:C), 'Database Dapur'!D:D) / L134),"")*1000</f>
        <v>88000</v>
      </c>
      <c r="O134" s="124">
        <f t="array" ref="O134">IFERROR((_xlfn.XLOOKUP(TRIM(F134), TRIM('Database Dapur'!C:C), 'Database Dapur'!D:D) / L134) * G134, "")
</f>
        <v>6600</v>
      </c>
      <c r="P134" s="143"/>
      <c r="Q134" s="136"/>
      <c r="R134" s="137"/>
      <c r="S134" s="137"/>
      <c r="T134" s="137"/>
      <c r="U134" s="137"/>
      <c r="V134" s="137"/>
      <c r="W134" s="144"/>
      <c r="X134" s="145"/>
    </row>
    <row r="135">
      <c r="A135" s="136"/>
      <c r="B135" s="137"/>
      <c r="C135" s="137"/>
      <c r="D135" s="137"/>
      <c r="E135" s="137"/>
      <c r="F135" s="10" t="s">
        <v>386</v>
      </c>
      <c r="G135" s="86">
        <v>75.0</v>
      </c>
      <c r="H135" s="10" t="s">
        <v>56</v>
      </c>
      <c r="I135" s="137"/>
      <c r="J135" s="137"/>
      <c r="K135" s="10" t="s">
        <v>57</v>
      </c>
      <c r="L135" s="87">
        <v>1000.0</v>
      </c>
      <c r="M135" s="96">
        <f t="array" ref="M135">IFERROR((_xlfn.XLOOKUP(TRIM(F135), TRIM('Database Dapur'!C:C), 'Database Dapur'!D:D)),"")</f>
        <v>6100</v>
      </c>
      <c r="N135" s="96">
        <f t="array" ref="N135">IFERROR((_xlfn.XLOOKUP(TRIM(F135), TRIM('Database Dapur'!C:C), 'Database Dapur'!D:D) / L135),"")*1000</f>
        <v>6100</v>
      </c>
      <c r="O135" s="124">
        <f t="array" ref="O135">IFERROR((_xlfn.XLOOKUP(TRIM(F135), TRIM('Database Dapur'!C:C), 'Database Dapur'!D:D) / L135) * G135, "")
</f>
        <v>457.5</v>
      </c>
      <c r="P135" s="143"/>
      <c r="Q135" s="136"/>
      <c r="R135" s="137"/>
      <c r="S135" s="137"/>
      <c r="T135" s="137"/>
      <c r="U135" s="137"/>
      <c r="V135" s="137"/>
      <c r="W135" s="144"/>
      <c r="X135" s="145"/>
    </row>
    <row r="136">
      <c r="A136" s="136"/>
      <c r="B136" s="137"/>
      <c r="C136" s="137"/>
      <c r="D136" s="137"/>
      <c r="E136" s="137"/>
      <c r="F136" s="10" t="s">
        <v>2170</v>
      </c>
      <c r="G136" s="86">
        <v>150.0</v>
      </c>
      <c r="H136" s="10" t="s">
        <v>56</v>
      </c>
      <c r="I136" s="137"/>
      <c r="J136" s="137"/>
      <c r="K136" s="10" t="s">
        <v>57</v>
      </c>
      <c r="L136" s="87">
        <v>1000.0</v>
      </c>
      <c r="M136" s="96">
        <f t="array" ref="M136">IFERROR((_xlfn.XLOOKUP(TRIM(F136), TRIM('Database Dapur'!C:C), 'Database Dapur'!D:D)),"")</f>
        <v>26000</v>
      </c>
      <c r="N136" s="96">
        <f t="array" ref="N136">IFERROR((_xlfn.XLOOKUP(TRIM(F136), TRIM('Database Dapur'!C:C), 'Database Dapur'!D:D) / L136),"")*1000</f>
        <v>26000</v>
      </c>
      <c r="O136" s="124">
        <f t="array" ref="O136">IFERROR((_xlfn.XLOOKUP(TRIM(F136), TRIM('Database Dapur'!C:C), 'Database Dapur'!D:D) / L136) * G136, "")
</f>
        <v>3900</v>
      </c>
      <c r="P136" s="143"/>
      <c r="Q136" s="136"/>
      <c r="R136" s="137"/>
      <c r="S136" s="137"/>
      <c r="T136" s="137"/>
      <c r="U136" s="137"/>
      <c r="V136" s="137"/>
      <c r="W136" s="144"/>
      <c r="X136" s="145"/>
    </row>
    <row r="137">
      <c r="A137" s="66"/>
      <c r="B137" s="67"/>
      <c r="C137" s="67"/>
      <c r="D137" s="67"/>
      <c r="E137" s="67"/>
      <c r="F137" s="10" t="s">
        <v>815</v>
      </c>
      <c r="G137" s="86">
        <v>750.0</v>
      </c>
      <c r="H137" s="10" t="s">
        <v>56</v>
      </c>
      <c r="I137" s="67"/>
      <c r="J137" s="67"/>
      <c r="K137" s="10"/>
      <c r="L137" s="10"/>
      <c r="M137" s="96" t="str">
        <f t="array" ref="M137">IFERROR((_xlfn.XLOOKUP(TRIM(F137), TRIM('Database Dapur'!C:C), 'Database Dapur'!D:D)),"")</f>
        <v/>
      </c>
      <c r="N137" s="96">
        <f t="array" ref="N137">IFERROR((_xlfn.XLOOKUP(TRIM(F137), TRIM('Database Dapur'!C:C), 'Database Dapur'!D:D) / L137),"")*1000</f>
        <v>0</v>
      </c>
      <c r="O137" s="96" t="str">
        <f t="array" ref="O137">IFERROR((_xlfn.XLOOKUP(TRIM(F137), TRIM('Database Dapur'!C:C), 'Database Dapur'!D:D) / L137) * G137, "")
</f>
        <v/>
      </c>
      <c r="P137" s="75"/>
      <c r="Q137" s="66"/>
      <c r="R137" s="67"/>
      <c r="S137" s="67"/>
      <c r="T137" s="67"/>
      <c r="U137" s="67"/>
      <c r="V137" s="67"/>
      <c r="W137" s="183"/>
      <c r="X137" s="81"/>
    </row>
    <row r="138">
      <c r="A138" s="333"/>
      <c r="B138" s="334" t="str">
        <f>IFERROR(VLOOKUP(A138, 'Database Dapur'!C:D, 2, FALSE),"")</f>
        <v/>
      </c>
      <c r="C138" s="335" t="str">
        <f>IFERROR(VLOOKUP(#REF!, 'Database Dapur'!A:D, 3, FALSE),"")</f>
        <v/>
      </c>
      <c r="D138" s="335" t="str">
        <f>IFERROR(VLOOKUP(#REF!, 'Database Dapur'!B:E, 3, FALSE),"")</f>
        <v/>
      </c>
      <c r="E138" s="335" t="str">
        <f>IFERROR(VLOOKUP(A138, 'Database Dapur'!C:F, 3, FALSE),"")</f>
        <v/>
      </c>
      <c r="F138" s="336"/>
      <c r="G138" s="191">
        <f>SUM(G130:G137)</f>
        <v>3975</v>
      </c>
      <c r="H138" s="336"/>
      <c r="I138" s="337"/>
      <c r="J138" s="337"/>
      <c r="K138" s="336"/>
      <c r="L138" s="336"/>
      <c r="M138" s="194" t="str">
        <f t="array" ref="M138">IFERROR((_xlfn.XLOOKUP(TRIM(F138), TRIM('Database Dapur'!C:C), 'Database Dapur'!D:D)),"")</f>
        <v/>
      </c>
      <c r="N138" s="194">
        <f t="array" ref="N138">IFERROR((_xlfn.XLOOKUP(TRIM(F138), TRIM('Database Dapur'!C:C), 'Database Dapur'!D:D) / L138),"")*1000</f>
        <v>0</v>
      </c>
      <c r="O138" s="197">
        <f>SUM(O130:O137)</f>
        <v>134363.775</v>
      </c>
      <c r="P138" s="338"/>
      <c r="Q138" s="339"/>
      <c r="R138" s="340"/>
      <c r="S138" s="341"/>
      <c r="T138" s="337"/>
      <c r="U138" s="341">
        <f t="shared" ref="U138:U139" si="17">S138-X138</f>
        <v>0</v>
      </c>
      <c r="V138" s="341"/>
      <c r="W138" s="342"/>
      <c r="X138" s="343"/>
    </row>
    <row r="139">
      <c r="A139" s="82" t="s">
        <v>1921</v>
      </c>
      <c r="B139" s="83">
        <f>IFERROR(VLOOKUP(A139, 'Database Dapur'!C:D, 2, FALSE),"")</f>
        <v>22000</v>
      </c>
      <c r="C139" s="84">
        <f>D139*1000</f>
        <v>1000</v>
      </c>
      <c r="D139" s="84">
        <v>1.0</v>
      </c>
      <c r="E139" s="85" t="str">
        <f>IFERROR(VLOOKUP(A139, 'Database Dapur'!C:F, 3, FALSE),"")</f>
        <v>Ltr</v>
      </c>
      <c r="F139" s="10" t="s">
        <v>1482</v>
      </c>
      <c r="G139" s="86">
        <v>60.0</v>
      </c>
      <c r="H139" s="10" t="s">
        <v>56</v>
      </c>
      <c r="I139" s="85">
        <v>2000.0</v>
      </c>
      <c r="J139" s="208" t="s">
        <v>56</v>
      </c>
      <c r="K139" s="10" t="s">
        <v>57</v>
      </c>
      <c r="L139" s="87">
        <v>1000.0</v>
      </c>
      <c r="M139" s="96">
        <f t="array" ref="M139">IFERROR((_xlfn.XLOOKUP(TRIM(F139), TRIM('Database Dapur'!C:C), 'Database Dapur'!D:D)),"")</f>
        <v>44417</v>
      </c>
      <c r="N139" s="96">
        <f t="array" ref="N139">IFERROR((_xlfn.XLOOKUP(TRIM(F139), TRIM('Database Dapur'!C:C), 'Database Dapur'!D:D) / L139),"")*1000</f>
        <v>44417</v>
      </c>
      <c r="O139" s="124">
        <f t="array" ref="O139">IFERROR((_xlfn.XLOOKUP(TRIM(F139), TRIM('Database Dapur'!C:C), 'Database Dapur'!D:D) / L139) * G139, "")
</f>
        <v>2665.02</v>
      </c>
      <c r="P139" s="125">
        <f>O146/I139*C139</f>
        <v>9954.01</v>
      </c>
      <c r="Q139" s="128">
        <f>B139-P139</f>
        <v>12045.99</v>
      </c>
      <c r="R139" s="130">
        <f>(P139/B139)</f>
        <v>0.452455</v>
      </c>
      <c r="S139" s="132">
        <f>IFERROR(VLOOKUP(A139, 'Database Dapur'!C:D, 2, FALSE),"")</f>
        <v>22000</v>
      </c>
      <c r="T139" s="85" t="str">
        <f>IFERROR(VLOOKUP(A139, 'Database Dapur'!C:F, 3, FALSE),"")</f>
        <v>Ltr</v>
      </c>
      <c r="U139" s="132">
        <f t="shared" si="17"/>
        <v>22000</v>
      </c>
      <c r="V139" s="132">
        <f>U139-P139</f>
        <v>12045.99</v>
      </c>
      <c r="W139" s="134">
        <f>(P139/U139)</f>
        <v>0.452455</v>
      </c>
      <c r="X139" s="210"/>
    </row>
    <row r="140">
      <c r="A140" s="136"/>
      <c r="B140" s="137"/>
      <c r="C140" s="137"/>
      <c r="D140" s="137"/>
      <c r="E140" s="137"/>
      <c r="F140" s="10" t="s">
        <v>2254</v>
      </c>
      <c r="G140" s="86">
        <v>100.0</v>
      </c>
      <c r="H140" s="10" t="s">
        <v>56</v>
      </c>
      <c r="I140" s="137"/>
      <c r="J140" s="137"/>
      <c r="K140" s="10" t="s">
        <v>57</v>
      </c>
      <c r="L140" s="87">
        <v>1000.0</v>
      </c>
      <c r="M140" s="96">
        <f t="array" ref="M140">IFERROR((_xlfn.XLOOKUP(TRIM(F140), TRIM('Database Dapur'!C:C), 'Database Dapur'!D:D)),"")</f>
        <v>88000</v>
      </c>
      <c r="N140" s="96">
        <f t="array" ref="N140">IFERROR((_xlfn.XLOOKUP(TRIM(F140), TRIM('Database Dapur'!C:C), 'Database Dapur'!D:D) / L140),"")*1000</f>
        <v>88000</v>
      </c>
      <c r="O140" s="124">
        <f t="array" ref="O140">IFERROR((_xlfn.XLOOKUP(TRIM(F140), TRIM('Database Dapur'!C:C), 'Database Dapur'!D:D) / L140) * G140, "")
</f>
        <v>8800</v>
      </c>
      <c r="P140" s="143"/>
      <c r="Q140" s="136"/>
      <c r="R140" s="137"/>
      <c r="S140" s="137"/>
      <c r="T140" s="137"/>
      <c r="U140" s="137"/>
      <c r="V140" s="137"/>
      <c r="W140" s="144"/>
      <c r="X140" s="145"/>
    </row>
    <row r="141">
      <c r="A141" s="136"/>
      <c r="B141" s="137"/>
      <c r="C141" s="137"/>
      <c r="D141" s="137"/>
      <c r="E141" s="137"/>
      <c r="F141" s="10" t="s">
        <v>386</v>
      </c>
      <c r="G141" s="86">
        <v>70.0</v>
      </c>
      <c r="H141" s="10" t="s">
        <v>56</v>
      </c>
      <c r="I141" s="137"/>
      <c r="J141" s="137"/>
      <c r="K141" s="10" t="s">
        <v>57</v>
      </c>
      <c r="L141" s="87">
        <v>1000.0</v>
      </c>
      <c r="M141" s="96">
        <f t="array" ref="M141">IFERROR((_xlfn.XLOOKUP(TRIM(F141), TRIM('Database Dapur'!C:C), 'Database Dapur'!D:D)),"")</f>
        <v>6100</v>
      </c>
      <c r="N141" s="96">
        <f t="array" ref="N141">IFERROR((_xlfn.XLOOKUP(TRIM(F141), TRIM('Database Dapur'!C:C), 'Database Dapur'!D:D) / L141),"")*1000</f>
        <v>6100</v>
      </c>
      <c r="O141" s="124">
        <f t="array" ref="O141">IFERROR((_xlfn.XLOOKUP(TRIM(F141), TRIM('Database Dapur'!C:C), 'Database Dapur'!D:D) / L141) * G141, "")
</f>
        <v>427</v>
      </c>
      <c r="P141" s="143"/>
      <c r="Q141" s="136"/>
      <c r="R141" s="137"/>
      <c r="S141" s="137"/>
      <c r="T141" s="137"/>
      <c r="U141" s="137"/>
      <c r="V141" s="137"/>
      <c r="W141" s="144"/>
      <c r="X141" s="145"/>
    </row>
    <row r="142">
      <c r="A142" s="136"/>
      <c r="B142" s="137"/>
      <c r="C142" s="137"/>
      <c r="D142" s="137"/>
      <c r="E142" s="137"/>
      <c r="F142" s="10" t="s">
        <v>260</v>
      </c>
      <c r="G142" s="86">
        <v>30.0</v>
      </c>
      <c r="H142" s="10" t="s">
        <v>56</v>
      </c>
      <c r="I142" s="137"/>
      <c r="J142" s="137"/>
      <c r="K142" s="10" t="s">
        <v>57</v>
      </c>
      <c r="L142" s="87">
        <v>1000.0</v>
      </c>
      <c r="M142" s="96">
        <f t="array" ref="M142">IFERROR((_xlfn.XLOOKUP(TRIM(F142), TRIM('Database Dapur'!C:C), 'Database Dapur'!D:D)),"")</f>
        <v>17200</v>
      </c>
      <c r="N142" s="96">
        <f t="array" ref="N142">IFERROR((_xlfn.XLOOKUP(TRIM(F142), TRIM('Database Dapur'!C:C), 'Database Dapur'!D:D) / L142),"")*1000</f>
        <v>17200</v>
      </c>
      <c r="O142" s="124">
        <f t="array" ref="O142">IFERROR((_xlfn.XLOOKUP(TRIM(F142), TRIM('Database Dapur'!C:C), 'Database Dapur'!D:D) / L142) * G142, "")
</f>
        <v>516</v>
      </c>
      <c r="P142" s="143"/>
      <c r="Q142" s="136"/>
      <c r="R142" s="137"/>
      <c r="S142" s="137"/>
      <c r="T142" s="137"/>
      <c r="U142" s="137"/>
      <c r="V142" s="137"/>
      <c r="W142" s="144"/>
      <c r="X142" s="145"/>
    </row>
    <row r="143">
      <c r="A143" s="136"/>
      <c r="B143" s="137"/>
      <c r="C143" s="137"/>
      <c r="D143" s="137"/>
      <c r="E143" s="137"/>
      <c r="F143" s="10" t="s">
        <v>2230</v>
      </c>
      <c r="G143" s="86">
        <v>500.0</v>
      </c>
      <c r="H143" s="10" t="s">
        <v>56</v>
      </c>
      <c r="I143" s="137"/>
      <c r="J143" s="137"/>
      <c r="K143" s="10" t="s">
        <v>57</v>
      </c>
      <c r="L143" s="87">
        <v>1000.0</v>
      </c>
      <c r="M143" s="96">
        <f t="array" ref="M143">IFERROR((_xlfn.XLOOKUP(TRIM(F143), TRIM('Database Dapur'!C:C), 'Database Dapur'!D:D)),"")</f>
        <v>15000</v>
      </c>
      <c r="N143" s="96">
        <f t="array" ref="N143">IFERROR((_xlfn.XLOOKUP(TRIM(F143), TRIM('Database Dapur'!C:C), 'Database Dapur'!D:D) / L143),"")*1000</f>
        <v>15000</v>
      </c>
      <c r="O143" s="124">
        <f t="array" ref="O143">IFERROR((_xlfn.XLOOKUP(TRIM(F143), TRIM('Database Dapur'!C:C), 'Database Dapur'!D:D) / L143) * G143, "")
</f>
        <v>7500</v>
      </c>
      <c r="P143" s="143"/>
      <c r="Q143" s="136"/>
      <c r="R143" s="137"/>
      <c r="S143" s="137"/>
      <c r="T143" s="137"/>
      <c r="U143" s="137"/>
      <c r="V143" s="137"/>
      <c r="W143" s="144"/>
      <c r="X143" s="145"/>
    </row>
    <row r="144">
      <c r="A144" s="136"/>
      <c r="B144" s="137"/>
      <c r="C144" s="137"/>
      <c r="D144" s="137"/>
      <c r="E144" s="137"/>
      <c r="F144" s="10" t="s">
        <v>3622</v>
      </c>
      <c r="G144" s="86">
        <v>1000.0</v>
      </c>
      <c r="H144" s="10" t="s">
        <v>56</v>
      </c>
      <c r="I144" s="137"/>
      <c r="J144" s="137"/>
      <c r="K144" s="10"/>
      <c r="L144" s="10"/>
      <c r="M144" s="96" t="str">
        <f t="array" ref="M144">IFERROR((_xlfn.XLOOKUP(TRIM(F144), TRIM('Database Dapur'!C:C), 'Database Dapur'!D:D)),"")</f>
        <v/>
      </c>
      <c r="N144" s="96">
        <f t="array" ref="N144">IFERROR((_xlfn.XLOOKUP(TRIM(F144), TRIM('Database Dapur'!C:C), 'Database Dapur'!D:D) / L144),"")*1000</f>
        <v>0</v>
      </c>
      <c r="O144" s="96" t="str">
        <f t="array" ref="O144">IFERROR((_xlfn.XLOOKUP(TRIM(F144), TRIM('Database Dapur'!C:C), 'Database Dapur'!D:D) / L144) * G144, "")
</f>
        <v/>
      </c>
      <c r="P144" s="143"/>
      <c r="Q144" s="136"/>
      <c r="R144" s="137"/>
      <c r="S144" s="137"/>
      <c r="T144" s="137"/>
      <c r="U144" s="137"/>
      <c r="V144" s="137"/>
      <c r="W144" s="144"/>
      <c r="X144" s="145"/>
    </row>
    <row r="145">
      <c r="A145" s="66"/>
      <c r="B145" s="67"/>
      <c r="C145" s="67"/>
      <c r="D145" s="67"/>
      <c r="E145" s="67"/>
      <c r="F145" s="10" t="s">
        <v>815</v>
      </c>
      <c r="G145" s="86">
        <v>2000.0</v>
      </c>
      <c r="H145" s="10" t="s">
        <v>56</v>
      </c>
      <c r="I145" s="67"/>
      <c r="J145" s="67"/>
      <c r="K145" s="10"/>
      <c r="L145" s="10"/>
      <c r="M145" s="96" t="str">
        <f t="array" ref="M145">IFERROR((_xlfn.XLOOKUP(TRIM(F145), TRIM('Database Dapur'!C:C), 'Database Dapur'!D:D)),"")</f>
        <v/>
      </c>
      <c r="N145" s="96">
        <f t="array" ref="N145">IFERROR((_xlfn.XLOOKUP(TRIM(F145), TRIM('Database Dapur'!C:C), 'Database Dapur'!D:D) / L145),"")*1000</f>
        <v>0</v>
      </c>
      <c r="O145" s="96" t="str">
        <f t="array" ref="O145">IFERROR((_xlfn.XLOOKUP(TRIM(F145), TRIM('Database Dapur'!C:C), 'Database Dapur'!D:D) / L145) * G145, "")
</f>
        <v/>
      </c>
      <c r="P145" s="75"/>
      <c r="Q145" s="66"/>
      <c r="R145" s="67"/>
      <c r="S145" s="67"/>
      <c r="T145" s="67"/>
      <c r="U145" s="67"/>
      <c r="V145" s="67"/>
      <c r="W145" s="183"/>
      <c r="X145" s="81"/>
    </row>
    <row r="146">
      <c r="A146" s="333"/>
      <c r="B146" s="334" t="str">
        <f>IFERROR(VLOOKUP(A146, 'Database Dapur'!C:D, 2, FALSE),"")</f>
        <v/>
      </c>
      <c r="C146" s="335" t="str">
        <f>IFERROR(VLOOKUP(#REF!, 'Database Dapur'!A:D, 3, FALSE),"")</f>
        <v/>
      </c>
      <c r="D146" s="335" t="str">
        <f>IFERROR(VLOOKUP(#REF!, 'Database Dapur'!B:E, 3, FALSE),"")</f>
        <v/>
      </c>
      <c r="E146" s="335" t="str">
        <f>IFERROR(VLOOKUP(A146, 'Database Dapur'!C:F, 3, FALSE),"")</f>
        <v/>
      </c>
      <c r="F146" s="336"/>
      <c r="G146" s="191">
        <f>SUM(G139:G145)</f>
        <v>3760</v>
      </c>
      <c r="H146" s="336"/>
      <c r="I146" s="337"/>
      <c r="J146" s="337"/>
      <c r="K146" s="336"/>
      <c r="L146" s="336"/>
      <c r="M146" s="194" t="str">
        <f t="array" ref="M146">IFERROR((_xlfn.XLOOKUP(TRIM(F146), TRIM('Database Dapur'!C:C), 'Database Dapur'!D:D)),"")</f>
        <v/>
      </c>
      <c r="N146" s="194">
        <f t="array" ref="N146">IFERROR((_xlfn.XLOOKUP(TRIM(F146), TRIM('Database Dapur'!C:C), 'Database Dapur'!D:D) / L146),"")*1000</f>
        <v>0</v>
      </c>
      <c r="O146" s="197">
        <f>SUM(O139:O145)</f>
        <v>19908.02</v>
      </c>
      <c r="P146" s="338"/>
      <c r="Q146" s="339"/>
      <c r="R146" s="340"/>
      <c r="S146" s="341"/>
      <c r="T146" s="337"/>
      <c r="U146" s="341">
        <f t="shared" ref="U146:U147" si="18">S146-X146</f>
        <v>0</v>
      </c>
      <c r="V146" s="341"/>
      <c r="W146" s="342"/>
      <c r="X146" s="343"/>
    </row>
    <row r="147">
      <c r="A147" s="82" t="s">
        <v>1914</v>
      </c>
      <c r="B147" s="83">
        <f>IFERROR(VLOOKUP(A147, 'Database Dapur'!C:D, 2, FALSE),"")</f>
        <v>3000</v>
      </c>
      <c r="C147" s="84">
        <f>D147*110</f>
        <v>110</v>
      </c>
      <c r="D147" s="84">
        <v>1.0</v>
      </c>
      <c r="E147" s="85" t="str">
        <f>IFERROR(VLOOKUP(A147, 'Database Dapur'!C:F, 3, FALSE),"")</f>
        <v>Porsi</v>
      </c>
      <c r="F147" s="10" t="s">
        <v>386</v>
      </c>
      <c r="G147" s="86">
        <v>5.0</v>
      </c>
      <c r="H147" s="10" t="s">
        <v>56</v>
      </c>
      <c r="I147" s="84">
        <v>660.0</v>
      </c>
      <c r="J147" s="208" t="s">
        <v>56</v>
      </c>
      <c r="K147" s="10" t="s">
        <v>57</v>
      </c>
      <c r="L147" s="87">
        <v>1000.0</v>
      </c>
      <c r="M147" s="96">
        <f t="array" ref="M147">IFERROR((_xlfn.XLOOKUP(TRIM(F147), TRIM('Database Dapur'!C:C), 'Database Dapur'!D:D)),"")</f>
        <v>6100</v>
      </c>
      <c r="N147" s="96">
        <f t="array" ref="N147">IFERROR((_xlfn.XLOOKUP(TRIM(F147), TRIM('Database Dapur'!C:C), 'Database Dapur'!D:D) / L147),"")*1000</f>
        <v>6100</v>
      </c>
      <c r="O147" s="124">
        <f t="array" ref="O147">IFERROR((_xlfn.XLOOKUP(TRIM(F147), TRIM('Database Dapur'!C:C), 'Database Dapur'!D:D) / L147) * G147, "")
</f>
        <v>30.5</v>
      </c>
      <c r="P147" s="125">
        <f>O154/I147*C147</f>
        <v>1224.729545</v>
      </c>
      <c r="Q147" s="128">
        <f>B147-P147</f>
        <v>1775.270455</v>
      </c>
      <c r="R147" s="130">
        <f>(P147/B147)</f>
        <v>0.4082431818</v>
      </c>
      <c r="S147" s="132">
        <f>IFERROR(VLOOKUP(A147, 'Database Dapur'!C:D, 2, FALSE),"")</f>
        <v>3000</v>
      </c>
      <c r="T147" s="85" t="str">
        <f>IFERROR(VLOOKUP(A147, 'Database Dapur'!C:F, 3, FALSE),"")</f>
        <v>Porsi</v>
      </c>
      <c r="U147" s="132">
        <f t="shared" si="18"/>
        <v>3000</v>
      </c>
      <c r="V147" s="132">
        <f>U147-P147</f>
        <v>1775.270455</v>
      </c>
      <c r="W147" s="134">
        <f>(P147/U147)</f>
        <v>0.4082431818</v>
      </c>
      <c r="X147" s="210"/>
    </row>
    <row r="148">
      <c r="A148" s="136"/>
      <c r="B148" s="137"/>
      <c r="C148" s="137"/>
      <c r="D148" s="137"/>
      <c r="E148" s="137"/>
      <c r="F148" s="10" t="s">
        <v>3632</v>
      </c>
      <c r="G148" s="86">
        <v>66.0</v>
      </c>
      <c r="H148" s="10" t="s">
        <v>56</v>
      </c>
      <c r="I148" s="137"/>
      <c r="J148" s="137"/>
      <c r="K148" s="10" t="s">
        <v>57</v>
      </c>
      <c r="L148" s="87">
        <v>1000.0</v>
      </c>
      <c r="M148" s="96">
        <f t="array" ref="M148">IFERROR((_xlfn.XLOOKUP(TRIM(F148), TRIM('Database Dapur'!C:C), 'Database Dapur'!D:D)),"")</f>
        <v>12000</v>
      </c>
      <c r="N148" s="96">
        <f t="array" ref="N148">IFERROR((_xlfn.XLOOKUP(TRIM(F148), TRIM('Database Dapur'!C:C), 'Database Dapur'!D:D) / L148),"")*1000</f>
        <v>12000</v>
      </c>
      <c r="O148" s="124">
        <f t="array" ref="O148">IFERROR((_xlfn.XLOOKUP(TRIM(F148), TRIM('Database Dapur'!C:C), 'Database Dapur'!D:D) / L148) * G148, "")
</f>
        <v>792</v>
      </c>
      <c r="P148" s="143"/>
      <c r="Q148" s="136"/>
      <c r="R148" s="137"/>
      <c r="S148" s="137"/>
      <c r="T148" s="137"/>
      <c r="U148" s="137"/>
      <c r="V148" s="137"/>
      <c r="W148" s="144"/>
      <c r="X148" s="145"/>
    </row>
    <row r="149">
      <c r="A149" s="136"/>
      <c r="B149" s="137"/>
      <c r="C149" s="137"/>
      <c r="D149" s="137"/>
      <c r="E149" s="137"/>
      <c r="F149" s="10" t="s">
        <v>2105</v>
      </c>
      <c r="G149" s="86">
        <v>66.0</v>
      </c>
      <c r="H149" s="10" t="s">
        <v>56</v>
      </c>
      <c r="I149" s="137"/>
      <c r="J149" s="137"/>
      <c r="K149" s="10" t="s">
        <v>57</v>
      </c>
      <c r="L149" s="87">
        <v>1000.0</v>
      </c>
      <c r="M149" s="96">
        <f t="array" ref="M149">IFERROR((_xlfn.XLOOKUP(TRIM(F149), TRIM('Database Dapur'!C:C), 'Database Dapur'!D:D)),"")</f>
        <v>11200</v>
      </c>
      <c r="N149" s="96">
        <f t="array" ref="N149">IFERROR((_xlfn.XLOOKUP(TRIM(F149), TRIM('Database Dapur'!C:C), 'Database Dapur'!D:D) / L149),"")*1000</f>
        <v>11200</v>
      </c>
      <c r="O149" s="124">
        <f t="array" ref="O149">IFERROR((_xlfn.XLOOKUP(TRIM(F149), TRIM('Database Dapur'!C:C), 'Database Dapur'!D:D) / L149) * G149, "")
</f>
        <v>739.2</v>
      </c>
      <c r="P149" s="143"/>
      <c r="Q149" s="136"/>
      <c r="R149" s="137"/>
      <c r="S149" s="137"/>
      <c r="T149" s="137"/>
      <c r="U149" s="137"/>
      <c r="V149" s="137"/>
      <c r="W149" s="144"/>
      <c r="X149" s="145"/>
    </row>
    <row r="150">
      <c r="A150" s="136"/>
      <c r="B150" s="137"/>
      <c r="C150" s="137"/>
      <c r="D150" s="137"/>
      <c r="E150" s="137"/>
      <c r="F150" s="10" t="s">
        <v>2296</v>
      </c>
      <c r="G150" s="86">
        <v>70.0</v>
      </c>
      <c r="H150" s="10" t="s">
        <v>56</v>
      </c>
      <c r="I150" s="137"/>
      <c r="J150" s="137"/>
      <c r="K150" s="10" t="s">
        <v>7</v>
      </c>
      <c r="L150" s="87">
        <v>110.0</v>
      </c>
      <c r="M150" s="96">
        <f t="array" ref="M150">IFERROR((_xlfn.XLOOKUP(TRIM(F150), TRIM('Database Dapur'!C:C), 'Database Dapur'!D:D)),"")</f>
        <v>2000</v>
      </c>
      <c r="N150" s="96">
        <f t="array" ref="N150">IFERROR((_xlfn.XLOOKUP(TRIM(F150), TRIM('Database Dapur'!C:C), 'Database Dapur'!D:D) / L150),"")*1000</f>
        <v>18181.81818</v>
      </c>
      <c r="O150" s="124">
        <f t="array" ref="O150">IFERROR((_xlfn.XLOOKUP(TRIM(F150), TRIM('Database Dapur'!C:C), 'Database Dapur'!D:D) / L150) * G150, "")
</f>
        <v>1272.727273</v>
      </c>
      <c r="P150" s="143"/>
      <c r="Q150" s="136"/>
      <c r="R150" s="137"/>
      <c r="S150" s="137"/>
      <c r="T150" s="137"/>
      <c r="U150" s="137"/>
      <c r="V150" s="137"/>
      <c r="W150" s="144"/>
      <c r="X150" s="145"/>
    </row>
    <row r="151">
      <c r="A151" s="136"/>
      <c r="B151" s="137"/>
      <c r="C151" s="137"/>
      <c r="D151" s="137"/>
      <c r="E151" s="137"/>
      <c r="F151" s="10" t="s">
        <v>2134</v>
      </c>
      <c r="G151" s="86">
        <v>3.0</v>
      </c>
      <c r="H151" s="10" t="s">
        <v>56</v>
      </c>
      <c r="I151" s="137"/>
      <c r="J151" s="137"/>
      <c r="K151" s="10" t="s">
        <v>57</v>
      </c>
      <c r="L151" s="87">
        <v>1000.0</v>
      </c>
      <c r="M151" s="96">
        <f t="array" ref="M151">IFERROR((_xlfn.XLOOKUP(TRIM(F151), TRIM('Database Dapur'!C:C), 'Database Dapur'!D:D)),"")</f>
        <v>16650</v>
      </c>
      <c r="N151" s="96">
        <f t="array" ref="N151">IFERROR((_xlfn.XLOOKUP(TRIM(F151), TRIM('Database Dapur'!C:C), 'Database Dapur'!D:D) / L151),"")*1000</f>
        <v>16650</v>
      </c>
      <c r="O151" s="124">
        <f t="array" ref="O151">IFERROR((_xlfn.XLOOKUP(TRIM(F151), TRIM('Database Dapur'!C:C), 'Database Dapur'!D:D) / L151) * G151, "")
</f>
        <v>49.95</v>
      </c>
      <c r="P151" s="143"/>
      <c r="Q151" s="136"/>
      <c r="R151" s="137"/>
      <c r="S151" s="137"/>
      <c r="T151" s="137"/>
      <c r="U151" s="137"/>
      <c r="V151" s="137"/>
      <c r="W151" s="144"/>
      <c r="X151" s="145"/>
    </row>
    <row r="152">
      <c r="A152" s="136"/>
      <c r="B152" s="137"/>
      <c r="C152" s="137"/>
      <c r="D152" s="137"/>
      <c r="E152" s="137"/>
      <c r="F152" s="10" t="s">
        <v>2235</v>
      </c>
      <c r="G152" s="86">
        <v>2.0</v>
      </c>
      <c r="H152" s="10" t="s">
        <v>56</v>
      </c>
      <c r="I152" s="137"/>
      <c r="J152" s="137"/>
      <c r="K152" s="10" t="s">
        <v>57</v>
      </c>
      <c r="L152" s="87">
        <v>1000.0</v>
      </c>
      <c r="M152" s="96">
        <f t="array" ref="M152">IFERROR((_xlfn.XLOOKUP(TRIM(F152), TRIM('Database Dapur'!C:C), 'Database Dapur'!D:D)),"")</f>
        <v>12000</v>
      </c>
      <c r="N152" s="96">
        <f t="array" ref="N152">IFERROR((_xlfn.XLOOKUP(TRIM(F152), TRIM('Database Dapur'!C:C), 'Database Dapur'!D:D) / L152),"")*1000</f>
        <v>12000</v>
      </c>
      <c r="O152" s="124">
        <f t="array" ref="O152">IFERROR((_xlfn.XLOOKUP(TRIM(F152), TRIM('Database Dapur'!C:C), 'Database Dapur'!D:D) / L152) * G152, "")
</f>
        <v>24</v>
      </c>
      <c r="P152" s="143"/>
      <c r="Q152" s="136"/>
      <c r="R152" s="137"/>
      <c r="S152" s="137"/>
      <c r="T152" s="137"/>
      <c r="U152" s="137"/>
      <c r="V152" s="137"/>
      <c r="W152" s="144"/>
      <c r="X152" s="145"/>
    </row>
    <row r="153">
      <c r="A153" s="66"/>
      <c r="B153" s="67"/>
      <c r="C153" s="67"/>
      <c r="D153" s="67"/>
      <c r="E153" s="67"/>
      <c r="F153" s="10" t="s">
        <v>3639</v>
      </c>
      <c r="G153" s="86">
        <v>500.0</v>
      </c>
      <c r="H153" s="10" t="s">
        <v>56</v>
      </c>
      <c r="I153" s="67"/>
      <c r="J153" s="67"/>
      <c r="K153" s="10" t="s">
        <v>57</v>
      </c>
      <c r="L153" s="87">
        <v>1000.0</v>
      </c>
      <c r="M153" s="96">
        <f t="array" ref="M153">IFERROR((_xlfn.XLOOKUP(TRIM(F153), TRIM('Database Dapur'!C:C), 'Database Dapur'!D:D)),"")</f>
        <v>8880</v>
      </c>
      <c r="N153" s="96">
        <f t="array" ref="N153">IFERROR((_xlfn.XLOOKUP(TRIM(F153), TRIM('Database Dapur'!C:C), 'Database Dapur'!D:D) / L153),"")*1000</f>
        <v>8880</v>
      </c>
      <c r="O153" s="124">
        <f t="array" ref="O153">IFERROR((_xlfn.XLOOKUP(TRIM(F153), TRIM('Database Dapur'!C:C), 'Database Dapur'!D:D) / L153) * G153, "")
</f>
        <v>4440</v>
      </c>
      <c r="P153" s="75"/>
      <c r="Q153" s="410"/>
      <c r="R153" s="411"/>
      <c r="S153" s="411"/>
      <c r="T153" s="411"/>
      <c r="U153" s="411"/>
      <c r="V153" s="411"/>
      <c r="W153" s="412"/>
      <c r="X153" s="413"/>
    </row>
    <row r="154">
      <c r="A154" s="414"/>
      <c r="B154" s="415" t="str">
        <f>IFERROR(VLOOKUP(A154, 'Database Dapur'!C:D, 2, FALSE),"")</f>
        <v/>
      </c>
      <c r="C154" s="416"/>
      <c r="D154" s="416" t="str">
        <f>IFERROR(VLOOKUP(#REF!, 'Database Dapur'!B:E, 3, FALSE),"")</f>
        <v/>
      </c>
      <c r="E154" s="416" t="str">
        <f>IFERROR(VLOOKUP(A154, 'Database Dapur'!C:F, 3, FALSE),"")</f>
        <v/>
      </c>
      <c r="F154" s="417"/>
      <c r="G154" s="418">
        <f>SUM(G147:G153)</f>
        <v>712</v>
      </c>
      <c r="H154" s="417"/>
      <c r="I154" s="419"/>
      <c r="J154" s="419"/>
      <c r="K154" s="417"/>
      <c r="L154" s="417"/>
      <c r="M154" s="194" t="str">
        <f t="array" ref="M154">IFERROR((_xlfn.XLOOKUP(TRIM(F154), TRIM('Database Dapur'!C:C), 'Database Dapur'!D:D)),"")</f>
        <v/>
      </c>
      <c r="N154" s="194">
        <f t="array" ref="N154">IFERROR((_xlfn.XLOOKUP(TRIM(F154), TRIM('Database Dapur'!C:C), 'Database Dapur'!D:D) / L154),"")*1000</f>
        <v>0</v>
      </c>
      <c r="O154" s="420">
        <f>SUM(O147:O153)</f>
        <v>7348.377273</v>
      </c>
      <c r="P154" s="421"/>
      <c r="Q154" s="422"/>
      <c r="R154" s="422"/>
      <c r="S154" s="423"/>
      <c r="T154" s="423"/>
      <c r="U154" s="423"/>
      <c r="V154" s="423"/>
      <c r="W154" s="424"/>
      <c r="X154" s="425"/>
    </row>
    <row r="155">
      <c r="A155" s="15"/>
      <c r="B155" s="16"/>
      <c r="C155" s="15"/>
      <c r="D155" s="15"/>
      <c r="E155" s="15"/>
      <c r="F155" s="3"/>
      <c r="G155" s="18"/>
      <c r="H155" s="3"/>
      <c r="I155" s="19"/>
      <c r="J155" s="19"/>
      <c r="K155" s="3"/>
      <c r="L155" s="3"/>
      <c r="M155" s="20"/>
      <c r="N155" s="20"/>
      <c r="O155" s="20"/>
      <c r="P155" s="21"/>
      <c r="Q155" s="22"/>
      <c r="R155" s="22"/>
      <c r="S155" s="19"/>
      <c r="T155" s="19"/>
      <c r="U155" s="19"/>
      <c r="V155" s="19"/>
      <c r="W155" s="26"/>
      <c r="X155" s="28"/>
    </row>
    <row r="156">
      <c r="A156" s="15"/>
      <c r="B156" s="16"/>
      <c r="C156" s="15"/>
      <c r="D156" s="15"/>
      <c r="E156" s="15"/>
      <c r="F156" s="3"/>
      <c r="G156" s="18"/>
      <c r="H156" s="3"/>
      <c r="I156" s="19"/>
      <c r="J156" s="19"/>
      <c r="K156" s="3"/>
      <c r="L156" s="3"/>
      <c r="M156" s="20"/>
      <c r="N156" s="20"/>
      <c r="O156" s="20"/>
      <c r="P156" s="21"/>
      <c r="Q156" s="22"/>
      <c r="R156" s="22"/>
      <c r="S156" s="19"/>
      <c r="T156" s="19"/>
      <c r="U156" s="19"/>
      <c r="V156" s="19"/>
      <c r="W156" s="26"/>
      <c r="X156" s="28"/>
    </row>
    <row r="157">
      <c r="A157" s="15"/>
      <c r="B157" s="16"/>
      <c r="C157" s="15"/>
      <c r="D157" s="15"/>
      <c r="E157" s="15"/>
      <c r="F157" s="3"/>
      <c r="G157" s="18"/>
      <c r="H157" s="3"/>
      <c r="I157" s="19"/>
      <c r="J157" s="19"/>
      <c r="K157" s="3"/>
      <c r="L157" s="3"/>
      <c r="M157" s="20"/>
      <c r="N157" s="20"/>
      <c r="O157" s="20"/>
      <c r="P157" s="21"/>
      <c r="Q157" s="22"/>
      <c r="R157" s="22"/>
      <c r="S157" s="19"/>
      <c r="T157" s="19"/>
      <c r="U157" s="19"/>
      <c r="V157" s="19"/>
      <c r="W157" s="26"/>
      <c r="X157" s="28"/>
    </row>
    <row r="158">
      <c r="A158" s="15"/>
      <c r="B158" s="16"/>
      <c r="C158" s="15"/>
      <c r="D158" s="15"/>
      <c r="E158" s="15"/>
      <c r="F158" s="3"/>
      <c r="G158" s="18"/>
      <c r="H158" s="3"/>
      <c r="I158" s="19"/>
      <c r="J158" s="19"/>
      <c r="K158" s="3"/>
      <c r="L158" s="3"/>
      <c r="M158" s="20"/>
      <c r="N158" s="20"/>
      <c r="O158" s="20"/>
      <c r="P158" s="21"/>
      <c r="Q158" s="22"/>
      <c r="R158" s="22"/>
      <c r="S158" s="19"/>
      <c r="T158" s="19"/>
      <c r="U158" s="19"/>
      <c r="V158" s="19"/>
      <c r="W158" s="26"/>
      <c r="X158" s="28"/>
    </row>
    <row r="159">
      <c r="A159" s="15"/>
      <c r="B159" s="16"/>
      <c r="C159" s="15"/>
      <c r="D159" s="15"/>
      <c r="E159" s="15"/>
      <c r="F159" s="3"/>
      <c r="G159" s="426"/>
      <c r="H159" s="3"/>
      <c r="I159" s="19"/>
      <c r="J159" s="19"/>
      <c r="K159" s="3"/>
      <c r="L159" s="3"/>
      <c r="M159" s="20"/>
      <c r="N159" s="20"/>
      <c r="O159" s="20"/>
      <c r="P159" s="21"/>
      <c r="Q159" s="22"/>
      <c r="R159" s="22"/>
      <c r="S159" s="19"/>
      <c r="T159" s="19"/>
      <c r="U159" s="19"/>
      <c r="V159" s="19"/>
      <c r="W159" s="26"/>
      <c r="X159" s="28"/>
    </row>
    <row r="160">
      <c r="A160" s="15"/>
      <c r="B160" s="16"/>
      <c r="C160" s="15"/>
      <c r="D160" s="15"/>
      <c r="E160" s="15"/>
      <c r="F160" s="3"/>
      <c r="G160" s="426"/>
      <c r="H160" s="3"/>
      <c r="I160" s="19"/>
      <c r="J160" s="19"/>
      <c r="K160" s="3"/>
      <c r="L160" s="3"/>
      <c r="M160" s="20"/>
      <c r="N160" s="20"/>
      <c r="O160" s="20"/>
      <c r="P160" s="21"/>
      <c r="Q160" s="22"/>
      <c r="R160" s="22"/>
      <c r="S160" s="19"/>
      <c r="T160" s="19"/>
      <c r="U160" s="19"/>
      <c r="V160" s="19"/>
      <c r="W160" s="26"/>
      <c r="X160" s="28"/>
    </row>
    <row r="161">
      <c r="A161" s="15"/>
      <c r="B161" s="16"/>
      <c r="C161" s="15"/>
      <c r="D161" s="15"/>
      <c r="E161" s="15"/>
      <c r="F161" s="3"/>
      <c r="G161" s="426"/>
      <c r="H161" s="3"/>
      <c r="I161" s="19"/>
      <c r="J161" s="19"/>
      <c r="K161" s="3"/>
      <c r="L161" s="3"/>
      <c r="M161" s="20"/>
      <c r="N161" s="20"/>
      <c r="O161" s="20"/>
      <c r="P161" s="21"/>
      <c r="Q161" s="22"/>
      <c r="R161" s="22"/>
      <c r="S161" s="19"/>
      <c r="T161" s="19"/>
      <c r="U161" s="19"/>
      <c r="V161" s="19"/>
      <c r="W161" s="26"/>
      <c r="X161" s="28"/>
    </row>
    <row r="162">
      <c r="A162" s="15"/>
      <c r="B162" s="16"/>
      <c r="C162" s="15"/>
      <c r="D162" s="15"/>
      <c r="E162" s="15"/>
      <c r="F162" s="3"/>
      <c r="G162" s="18"/>
      <c r="H162" s="3"/>
      <c r="I162" s="19"/>
      <c r="J162" s="19"/>
      <c r="K162" s="3"/>
      <c r="L162" s="3"/>
      <c r="M162" s="20"/>
      <c r="N162" s="20"/>
      <c r="O162" s="20"/>
      <c r="P162" s="21"/>
      <c r="Q162" s="22"/>
      <c r="R162" s="22"/>
      <c r="S162" s="19"/>
      <c r="T162" s="19"/>
      <c r="U162" s="19"/>
      <c r="V162" s="19"/>
      <c r="W162" s="26"/>
      <c r="X162" s="28"/>
    </row>
    <row r="163">
      <c r="A163" s="15"/>
      <c r="B163" s="16"/>
      <c r="C163" s="15"/>
      <c r="D163" s="15"/>
      <c r="E163" s="15"/>
      <c r="F163" s="3"/>
      <c r="G163" s="18"/>
      <c r="H163" s="3"/>
      <c r="I163" s="19"/>
      <c r="J163" s="19"/>
      <c r="K163" s="3"/>
      <c r="L163" s="3"/>
      <c r="M163" s="20"/>
      <c r="N163" s="20"/>
      <c r="O163" s="20"/>
      <c r="P163" s="21"/>
      <c r="Q163" s="22"/>
      <c r="R163" s="22"/>
      <c r="S163" s="19"/>
      <c r="T163" s="19"/>
      <c r="U163" s="19"/>
      <c r="V163" s="19"/>
      <c r="W163" s="26"/>
      <c r="X163" s="28"/>
    </row>
    <row r="164">
      <c r="A164" s="15"/>
      <c r="B164" s="16"/>
      <c r="C164" s="15"/>
      <c r="D164" s="15"/>
      <c r="E164" s="15"/>
      <c r="F164" s="3"/>
      <c r="G164" s="18"/>
      <c r="H164" s="3"/>
      <c r="I164" s="19"/>
      <c r="J164" s="19"/>
      <c r="K164" s="3"/>
      <c r="L164" s="3"/>
      <c r="M164" s="20"/>
      <c r="N164" s="20"/>
      <c r="O164" s="20"/>
      <c r="P164" s="21"/>
      <c r="Q164" s="22"/>
      <c r="R164" s="22"/>
      <c r="S164" s="19"/>
      <c r="T164" s="19"/>
      <c r="U164" s="19"/>
      <c r="V164" s="19"/>
      <c r="W164" s="26"/>
      <c r="X164" s="28"/>
    </row>
    <row r="165">
      <c r="A165" s="15"/>
      <c r="B165" s="16"/>
      <c r="C165" s="15"/>
      <c r="D165" s="15"/>
      <c r="E165" s="15"/>
      <c r="F165" s="3"/>
      <c r="G165" s="18"/>
      <c r="H165" s="3"/>
      <c r="I165" s="19"/>
      <c r="J165" s="19"/>
      <c r="K165" s="3"/>
      <c r="L165" s="3"/>
      <c r="M165" s="20"/>
      <c r="N165" s="20"/>
      <c r="O165" s="20"/>
      <c r="P165" s="21"/>
      <c r="Q165" s="22"/>
      <c r="R165" s="22"/>
      <c r="S165" s="19"/>
      <c r="T165" s="19"/>
      <c r="U165" s="19"/>
      <c r="V165" s="19"/>
      <c r="W165" s="26"/>
      <c r="X165" s="28"/>
    </row>
    <row r="166">
      <c r="A166" s="15"/>
      <c r="B166" s="16"/>
      <c r="C166" s="15"/>
      <c r="D166" s="15"/>
      <c r="E166" s="15"/>
      <c r="F166" s="3"/>
      <c r="G166" s="18"/>
      <c r="H166" s="3"/>
      <c r="I166" s="19"/>
      <c r="J166" s="19"/>
      <c r="K166" s="3"/>
      <c r="L166" s="3"/>
      <c r="M166" s="20"/>
      <c r="N166" s="20"/>
      <c r="O166" s="20"/>
      <c r="P166" s="21"/>
      <c r="Q166" s="22"/>
      <c r="R166" s="22"/>
      <c r="S166" s="19"/>
      <c r="T166" s="19"/>
      <c r="U166" s="19"/>
      <c r="V166" s="19"/>
      <c r="W166" s="26"/>
      <c r="X166" s="28"/>
    </row>
    <row r="167">
      <c r="A167" s="15"/>
      <c r="B167" s="16"/>
      <c r="C167" s="15"/>
      <c r="D167" s="15"/>
      <c r="E167" s="15"/>
      <c r="F167" s="3"/>
      <c r="G167" s="18"/>
      <c r="H167" s="3"/>
      <c r="I167" s="19"/>
      <c r="J167" s="19"/>
      <c r="K167" s="3"/>
      <c r="L167" s="3"/>
      <c r="M167" s="20"/>
      <c r="N167" s="20"/>
      <c r="O167" s="20"/>
      <c r="P167" s="21"/>
      <c r="Q167" s="22"/>
      <c r="R167" s="22"/>
      <c r="S167" s="19"/>
      <c r="T167" s="19"/>
      <c r="U167" s="19"/>
      <c r="V167" s="19"/>
      <c r="W167" s="26"/>
      <c r="X167" s="28"/>
    </row>
    <row r="168">
      <c r="A168" s="15"/>
      <c r="B168" s="16"/>
      <c r="C168" s="15"/>
      <c r="D168" s="15"/>
      <c r="E168" s="15"/>
      <c r="F168" s="3"/>
      <c r="G168" s="18"/>
      <c r="H168" s="3"/>
      <c r="I168" s="19"/>
      <c r="J168" s="19"/>
      <c r="K168" s="3"/>
      <c r="M168" s="20"/>
      <c r="N168" s="20"/>
      <c r="O168" s="20"/>
      <c r="P168" s="21"/>
      <c r="Q168" s="22"/>
      <c r="R168" s="22"/>
      <c r="S168" s="19"/>
      <c r="T168" s="19"/>
      <c r="U168" s="19"/>
      <c r="V168" s="19"/>
      <c r="W168" s="26"/>
      <c r="X168" s="28"/>
    </row>
    <row r="169">
      <c r="A169" s="15"/>
      <c r="B169" s="16"/>
      <c r="C169" s="15"/>
      <c r="D169" s="15"/>
      <c r="E169" s="15"/>
      <c r="F169" s="3"/>
      <c r="G169" s="18"/>
      <c r="H169" s="3"/>
      <c r="I169" s="19"/>
      <c r="J169" s="19"/>
      <c r="K169" s="3"/>
      <c r="L169" s="3"/>
      <c r="M169" s="20"/>
      <c r="N169" s="20"/>
      <c r="O169" s="20"/>
      <c r="P169" s="21"/>
      <c r="Q169" s="22"/>
      <c r="R169" s="22"/>
      <c r="S169" s="19"/>
      <c r="T169" s="19"/>
      <c r="U169" s="19"/>
      <c r="V169" s="19"/>
      <c r="W169" s="26"/>
      <c r="X169" s="28"/>
    </row>
    <row r="170">
      <c r="A170" s="15"/>
      <c r="B170" s="16"/>
      <c r="C170" s="15"/>
      <c r="D170" s="15"/>
      <c r="E170" s="15"/>
      <c r="F170" s="3"/>
      <c r="G170" s="18"/>
      <c r="H170" s="3"/>
      <c r="I170" s="19"/>
      <c r="J170" s="19"/>
      <c r="K170" s="3"/>
      <c r="L170" s="3"/>
      <c r="M170" s="20"/>
      <c r="N170" s="20"/>
      <c r="O170" s="20"/>
      <c r="P170" s="21"/>
      <c r="Q170" s="22"/>
      <c r="R170" s="22"/>
      <c r="S170" s="19"/>
      <c r="T170" s="19"/>
      <c r="U170" s="19"/>
      <c r="V170" s="19"/>
      <c r="W170" s="26"/>
      <c r="X170" s="28"/>
    </row>
    <row r="171">
      <c r="A171" s="15"/>
      <c r="B171" s="16"/>
      <c r="C171" s="15"/>
      <c r="D171" s="15"/>
      <c r="E171" s="15"/>
      <c r="F171" s="3"/>
      <c r="G171" s="18"/>
      <c r="H171" s="3"/>
      <c r="I171" s="19"/>
      <c r="J171" s="19"/>
      <c r="K171" s="3"/>
      <c r="L171" s="3"/>
      <c r="M171" s="20"/>
      <c r="N171" s="20"/>
      <c r="O171" s="20"/>
      <c r="P171" s="21"/>
      <c r="Q171" s="22"/>
      <c r="R171" s="22"/>
      <c r="S171" s="19"/>
      <c r="T171" s="19"/>
      <c r="U171" s="19"/>
      <c r="V171" s="19"/>
      <c r="W171" s="26"/>
      <c r="X171" s="28"/>
    </row>
    <row r="172">
      <c r="A172" s="15"/>
      <c r="B172" s="16"/>
      <c r="C172" s="15"/>
      <c r="D172" s="15"/>
      <c r="E172" s="15"/>
      <c r="F172" s="3"/>
      <c r="G172" s="18"/>
      <c r="H172" s="3"/>
      <c r="I172" s="19"/>
      <c r="J172" s="19"/>
      <c r="K172" s="3"/>
      <c r="L172" s="3"/>
      <c r="M172" s="20"/>
      <c r="N172" s="20"/>
      <c r="O172" s="20"/>
      <c r="P172" s="21"/>
      <c r="Q172" s="22"/>
      <c r="R172" s="22"/>
      <c r="S172" s="19"/>
      <c r="T172" s="19"/>
      <c r="U172" s="19"/>
      <c r="V172" s="19"/>
      <c r="W172" s="26"/>
      <c r="X172" s="28"/>
    </row>
    <row r="173">
      <c r="A173" s="15"/>
      <c r="B173" s="16"/>
      <c r="C173" s="15"/>
      <c r="D173" s="15"/>
      <c r="E173" s="15"/>
      <c r="F173" s="3"/>
      <c r="G173" s="18"/>
      <c r="H173" s="3"/>
      <c r="I173" s="19"/>
      <c r="J173" s="19"/>
      <c r="K173" s="3"/>
      <c r="L173" s="3"/>
      <c r="M173" s="20"/>
      <c r="N173" s="20"/>
      <c r="O173" s="20"/>
      <c r="P173" s="21"/>
      <c r="Q173" s="22"/>
      <c r="R173" s="22"/>
      <c r="S173" s="19"/>
      <c r="T173" s="19"/>
      <c r="U173" s="19"/>
      <c r="V173" s="19"/>
      <c r="W173" s="26"/>
      <c r="X173" s="28"/>
    </row>
    <row r="174">
      <c r="A174" s="15"/>
      <c r="B174" s="16"/>
      <c r="C174" s="15"/>
      <c r="D174" s="15"/>
      <c r="E174" s="15"/>
      <c r="F174" s="3"/>
      <c r="G174" s="18"/>
      <c r="H174" s="3"/>
      <c r="I174" s="19"/>
      <c r="J174" s="19"/>
      <c r="K174" s="3"/>
      <c r="L174" s="3"/>
      <c r="M174" s="20"/>
      <c r="N174" s="20"/>
      <c r="O174" s="20"/>
      <c r="P174" s="21"/>
      <c r="Q174" s="22"/>
      <c r="R174" s="22"/>
      <c r="S174" s="19"/>
      <c r="T174" s="19"/>
      <c r="U174" s="19"/>
      <c r="V174" s="19"/>
      <c r="W174" s="26"/>
      <c r="X174" s="28"/>
    </row>
    <row r="175">
      <c r="A175" s="15"/>
      <c r="B175" s="16"/>
      <c r="C175" s="15"/>
      <c r="D175" s="15"/>
      <c r="E175" s="15"/>
      <c r="F175" s="3"/>
      <c r="G175" s="18"/>
      <c r="H175" s="3"/>
      <c r="I175" s="19"/>
      <c r="J175" s="19"/>
      <c r="K175" s="3"/>
      <c r="L175" s="3"/>
      <c r="M175" s="20"/>
      <c r="N175" s="20"/>
      <c r="O175" s="20"/>
      <c r="P175" s="21"/>
      <c r="Q175" s="22"/>
      <c r="R175" s="22"/>
      <c r="S175" s="19"/>
      <c r="T175" s="19"/>
      <c r="U175" s="19"/>
      <c r="V175" s="19"/>
      <c r="W175" s="26"/>
      <c r="X175" s="28"/>
    </row>
    <row r="176">
      <c r="A176" s="15"/>
      <c r="B176" s="16"/>
      <c r="C176" s="15"/>
      <c r="D176" s="15"/>
      <c r="E176" s="15"/>
      <c r="F176" s="3"/>
      <c r="G176" s="18"/>
      <c r="H176" s="3"/>
      <c r="I176" s="19"/>
      <c r="J176" s="19"/>
      <c r="K176" s="3"/>
      <c r="L176" s="3"/>
      <c r="M176" s="20"/>
      <c r="N176" s="20"/>
      <c r="O176" s="20"/>
      <c r="P176" s="21"/>
      <c r="Q176" s="22"/>
      <c r="R176" s="22"/>
      <c r="S176" s="19"/>
      <c r="T176" s="19"/>
      <c r="U176" s="19"/>
      <c r="V176" s="19"/>
      <c r="W176" s="26"/>
      <c r="X176" s="28"/>
    </row>
    <row r="177">
      <c r="A177" s="15"/>
      <c r="B177" s="16"/>
      <c r="C177" s="15"/>
      <c r="D177" s="15"/>
      <c r="E177" s="15"/>
      <c r="F177" s="3"/>
      <c r="G177" s="18"/>
      <c r="H177" s="3"/>
      <c r="I177" s="19"/>
      <c r="J177" s="19"/>
      <c r="K177" s="3"/>
      <c r="L177" s="3"/>
      <c r="M177" s="20"/>
      <c r="N177" s="20"/>
      <c r="O177" s="20"/>
      <c r="P177" s="21"/>
      <c r="Q177" s="22"/>
      <c r="R177" s="22"/>
      <c r="S177" s="19"/>
      <c r="T177" s="19"/>
      <c r="U177" s="19"/>
      <c r="V177" s="19"/>
      <c r="W177" s="26"/>
      <c r="X177" s="28"/>
    </row>
    <row r="178">
      <c r="A178" s="15"/>
      <c r="B178" s="16"/>
      <c r="C178" s="15"/>
      <c r="D178" s="15"/>
      <c r="E178" s="15"/>
      <c r="F178" s="3"/>
      <c r="G178" s="18"/>
      <c r="H178" s="3"/>
      <c r="I178" s="19"/>
      <c r="J178" s="19"/>
      <c r="K178" s="3"/>
      <c r="L178" s="3"/>
      <c r="M178" s="20"/>
      <c r="N178" s="20"/>
      <c r="O178" s="20"/>
      <c r="P178" s="21"/>
      <c r="Q178" s="22"/>
      <c r="R178" s="22"/>
      <c r="S178" s="19"/>
      <c r="T178" s="19"/>
      <c r="U178" s="19"/>
      <c r="V178" s="19"/>
      <c r="W178" s="26"/>
      <c r="X178" s="28"/>
    </row>
    <row r="179">
      <c r="A179" s="15"/>
      <c r="B179" s="16"/>
      <c r="C179" s="15"/>
      <c r="D179" s="15"/>
      <c r="E179" s="15"/>
      <c r="F179" s="3"/>
      <c r="G179" s="18"/>
      <c r="H179" s="3"/>
      <c r="I179" s="19"/>
      <c r="J179" s="19"/>
      <c r="K179" s="3"/>
      <c r="L179" s="3"/>
      <c r="M179" s="20"/>
      <c r="N179" s="20"/>
      <c r="O179" s="20"/>
      <c r="P179" s="21"/>
      <c r="Q179" s="22"/>
      <c r="R179" s="22"/>
      <c r="S179" s="19"/>
      <c r="T179" s="19"/>
      <c r="U179" s="19"/>
      <c r="V179" s="19"/>
      <c r="W179" s="26"/>
      <c r="X179" s="28"/>
    </row>
    <row r="180">
      <c r="A180" s="15"/>
      <c r="B180" s="16"/>
      <c r="C180" s="15"/>
      <c r="D180" s="15"/>
      <c r="E180" s="15"/>
      <c r="F180" s="3"/>
      <c r="G180" s="18"/>
      <c r="H180" s="3"/>
      <c r="I180" s="19"/>
      <c r="J180" s="19"/>
      <c r="K180" s="3"/>
      <c r="L180" s="3"/>
      <c r="M180" s="20"/>
      <c r="N180" s="20"/>
      <c r="O180" s="20"/>
      <c r="P180" s="21"/>
      <c r="Q180" s="22"/>
      <c r="R180" s="22"/>
      <c r="S180" s="19"/>
      <c r="T180" s="19"/>
      <c r="U180" s="19"/>
      <c r="V180" s="19"/>
      <c r="W180" s="26"/>
      <c r="X180" s="28"/>
    </row>
    <row r="181">
      <c r="A181" s="15"/>
      <c r="B181" s="16"/>
      <c r="C181" s="15"/>
      <c r="D181" s="15"/>
      <c r="E181" s="15"/>
      <c r="F181" s="3"/>
      <c r="G181" s="18"/>
      <c r="H181" s="3"/>
      <c r="I181" s="19"/>
      <c r="J181" s="19"/>
      <c r="K181" s="3"/>
      <c r="L181" s="3"/>
      <c r="M181" s="20"/>
      <c r="N181" s="20"/>
      <c r="O181" s="20"/>
      <c r="P181" s="21"/>
      <c r="Q181" s="22"/>
      <c r="R181" s="22"/>
      <c r="S181" s="19"/>
      <c r="T181" s="19"/>
      <c r="U181" s="19"/>
      <c r="V181" s="19"/>
      <c r="W181" s="26"/>
      <c r="X181" s="28"/>
    </row>
    <row r="182">
      <c r="A182" s="15"/>
      <c r="B182" s="16"/>
      <c r="C182" s="15"/>
      <c r="D182" s="15"/>
      <c r="E182" s="15"/>
      <c r="F182" s="3"/>
      <c r="G182" s="18"/>
      <c r="H182" s="3"/>
      <c r="I182" s="19"/>
      <c r="J182" s="19"/>
      <c r="K182" s="3"/>
      <c r="L182" s="3"/>
      <c r="M182" s="20"/>
      <c r="N182" s="20"/>
      <c r="O182" s="20"/>
      <c r="P182" s="21"/>
      <c r="Q182" s="22"/>
      <c r="R182" s="22"/>
      <c r="S182" s="19"/>
      <c r="T182" s="19"/>
      <c r="U182" s="19"/>
      <c r="V182" s="19"/>
      <c r="W182" s="26"/>
      <c r="X182" s="28"/>
    </row>
    <row r="183">
      <c r="A183" s="15"/>
      <c r="B183" s="16"/>
      <c r="C183" s="15"/>
      <c r="D183" s="15"/>
      <c r="E183" s="15"/>
      <c r="F183" s="3"/>
      <c r="G183" s="18"/>
      <c r="H183" s="3"/>
      <c r="I183" s="19"/>
      <c r="J183" s="19"/>
      <c r="K183" s="3"/>
      <c r="L183" s="3"/>
      <c r="M183" s="20"/>
      <c r="N183" s="20"/>
      <c r="O183" s="20"/>
      <c r="P183" s="21"/>
      <c r="Q183" s="22"/>
      <c r="R183" s="22"/>
      <c r="S183" s="19"/>
      <c r="T183" s="19"/>
      <c r="U183" s="19"/>
      <c r="V183" s="19"/>
      <c r="W183" s="26"/>
      <c r="X183" s="28"/>
    </row>
    <row r="184">
      <c r="A184" s="15"/>
      <c r="B184" s="16"/>
      <c r="C184" s="15"/>
      <c r="D184" s="15"/>
      <c r="E184" s="15"/>
      <c r="F184" s="3"/>
      <c r="G184" s="18"/>
      <c r="H184" s="3"/>
      <c r="I184" s="19"/>
      <c r="J184" s="19"/>
      <c r="K184" s="3"/>
      <c r="L184" s="3"/>
      <c r="M184" s="20"/>
      <c r="N184" s="20"/>
      <c r="O184" s="20"/>
      <c r="P184" s="21"/>
      <c r="Q184" s="22"/>
      <c r="R184" s="22"/>
      <c r="S184" s="19"/>
      <c r="T184" s="19"/>
      <c r="U184" s="19"/>
      <c r="V184" s="19"/>
      <c r="W184" s="26"/>
      <c r="X184" s="28"/>
    </row>
    <row r="185">
      <c r="A185" s="15"/>
      <c r="B185" s="16"/>
      <c r="C185" s="15"/>
      <c r="D185" s="15"/>
      <c r="E185" s="15"/>
      <c r="F185" s="3"/>
      <c r="G185" s="18"/>
      <c r="H185" s="3"/>
      <c r="I185" s="19"/>
      <c r="J185" s="19"/>
      <c r="K185" s="3"/>
      <c r="L185" s="3"/>
      <c r="M185" s="20"/>
      <c r="N185" s="20"/>
      <c r="O185" s="20"/>
      <c r="P185" s="21"/>
      <c r="Q185" s="22"/>
      <c r="R185" s="22"/>
      <c r="S185" s="19"/>
      <c r="T185" s="19"/>
      <c r="U185" s="19"/>
      <c r="V185" s="19"/>
      <c r="W185" s="26"/>
      <c r="X185" s="28"/>
    </row>
    <row r="186">
      <c r="A186" s="15"/>
      <c r="B186" s="16"/>
      <c r="C186" s="15"/>
      <c r="D186" s="15"/>
      <c r="E186" s="15"/>
      <c r="F186" s="3"/>
      <c r="G186" s="18"/>
      <c r="H186" s="3"/>
      <c r="I186" s="19"/>
      <c r="J186" s="19"/>
      <c r="K186" s="3"/>
      <c r="L186" s="3"/>
      <c r="M186" s="20"/>
      <c r="N186" s="20"/>
      <c r="O186" s="20"/>
      <c r="P186" s="21"/>
      <c r="Q186" s="22"/>
      <c r="R186" s="22"/>
      <c r="S186" s="19"/>
      <c r="T186" s="19"/>
      <c r="U186" s="19"/>
      <c r="V186" s="19"/>
      <c r="W186" s="26"/>
      <c r="X186" s="28"/>
    </row>
    <row r="187">
      <c r="A187" s="15"/>
      <c r="B187" s="16"/>
      <c r="C187" s="15"/>
      <c r="D187" s="15"/>
      <c r="E187" s="15"/>
      <c r="F187" s="3"/>
      <c r="G187" s="18"/>
      <c r="H187" s="3"/>
      <c r="I187" s="19"/>
      <c r="J187" s="19"/>
      <c r="K187" s="3"/>
      <c r="L187" s="3"/>
      <c r="M187" s="20"/>
      <c r="N187" s="20"/>
      <c r="O187" s="20"/>
      <c r="P187" s="21"/>
      <c r="Q187" s="22"/>
      <c r="R187" s="22"/>
      <c r="S187" s="19"/>
      <c r="T187" s="19"/>
      <c r="U187" s="19"/>
      <c r="V187" s="19"/>
      <c r="W187" s="26"/>
      <c r="X187" s="28"/>
    </row>
    <row r="188">
      <c r="A188" s="15"/>
      <c r="B188" s="16"/>
      <c r="C188" s="15"/>
      <c r="D188" s="15"/>
      <c r="E188" s="15"/>
      <c r="F188" s="3"/>
      <c r="G188" s="18"/>
      <c r="H188" s="3"/>
      <c r="I188" s="19"/>
      <c r="J188" s="19"/>
      <c r="K188" s="3"/>
      <c r="L188" s="3"/>
      <c r="M188" s="20"/>
      <c r="N188" s="20"/>
      <c r="O188" s="20"/>
      <c r="P188" s="21"/>
      <c r="Q188" s="22"/>
      <c r="R188" s="22"/>
      <c r="S188" s="19"/>
      <c r="T188" s="19"/>
      <c r="U188" s="19"/>
      <c r="V188" s="19"/>
      <c r="W188" s="26"/>
      <c r="X188" s="28"/>
    </row>
    <row r="189">
      <c r="A189" s="15"/>
      <c r="B189" s="16"/>
      <c r="C189" s="15"/>
      <c r="D189" s="15"/>
      <c r="E189" s="15"/>
      <c r="F189" s="3"/>
      <c r="G189" s="18"/>
      <c r="H189" s="3"/>
      <c r="I189" s="19"/>
      <c r="J189" s="19"/>
      <c r="K189" s="3"/>
      <c r="L189" s="3"/>
      <c r="M189" s="20"/>
      <c r="N189" s="20"/>
      <c r="O189" s="20"/>
      <c r="P189" s="21"/>
      <c r="Q189" s="22"/>
      <c r="R189" s="22"/>
      <c r="S189" s="19"/>
      <c r="T189" s="19"/>
      <c r="U189" s="19"/>
      <c r="V189" s="19"/>
      <c r="W189" s="26"/>
      <c r="X189" s="28"/>
    </row>
    <row r="190">
      <c r="A190" s="15"/>
      <c r="B190" s="16"/>
      <c r="C190" s="15"/>
      <c r="D190" s="15"/>
      <c r="E190" s="15"/>
      <c r="F190" s="3"/>
      <c r="G190" s="18"/>
      <c r="H190" s="3"/>
      <c r="I190" s="19"/>
      <c r="J190" s="19"/>
      <c r="K190" s="3"/>
      <c r="L190" s="3"/>
      <c r="M190" s="20"/>
      <c r="N190" s="20"/>
      <c r="O190" s="20"/>
      <c r="P190" s="21"/>
      <c r="Q190" s="22"/>
      <c r="R190" s="22"/>
      <c r="S190" s="19"/>
      <c r="T190" s="19"/>
      <c r="U190" s="19"/>
      <c r="V190" s="19"/>
      <c r="W190" s="26"/>
      <c r="X190" s="28"/>
    </row>
    <row r="191">
      <c r="A191" s="15"/>
      <c r="B191" s="16"/>
      <c r="C191" s="15"/>
      <c r="D191" s="15"/>
      <c r="E191" s="15"/>
      <c r="F191" s="3"/>
      <c r="G191" s="18"/>
      <c r="H191" s="3"/>
      <c r="I191" s="19"/>
      <c r="J191" s="19"/>
      <c r="K191" s="3"/>
      <c r="L191" s="3"/>
      <c r="M191" s="20"/>
      <c r="N191" s="20"/>
      <c r="O191" s="20"/>
      <c r="P191" s="21"/>
      <c r="Q191" s="22"/>
      <c r="R191" s="22"/>
      <c r="S191" s="19"/>
      <c r="T191" s="19"/>
      <c r="U191" s="19"/>
      <c r="V191" s="19"/>
      <c r="W191" s="26"/>
      <c r="X191" s="28"/>
    </row>
    <row r="192">
      <c r="A192" s="15"/>
      <c r="B192" s="16"/>
      <c r="C192" s="15"/>
      <c r="D192" s="15"/>
      <c r="E192" s="15"/>
      <c r="F192" s="3"/>
      <c r="G192" s="18"/>
      <c r="H192" s="3"/>
      <c r="I192" s="19"/>
      <c r="J192" s="19"/>
      <c r="K192" s="3"/>
      <c r="L192" s="3"/>
      <c r="M192" s="20"/>
      <c r="N192" s="20"/>
      <c r="O192" s="20"/>
      <c r="P192" s="21"/>
      <c r="Q192" s="22"/>
      <c r="R192" s="22"/>
      <c r="S192" s="19"/>
      <c r="T192" s="19"/>
      <c r="U192" s="19"/>
      <c r="V192" s="19"/>
      <c r="W192" s="26"/>
      <c r="X192" s="28"/>
    </row>
    <row r="193">
      <c r="A193" s="15"/>
      <c r="B193" s="16"/>
      <c r="C193" s="15"/>
      <c r="D193" s="15"/>
      <c r="E193" s="15"/>
      <c r="F193" s="3"/>
      <c r="G193" s="18"/>
      <c r="H193" s="3"/>
      <c r="I193" s="19"/>
      <c r="J193" s="19"/>
      <c r="K193" s="3"/>
      <c r="L193" s="3"/>
      <c r="M193" s="20"/>
      <c r="N193" s="20"/>
      <c r="O193" s="20"/>
      <c r="P193" s="21"/>
      <c r="Q193" s="22"/>
      <c r="R193" s="22"/>
      <c r="S193" s="19"/>
      <c r="T193" s="19"/>
      <c r="U193" s="19"/>
      <c r="V193" s="19"/>
      <c r="W193" s="26"/>
      <c r="X193" s="28"/>
    </row>
    <row r="194">
      <c r="A194" s="15"/>
      <c r="B194" s="16"/>
      <c r="C194" s="15"/>
      <c r="D194" s="15"/>
      <c r="E194" s="15"/>
      <c r="F194" s="3"/>
      <c r="G194" s="18"/>
      <c r="H194" s="3"/>
      <c r="I194" s="19"/>
      <c r="J194" s="19"/>
      <c r="K194" s="3"/>
      <c r="L194" s="3"/>
      <c r="M194" s="20"/>
      <c r="N194" s="20"/>
      <c r="O194" s="20"/>
      <c r="P194" s="21"/>
      <c r="Q194" s="22"/>
      <c r="R194" s="22"/>
      <c r="S194" s="19"/>
      <c r="T194" s="19"/>
      <c r="U194" s="19"/>
      <c r="V194" s="19"/>
      <c r="W194" s="26"/>
      <c r="X194" s="28"/>
    </row>
    <row r="195">
      <c r="A195" s="15"/>
      <c r="B195" s="16"/>
      <c r="C195" s="15"/>
      <c r="D195" s="15"/>
      <c r="E195" s="15"/>
      <c r="F195" s="3"/>
      <c r="G195" s="18"/>
      <c r="H195" s="3"/>
      <c r="I195" s="19"/>
      <c r="J195" s="19"/>
      <c r="K195" s="3"/>
      <c r="L195" s="3"/>
      <c r="M195" s="20"/>
      <c r="N195" s="20"/>
      <c r="O195" s="20"/>
      <c r="P195" s="21"/>
      <c r="Q195" s="22"/>
      <c r="R195" s="22"/>
      <c r="S195" s="19"/>
      <c r="T195" s="19"/>
      <c r="U195" s="19"/>
      <c r="V195" s="19"/>
      <c r="W195" s="26"/>
      <c r="X195" s="28"/>
    </row>
    <row r="196">
      <c r="A196" s="15"/>
      <c r="B196" s="16"/>
      <c r="C196" s="15"/>
      <c r="D196" s="15"/>
      <c r="E196" s="15"/>
      <c r="F196" s="3"/>
      <c r="G196" s="18"/>
      <c r="H196" s="3"/>
      <c r="I196" s="19"/>
      <c r="J196" s="19"/>
      <c r="K196" s="3"/>
      <c r="L196" s="3"/>
      <c r="M196" s="20"/>
      <c r="N196" s="20"/>
      <c r="O196" s="20"/>
      <c r="P196" s="21"/>
      <c r="Q196" s="22"/>
      <c r="R196" s="22"/>
      <c r="S196" s="19"/>
      <c r="T196" s="19"/>
      <c r="U196" s="19"/>
      <c r="V196" s="19"/>
      <c r="W196" s="26"/>
      <c r="X196" s="28"/>
    </row>
    <row r="197">
      <c r="A197" s="15"/>
      <c r="B197" s="16"/>
      <c r="C197" s="15"/>
      <c r="D197" s="15"/>
      <c r="E197" s="15"/>
      <c r="F197" s="3"/>
      <c r="G197" s="18"/>
      <c r="H197" s="3"/>
      <c r="I197" s="19"/>
      <c r="J197" s="19"/>
      <c r="K197" s="3"/>
      <c r="L197" s="3"/>
      <c r="M197" s="20"/>
      <c r="N197" s="20"/>
      <c r="O197" s="20"/>
      <c r="P197" s="21"/>
      <c r="Q197" s="22"/>
      <c r="R197" s="22"/>
      <c r="S197" s="19"/>
      <c r="T197" s="19"/>
      <c r="U197" s="19"/>
      <c r="V197" s="19"/>
      <c r="W197" s="26"/>
      <c r="X197" s="28"/>
    </row>
    <row r="198">
      <c r="A198" s="15"/>
      <c r="B198" s="16"/>
      <c r="C198" s="15"/>
      <c r="D198" s="15"/>
      <c r="E198" s="15"/>
      <c r="F198" s="3"/>
      <c r="G198" s="18"/>
      <c r="H198" s="3"/>
      <c r="I198" s="19"/>
      <c r="J198" s="19"/>
      <c r="K198" s="3"/>
      <c r="L198" s="3"/>
      <c r="M198" s="20"/>
      <c r="N198" s="20"/>
      <c r="O198" s="20"/>
      <c r="P198" s="21"/>
      <c r="Q198" s="22"/>
      <c r="R198" s="22"/>
      <c r="S198" s="19"/>
      <c r="T198" s="19"/>
      <c r="U198" s="19"/>
      <c r="V198" s="19"/>
      <c r="W198" s="26"/>
      <c r="X198" s="28"/>
    </row>
    <row r="199">
      <c r="A199" s="15"/>
      <c r="B199" s="16"/>
      <c r="C199" s="15"/>
      <c r="D199" s="15"/>
      <c r="E199" s="15"/>
      <c r="F199" s="3"/>
      <c r="G199" s="18"/>
      <c r="H199" s="3"/>
      <c r="I199" s="19"/>
      <c r="J199" s="19"/>
      <c r="K199" s="3"/>
      <c r="L199" s="3"/>
      <c r="M199" s="20"/>
      <c r="N199" s="20"/>
      <c r="O199" s="20"/>
      <c r="P199" s="21"/>
      <c r="Q199" s="22"/>
      <c r="R199" s="22"/>
      <c r="S199" s="19"/>
      <c r="T199" s="19"/>
      <c r="U199" s="19"/>
      <c r="V199" s="19"/>
      <c r="W199" s="26"/>
      <c r="X199" s="28"/>
    </row>
    <row r="200">
      <c r="A200" s="15"/>
      <c r="B200" s="16"/>
      <c r="C200" s="15"/>
      <c r="D200" s="15"/>
      <c r="E200" s="15"/>
      <c r="F200" s="3"/>
      <c r="G200" s="18"/>
      <c r="H200" s="3"/>
      <c r="I200" s="19"/>
      <c r="J200" s="19"/>
      <c r="K200" s="3"/>
      <c r="L200" s="3"/>
      <c r="M200" s="20"/>
      <c r="N200" s="20"/>
      <c r="O200" s="20"/>
      <c r="P200" s="21"/>
      <c r="Q200" s="22"/>
      <c r="R200" s="22"/>
      <c r="S200" s="19"/>
      <c r="T200" s="19"/>
      <c r="U200" s="19"/>
      <c r="V200" s="19"/>
      <c r="W200" s="26"/>
      <c r="X200" s="28"/>
    </row>
    <row r="201">
      <c r="A201" s="15"/>
      <c r="B201" s="16"/>
      <c r="C201" s="15"/>
      <c r="D201" s="15"/>
      <c r="E201" s="15"/>
      <c r="F201" s="3"/>
      <c r="G201" s="18"/>
      <c r="H201" s="3"/>
      <c r="I201" s="19"/>
      <c r="J201" s="19"/>
      <c r="K201" s="3"/>
      <c r="L201" s="3"/>
      <c r="M201" s="20"/>
      <c r="N201" s="20"/>
      <c r="O201" s="20"/>
      <c r="P201" s="21"/>
      <c r="Q201" s="22"/>
      <c r="R201" s="22"/>
      <c r="S201" s="19"/>
      <c r="T201" s="19"/>
      <c r="U201" s="19"/>
      <c r="V201" s="19"/>
      <c r="W201" s="26"/>
      <c r="X201" s="28"/>
    </row>
    <row r="202">
      <c r="A202" s="15"/>
      <c r="B202" s="16"/>
      <c r="C202" s="15"/>
      <c r="D202" s="15"/>
      <c r="E202" s="15"/>
      <c r="F202" s="3"/>
      <c r="G202" s="18"/>
      <c r="H202" s="3"/>
      <c r="I202" s="19"/>
      <c r="J202" s="19"/>
      <c r="K202" s="3"/>
      <c r="L202" s="3"/>
      <c r="M202" s="20"/>
      <c r="N202" s="20"/>
      <c r="O202" s="20"/>
      <c r="P202" s="21"/>
      <c r="Q202" s="22"/>
      <c r="R202" s="22"/>
      <c r="S202" s="19"/>
      <c r="T202" s="19"/>
      <c r="U202" s="19"/>
      <c r="V202" s="19"/>
      <c r="W202" s="26"/>
      <c r="X202" s="28"/>
    </row>
    <row r="203">
      <c r="A203" s="15"/>
      <c r="B203" s="16"/>
      <c r="C203" s="15"/>
      <c r="D203" s="15"/>
      <c r="E203" s="15"/>
      <c r="F203" s="3"/>
      <c r="G203" s="18"/>
      <c r="H203" s="3"/>
      <c r="I203" s="19"/>
      <c r="J203" s="19"/>
      <c r="K203" s="3"/>
      <c r="L203" s="3"/>
      <c r="M203" s="20"/>
      <c r="N203" s="20"/>
      <c r="O203" s="20"/>
      <c r="P203" s="21"/>
      <c r="Q203" s="22"/>
      <c r="R203" s="22"/>
      <c r="S203" s="19"/>
      <c r="T203" s="19"/>
      <c r="U203" s="19"/>
      <c r="V203" s="19"/>
      <c r="W203" s="26"/>
      <c r="X203" s="28"/>
    </row>
    <row r="204">
      <c r="A204" s="15"/>
      <c r="B204" s="16"/>
      <c r="C204" s="15"/>
      <c r="D204" s="15"/>
      <c r="E204" s="15"/>
      <c r="F204" s="3"/>
      <c r="G204" s="18"/>
      <c r="H204" s="3"/>
      <c r="I204" s="19"/>
      <c r="J204" s="19"/>
      <c r="K204" s="3"/>
      <c r="L204" s="3"/>
      <c r="M204" s="20"/>
      <c r="N204" s="20"/>
      <c r="O204" s="20"/>
      <c r="P204" s="21"/>
      <c r="Q204" s="22"/>
      <c r="R204" s="22"/>
      <c r="S204" s="19"/>
      <c r="T204" s="19"/>
      <c r="U204" s="19"/>
      <c r="V204" s="19"/>
      <c r="W204" s="26"/>
      <c r="X204" s="28"/>
    </row>
    <row r="205">
      <c r="A205" s="15"/>
      <c r="B205" s="16"/>
      <c r="C205" s="15"/>
      <c r="D205" s="15"/>
      <c r="E205" s="15"/>
      <c r="F205" s="3"/>
      <c r="G205" s="18"/>
      <c r="H205" s="3"/>
      <c r="I205" s="19"/>
      <c r="J205" s="19"/>
      <c r="K205" s="3"/>
      <c r="L205" s="3"/>
      <c r="M205" s="20"/>
      <c r="N205" s="20"/>
      <c r="O205" s="20"/>
      <c r="P205" s="21"/>
      <c r="Q205" s="22"/>
      <c r="R205" s="22"/>
      <c r="S205" s="19"/>
      <c r="T205" s="19"/>
      <c r="U205" s="19"/>
      <c r="V205" s="19"/>
      <c r="W205" s="26"/>
      <c r="X205" s="28"/>
    </row>
    <row r="206">
      <c r="A206" s="15"/>
      <c r="B206" s="16"/>
      <c r="C206" s="15"/>
      <c r="D206" s="15"/>
      <c r="E206" s="15"/>
      <c r="F206" s="3"/>
      <c r="G206" s="18"/>
      <c r="H206" s="3"/>
      <c r="I206" s="19"/>
      <c r="J206" s="19"/>
      <c r="K206" s="3"/>
      <c r="L206" s="3"/>
      <c r="M206" s="20"/>
      <c r="N206" s="20"/>
      <c r="O206" s="20"/>
      <c r="P206" s="21"/>
      <c r="Q206" s="22"/>
      <c r="R206" s="22"/>
      <c r="S206" s="19"/>
      <c r="T206" s="19"/>
      <c r="U206" s="19"/>
      <c r="V206" s="19"/>
      <c r="W206" s="26"/>
      <c r="X206" s="28"/>
    </row>
    <row r="207">
      <c r="A207" s="15"/>
      <c r="B207" s="16"/>
      <c r="C207" s="15"/>
      <c r="D207" s="15"/>
      <c r="E207" s="15"/>
      <c r="F207" s="3"/>
      <c r="G207" s="18"/>
      <c r="H207" s="3"/>
      <c r="I207" s="19"/>
      <c r="J207" s="19"/>
      <c r="K207" s="3"/>
      <c r="L207" s="3"/>
      <c r="M207" s="20"/>
      <c r="N207" s="20"/>
      <c r="O207" s="20"/>
      <c r="P207" s="21"/>
      <c r="Q207" s="22"/>
      <c r="R207" s="22"/>
      <c r="S207" s="19"/>
      <c r="T207" s="19"/>
      <c r="U207" s="19"/>
      <c r="V207" s="19"/>
      <c r="W207" s="26"/>
      <c r="X207" s="28"/>
    </row>
    <row r="208">
      <c r="A208" s="15"/>
      <c r="B208" s="16"/>
      <c r="C208" s="15"/>
      <c r="D208" s="15"/>
      <c r="E208" s="15"/>
      <c r="F208" s="3"/>
      <c r="G208" s="18"/>
      <c r="H208" s="3"/>
      <c r="I208" s="19"/>
      <c r="J208" s="19"/>
      <c r="K208" s="3"/>
      <c r="L208" s="3"/>
      <c r="M208" s="20"/>
      <c r="N208" s="20"/>
      <c r="O208" s="20"/>
      <c r="P208" s="21"/>
      <c r="Q208" s="22"/>
      <c r="R208" s="22"/>
      <c r="S208" s="19"/>
      <c r="T208" s="19"/>
      <c r="U208" s="19"/>
      <c r="V208" s="19"/>
      <c r="W208" s="26"/>
      <c r="X208" s="28"/>
    </row>
    <row r="209">
      <c r="A209" s="15"/>
      <c r="B209" s="16"/>
      <c r="C209" s="15"/>
      <c r="D209" s="15"/>
      <c r="E209" s="15"/>
      <c r="F209" s="3"/>
      <c r="G209" s="18"/>
      <c r="H209" s="3"/>
      <c r="I209" s="19"/>
      <c r="J209" s="19"/>
      <c r="K209" s="3"/>
      <c r="L209" s="3"/>
      <c r="M209" s="20"/>
      <c r="N209" s="20"/>
      <c r="O209" s="20"/>
      <c r="P209" s="21"/>
      <c r="Q209" s="22"/>
      <c r="R209" s="22"/>
      <c r="S209" s="19"/>
      <c r="T209" s="19"/>
      <c r="U209" s="19"/>
      <c r="V209" s="19"/>
      <c r="W209" s="26"/>
      <c r="X209" s="28"/>
    </row>
    <row r="210">
      <c r="A210" s="15"/>
      <c r="B210" s="16"/>
      <c r="C210" s="15"/>
      <c r="D210" s="15"/>
      <c r="E210" s="15"/>
      <c r="F210" s="3"/>
      <c r="G210" s="18"/>
      <c r="H210" s="3"/>
      <c r="I210" s="19"/>
      <c r="J210" s="19"/>
      <c r="K210" s="3"/>
      <c r="L210" s="3"/>
      <c r="M210" s="20"/>
      <c r="N210" s="20"/>
      <c r="O210" s="20"/>
      <c r="P210" s="21"/>
      <c r="Q210" s="22"/>
      <c r="R210" s="22"/>
      <c r="S210" s="19"/>
      <c r="T210" s="19"/>
      <c r="U210" s="19"/>
      <c r="V210" s="19"/>
      <c r="W210" s="26"/>
      <c r="X210" s="28"/>
    </row>
    <row r="211">
      <c r="A211" s="15"/>
      <c r="B211" s="16"/>
      <c r="C211" s="15"/>
      <c r="D211" s="15"/>
      <c r="E211" s="15"/>
      <c r="F211" s="3"/>
      <c r="G211" s="18"/>
      <c r="H211" s="3"/>
      <c r="I211" s="19"/>
      <c r="J211" s="19"/>
      <c r="K211" s="3"/>
      <c r="L211" s="3"/>
      <c r="M211" s="20"/>
      <c r="N211" s="20"/>
      <c r="O211" s="20"/>
      <c r="P211" s="21"/>
      <c r="Q211" s="22"/>
      <c r="R211" s="22"/>
      <c r="S211" s="19"/>
      <c r="T211" s="19"/>
      <c r="U211" s="19"/>
      <c r="V211" s="19"/>
      <c r="W211" s="26"/>
      <c r="X211" s="28"/>
    </row>
    <row r="212">
      <c r="A212" s="15"/>
      <c r="B212" s="16"/>
      <c r="C212" s="15"/>
      <c r="D212" s="15"/>
      <c r="E212" s="15"/>
      <c r="F212" s="3"/>
      <c r="G212" s="18"/>
      <c r="H212" s="3"/>
      <c r="I212" s="19"/>
      <c r="J212" s="19"/>
      <c r="K212" s="3"/>
      <c r="L212" s="3"/>
      <c r="M212" s="20"/>
      <c r="N212" s="20"/>
      <c r="O212" s="20"/>
      <c r="P212" s="21"/>
      <c r="Q212" s="22"/>
      <c r="R212" s="22"/>
      <c r="S212" s="19"/>
      <c r="T212" s="19"/>
      <c r="U212" s="19"/>
      <c r="V212" s="19"/>
      <c r="W212" s="26"/>
      <c r="X212" s="28"/>
    </row>
    <row r="213">
      <c r="A213" s="15"/>
      <c r="B213" s="16"/>
      <c r="C213" s="15"/>
      <c r="D213" s="15"/>
      <c r="E213" s="15"/>
      <c r="F213" s="3"/>
      <c r="G213" s="18"/>
      <c r="H213" s="3"/>
      <c r="I213" s="19"/>
      <c r="J213" s="19"/>
      <c r="K213" s="3"/>
      <c r="L213" s="3"/>
      <c r="M213" s="20"/>
      <c r="N213" s="20"/>
      <c r="O213" s="20"/>
      <c r="P213" s="21"/>
      <c r="Q213" s="22"/>
      <c r="R213" s="22"/>
      <c r="S213" s="19"/>
      <c r="T213" s="19"/>
      <c r="U213" s="19"/>
      <c r="V213" s="19"/>
      <c r="W213" s="26"/>
      <c r="X213" s="28"/>
    </row>
    <row r="214">
      <c r="A214" s="15"/>
      <c r="B214" s="16"/>
      <c r="C214" s="15"/>
      <c r="D214" s="15"/>
      <c r="E214" s="15"/>
      <c r="F214" s="3"/>
      <c r="G214" s="18"/>
      <c r="H214" s="3"/>
      <c r="I214" s="19"/>
      <c r="J214" s="19"/>
      <c r="K214" s="3"/>
      <c r="L214" s="3"/>
      <c r="M214" s="20"/>
      <c r="N214" s="20"/>
      <c r="O214" s="20"/>
      <c r="P214" s="21"/>
      <c r="Q214" s="22"/>
      <c r="R214" s="22"/>
      <c r="S214" s="19"/>
      <c r="T214" s="19"/>
      <c r="U214" s="19"/>
      <c r="V214" s="19"/>
      <c r="W214" s="26"/>
      <c r="X214" s="28"/>
    </row>
    <row r="215">
      <c r="A215" s="15"/>
      <c r="B215" s="16"/>
      <c r="C215" s="15"/>
      <c r="D215" s="15"/>
      <c r="E215" s="15"/>
      <c r="F215" s="3"/>
      <c r="G215" s="18"/>
      <c r="H215" s="3"/>
      <c r="I215" s="19"/>
      <c r="J215" s="19"/>
      <c r="K215" s="3"/>
      <c r="L215" s="3"/>
      <c r="M215" s="20"/>
      <c r="N215" s="20"/>
      <c r="O215" s="20"/>
      <c r="P215" s="21"/>
      <c r="Q215" s="22"/>
      <c r="R215" s="22"/>
      <c r="S215" s="19"/>
      <c r="T215" s="19"/>
      <c r="U215" s="19"/>
      <c r="V215" s="19"/>
      <c r="W215" s="26"/>
      <c r="X215" s="28"/>
    </row>
    <row r="216">
      <c r="A216" s="15"/>
      <c r="B216" s="16"/>
      <c r="C216" s="15"/>
      <c r="D216" s="15"/>
      <c r="E216" s="15"/>
      <c r="F216" s="3"/>
      <c r="G216" s="18"/>
      <c r="H216" s="3"/>
      <c r="I216" s="19"/>
      <c r="J216" s="19"/>
      <c r="K216" s="3"/>
      <c r="L216" s="3"/>
      <c r="M216" s="20"/>
      <c r="N216" s="20"/>
      <c r="O216" s="20"/>
      <c r="P216" s="21"/>
      <c r="Q216" s="22"/>
      <c r="R216" s="22"/>
      <c r="S216" s="19"/>
      <c r="T216" s="19"/>
      <c r="U216" s="19"/>
      <c r="V216" s="19"/>
      <c r="W216" s="26"/>
      <c r="X216" s="28"/>
    </row>
    <row r="217">
      <c r="A217" s="15"/>
      <c r="B217" s="16"/>
      <c r="C217" s="15"/>
      <c r="D217" s="15"/>
      <c r="E217" s="15"/>
      <c r="F217" s="3"/>
      <c r="G217" s="18"/>
      <c r="H217" s="3"/>
      <c r="I217" s="19"/>
      <c r="J217" s="19"/>
      <c r="K217" s="3"/>
      <c r="L217" s="3"/>
      <c r="M217" s="20"/>
      <c r="N217" s="20"/>
      <c r="O217" s="20"/>
      <c r="P217" s="21"/>
      <c r="Q217" s="22"/>
      <c r="R217" s="22"/>
      <c r="S217" s="19"/>
      <c r="T217" s="19"/>
      <c r="U217" s="19"/>
      <c r="V217" s="19"/>
      <c r="W217" s="26"/>
      <c r="X217" s="28"/>
    </row>
    <row r="218">
      <c r="A218" s="15"/>
      <c r="B218" s="16"/>
      <c r="C218" s="15"/>
      <c r="D218" s="15"/>
      <c r="E218" s="15"/>
      <c r="F218" s="3"/>
      <c r="G218" s="18"/>
      <c r="H218" s="3"/>
      <c r="I218" s="19"/>
      <c r="J218" s="19"/>
      <c r="K218" s="3"/>
      <c r="L218" s="3"/>
      <c r="M218" s="20"/>
      <c r="N218" s="20"/>
      <c r="O218" s="20"/>
      <c r="P218" s="21"/>
      <c r="Q218" s="22"/>
      <c r="R218" s="22"/>
      <c r="S218" s="19"/>
      <c r="T218" s="19"/>
      <c r="U218" s="19"/>
      <c r="V218" s="19"/>
      <c r="W218" s="26"/>
      <c r="X218" s="28"/>
    </row>
    <row r="219">
      <c r="A219" s="15"/>
      <c r="B219" s="16"/>
      <c r="C219" s="15"/>
      <c r="D219" s="15"/>
      <c r="E219" s="15"/>
      <c r="F219" s="3"/>
      <c r="G219" s="18"/>
      <c r="H219" s="3"/>
      <c r="I219" s="19"/>
      <c r="J219" s="19"/>
      <c r="K219" s="3"/>
      <c r="L219" s="3"/>
      <c r="M219" s="20"/>
      <c r="N219" s="20"/>
      <c r="O219" s="20"/>
      <c r="P219" s="21"/>
      <c r="Q219" s="22"/>
      <c r="R219" s="22"/>
      <c r="S219" s="19"/>
      <c r="T219" s="19"/>
      <c r="U219" s="19"/>
      <c r="V219" s="19"/>
      <c r="W219" s="26"/>
      <c r="X219" s="28"/>
    </row>
    <row r="220">
      <c r="A220" s="15"/>
      <c r="B220" s="16"/>
      <c r="C220" s="15"/>
      <c r="D220" s="15"/>
      <c r="E220" s="15"/>
      <c r="F220" s="3"/>
      <c r="G220" s="18"/>
      <c r="H220" s="3"/>
      <c r="I220" s="19"/>
      <c r="J220" s="19"/>
      <c r="K220" s="3"/>
      <c r="L220" s="3"/>
      <c r="M220" s="20"/>
      <c r="N220" s="20"/>
      <c r="O220" s="20"/>
      <c r="P220" s="21"/>
      <c r="Q220" s="22"/>
      <c r="R220" s="22"/>
      <c r="S220" s="19"/>
      <c r="T220" s="19"/>
      <c r="U220" s="19"/>
      <c r="V220" s="19"/>
      <c r="W220" s="26"/>
      <c r="X220" s="28"/>
    </row>
    <row r="221">
      <c r="A221" s="15"/>
      <c r="B221" s="16"/>
      <c r="C221" s="15"/>
      <c r="D221" s="15"/>
      <c r="E221" s="15"/>
      <c r="F221" s="3"/>
      <c r="G221" s="18"/>
      <c r="H221" s="3"/>
      <c r="I221" s="19"/>
      <c r="J221" s="19"/>
      <c r="K221" s="3"/>
      <c r="L221" s="3"/>
      <c r="M221" s="20"/>
      <c r="N221" s="20"/>
      <c r="O221" s="20"/>
      <c r="P221" s="21"/>
      <c r="Q221" s="22"/>
      <c r="R221" s="22"/>
      <c r="S221" s="19"/>
      <c r="T221" s="19"/>
      <c r="U221" s="19"/>
      <c r="V221" s="19"/>
      <c r="W221" s="26"/>
      <c r="X221" s="28"/>
    </row>
    <row r="222">
      <c r="A222" s="15"/>
      <c r="B222" s="16"/>
      <c r="C222" s="15"/>
      <c r="D222" s="15"/>
      <c r="E222" s="15"/>
      <c r="F222" s="3"/>
      <c r="G222" s="18"/>
      <c r="H222" s="3"/>
      <c r="I222" s="19"/>
      <c r="J222" s="19"/>
      <c r="K222" s="3"/>
      <c r="L222" s="3"/>
      <c r="M222" s="20"/>
      <c r="N222" s="20"/>
      <c r="O222" s="20"/>
      <c r="P222" s="21"/>
      <c r="Q222" s="22"/>
      <c r="R222" s="22"/>
      <c r="S222" s="19"/>
      <c r="T222" s="19"/>
      <c r="U222" s="19"/>
      <c r="V222" s="19"/>
      <c r="W222" s="26"/>
      <c r="X222" s="28"/>
    </row>
    <row r="223">
      <c r="A223" s="15"/>
      <c r="B223" s="16"/>
      <c r="C223" s="15"/>
      <c r="D223" s="15"/>
      <c r="E223" s="15"/>
      <c r="F223" s="3"/>
      <c r="G223" s="18"/>
      <c r="H223" s="3"/>
      <c r="I223" s="19"/>
      <c r="J223" s="19"/>
      <c r="K223" s="3"/>
      <c r="L223" s="3"/>
      <c r="M223" s="20"/>
      <c r="N223" s="20"/>
      <c r="O223" s="20"/>
      <c r="P223" s="21"/>
      <c r="Q223" s="22"/>
      <c r="R223" s="22"/>
      <c r="S223" s="19"/>
      <c r="T223" s="19"/>
      <c r="U223" s="19"/>
      <c r="V223" s="19"/>
      <c r="W223" s="26"/>
      <c r="X223" s="28"/>
    </row>
    <row r="224">
      <c r="A224" s="15"/>
      <c r="B224" s="16"/>
      <c r="C224" s="15"/>
      <c r="D224" s="15"/>
      <c r="E224" s="15"/>
      <c r="F224" s="3"/>
      <c r="G224" s="18"/>
      <c r="H224" s="3"/>
      <c r="I224" s="19"/>
      <c r="J224" s="19"/>
      <c r="K224" s="3"/>
      <c r="L224" s="3"/>
      <c r="M224" s="20"/>
      <c r="N224" s="20"/>
      <c r="O224" s="20"/>
      <c r="P224" s="21"/>
      <c r="Q224" s="22"/>
      <c r="R224" s="22"/>
      <c r="S224" s="19"/>
      <c r="T224" s="19"/>
      <c r="U224" s="19"/>
      <c r="V224" s="19"/>
      <c r="W224" s="26"/>
      <c r="X224" s="28"/>
    </row>
    <row r="225">
      <c r="A225" s="15"/>
      <c r="B225" s="16"/>
      <c r="C225" s="15"/>
      <c r="D225" s="15"/>
      <c r="E225" s="15"/>
      <c r="F225" s="3"/>
      <c r="G225" s="18"/>
      <c r="H225" s="3"/>
      <c r="I225" s="19"/>
      <c r="J225" s="19"/>
      <c r="K225" s="3"/>
      <c r="L225" s="3"/>
      <c r="M225" s="20"/>
      <c r="N225" s="20"/>
      <c r="O225" s="20"/>
      <c r="P225" s="21"/>
      <c r="Q225" s="22"/>
      <c r="R225" s="22"/>
      <c r="S225" s="19"/>
      <c r="T225" s="19"/>
      <c r="U225" s="19"/>
      <c r="V225" s="19"/>
      <c r="W225" s="26"/>
      <c r="X225" s="28"/>
    </row>
    <row r="226">
      <c r="A226" s="15"/>
      <c r="B226" s="16"/>
      <c r="C226" s="15"/>
      <c r="D226" s="15"/>
      <c r="E226" s="15"/>
      <c r="F226" s="3"/>
      <c r="G226" s="18"/>
      <c r="H226" s="3"/>
      <c r="I226" s="19"/>
      <c r="J226" s="19"/>
      <c r="K226" s="3"/>
      <c r="L226" s="3"/>
      <c r="M226" s="20"/>
      <c r="N226" s="20"/>
      <c r="O226" s="20"/>
      <c r="P226" s="21"/>
      <c r="Q226" s="22"/>
      <c r="R226" s="22"/>
      <c r="S226" s="19"/>
      <c r="T226" s="19"/>
      <c r="U226" s="19"/>
      <c r="V226" s="19"/>
      <c r="W226" s="26"/>
      <c r="X226" s="28"/>
    </row>
    <row r="227">
      <c r="A227" s="15"/>
      <c r="B227" s="16"/>
      <c r="C227" s="15"/>
      <c r="D227" s="15"/>
      <c r="E227" s="15"/>
      <c r="F227" s="3"/>
      <c r="G227" s="18"/>
      <c r="H227" s="3"/>
      <c r="I227" s="19"/>
      <c r="J227" s="19"/>
      <c r="K227" s="3"/>
      <c r="L227" s="3"/>
      <c r="M227" s="20"/>
      <c r="N227" s="20"/>
      <c r="O227" s="20"/>
      <c r="P227" s="21"/>
      <c r="Q227" s="22"/>
      <c r="R227" s="22"/>
      <c r="S227" s="19"/>
      <c r="T227" s="19"/>
      <c r="U227" s="19"/>
      <c r="V227" s="19"/>
      <c r="W227" s="26"/>
      <c r="X227" s="28"/>
    </row>
    <row r="228">
      <c r="A228" s="15"/>
      <c r="B228" s="16"/>
      <c r="C228" s="15"/>
      <c r="D228" s="15"/>
      <c r="E228" s="15"/>
      <c r="F228" s="3"/>
      <c r="G228" s="18"/>
      <c r="H228" s="3"/>
      <c r="I228" s="19"/>
      <c r="J228" s="19"/>
      <c r="K228" s="3"/>
      <c r="L228" s="3"/>
      <c r="M228" s="20"/>
      <c r="N228" s="20"/>
      <c r="O228" s="20"/>
      <c r="P228" s="21"/>
      <c r="Q228" s="22"/>
      <c r="R228" s="22"/>
      <c r="S228" s="19"/>
      <c r="T228" s="19"/>
      <c r="U228" s="19"/>
      <c r="V228" s="19"/>
      <c r="W228" s="26"/>
      <c r="X228" s="28"/>
    </row>
    <row r="229">
      <c r="A229" s="15"/>
      <c r="B229" s="16"/>
      <c r="C229" s="15"/>
      <c r="D229" s="15"/>
      <c r="E229" s="15"/>
      <c r="F229" s="3"/>
      <c r="G229" s="18"/>
      <c r="H229" s="3"/>
      <c r="I229" s="19"/>
      <c r="J229" s="19"/>
      <c r="K229" s="3"/>
      <c r="L229" s="3"/>
      <c r="M229" s="20"/>
      <c r="N229" s="20"/>
      <c r="O229" s="20"/>
      <c r="P229" s="21"/>
      <c r="Q229" s="22"/>
      <c r="R229" s="22"/>
      <c r="S229" s="19"/>
      <c r="T229" s="19"/>
      <c r="U229" s="19"/>
      <c r="V229" s="19"/>
      <c r="W229" s="26"/>
      <c r="X229" s="28"/>
    </row>
    <row r="230">
      <c r="A230" s="15"/>
      <c r="B230" s="16"/>
      <c r="C230" s="15"/>
      <c r="D230" s="15"/>
      <c r="E230" s="15"/>
      <c r="F230" s="3"/>
      <c r="G230" s="18"/>
      <c r="H230" s="3"/>
      <c r="I230" s="19"/>
      <c r="J230" s="19"/>
      <c r="K230" s="3"/>
      <c r="L230" s="3"/>
      <c r="M230" s="20"/>
      <c r="N230" s="20"/>
      <c r="O230" s="20"/>
      <c r="P230" s="21"/>
      <c r="Q230" s="22"/>
      <c r="R230" s="22"/>
      <c r="S230" s="19"/>
      <c r="T230" s="19"/>
      <c r="U230" s="19"/>
      <c r="V230" s="19"/>
      <c r="W230" s="26"/>
      <c r="X230" s="28"/>
    </row>
    <row r="231">
      <c r="A231" s="15"/>
      <c r="B231" s="16"/>
      <c r="C231" s="15"/>
      <c r="D231" s="15"/>
      <c r="E231" s="15"/>
      <c r="F231" s="3"/>
      <c r="G231" s="18"/>
      <c r="H231" s="3"/>
      <c r="I231" s="19"/>
      <c r="J231" s="19"/>
      <c r="K231" s="3"/>
      <c r="L231" s="3"/>
      <c r="M231" s="20"/>
      <c r="N231" s="20"/>
      <c r="O231" s="20"/>
      <c r="P231" s="21"/>
      <c r="Q231" s="22"/>
      <c r="R231" s="22"/>
      <c r="S231" s="19"/>
      <c r="T231" s="19"/>
      <c r="U231" s="19"/>
      <c r="V231" s="19"/>
      <c r="W231" s="26"/>
      <c r="X231" s="28"/>
    </row>
    <row r="232">
      <c r="A232" s="15"/>
      <c r="B232" s="16"/>
      <c r="C232" s="15"/>
      <c r="D232" s="15"/>
      <c r="E232" s="15"/>
      <c r="F232" s="3"/>
      <c r="G232" s="18"/>
      <c r="H232" s="3"/>
      <c r="I232" s="19"/>
      <c r="J232" s="19"/>
      <c r="K232" s="3"/>
      <c r="L232" s="3"/>
      <c r="M232" s="20"/>
      <c r="N232" s="20"/>
      <c r="O232" s="20"/>
      <c r="P232" s="21"/>
      <c r="Q232" s="22"/>
      <c r="R232" s="22"/>
      <c r="S232" s="19"/>
      <c r="T232" s="19"/>
      <c r="U232" s="19"/>
      <c r="V232" s="19"/>
      <c r="W232" s="26"/>
      <c r="X232" s="28"/>
    </row>
    <row r="233">
      <c r="A233" s="15"/>
      <c r="B233" s="16"/>
      <c r="C233" s="15"/>
      <c r="D233" s="15"/>
      <c r="E233" s="15"/>
      <c r="F233" s="3"/>
      <c r="G233" s="18"/>
      <c r="H233" s="3"/>
      <c r="I233" s="19"/>
      <c r="J233" s="19"/>
      <c r="K233" s="3"/>
      <c r="L233" s="3"/>
      <c r="M233" s="20"/>
      <c r="N233" s="20"/>
      <c r="O233" s="20"/>
      <c r="P233" s="21"/>
      <c r="Q233" s="22"/>
      <c r="R233" s="22"/>
      <c r="S233" s="19"/>
      <c r="T233" s="19"/>
      <c r="U233" s="19"/>
      <c r="V233" s="19"/>
      <c r="W233" s="26"/>
      <c r="X233" s="28"/>
    </row>
    <row r="234">
      <c r="A234" s="15"/>
      <c r="B234" s="16"/>
      <c r="C234" s="15"/>
      <c r="D234" s="15"/>
      <c r="E234" s="15"/>
      <c r="F234" s="3"/>
      <c r="G234" s="18"/>
      <c r="H234" s="3"/>
      <c r="I234" s="19"/>
      <c r="J234" s="19"/>
      <c r="K234" s="3"/>
      <c r="L234" s="3"/>
      <c r="M234" s="20"/>
      <c r="N234" s="20"/>
      <c r="O234" s="20"/>
      <c r="P234" s="21"/>
      <c r="Q234" s="22"/>
      <c r="R234" s="22"/>
      <c r="S234" s="19"/>
      <c r="T234" s="19"/>
      <c r="U234" s="19"/>
      <c r="V234" s="19"/>
      <c r="W234" s="26"/>
      <c r="X234" s="28"/>
    </row>
    <row r="235">
      <c r="A235" s="15"/>
      <c r="B235" s="16"/>
      <c r="C235" s="15"/>
      <c r="D235" s="15"/>
      <c r="E235" s="15"/>
      <c r="F235" s="3"/>
      <c r="G235" s="18"/>
      <c r="H235" s="3"/>
      <c r="I235" s="19"/>
      <c r="J235" s="19"/>
      <c r="K235" s="3"/>
      <c r="L235" s="3"/>
      <c r="M235" s="20"/>
      <c r="N235" s="20"/>
      <c r="O235" s="20"/>
      <c r="P235" s="21"/>
      <c r="Q235" s="22"/>
      <c r="R235" s="22"/>
      <c r="S235" s="19"/>
      <c r="T235" s="19"/>
      <c r="U235" s="19"/>
      <c r="V235" s="19"/>
      <c r="W235" s="26"/>
      <c r="X235" s="28"/>
    </row>
    <row r="236">
      <c r="A236" s="15"/>
      <c r="B236" s="16"/>
      <c r="C236" s="15"/>
      <c r="D236" s="15"/>
      <c r="E236" s="15"/>
      <c r="F236" s="3"/>
      <c r="G236" s="18"/>
      <c r="H236" s="3"/>
      <c r="I236" s="19"/>
      <c r="J236" s="19"/>
      <c r="K236" s="3"/>
      <c r="L236" s="3"/>
      <c r="M236" s="20"/>
      <c r="N236" s="20"/>
      <c r="O236" s="20"/>
      <c r="P236" s="21"/>
      <c r="Q236" s="22"/>
      <c r="R236" s="22"/>
      <c r="S236" s="19"/>
      <c r="T236" s="19"/>
      <c r="U236" s="19"/>
      <c r="V236" s="19"/>
      <c r="W236" s="26"/>
      <c r="X236" s="28"/>
    </row>
    <row r="237">
      <c r="A237" s="15"/>
      <c r="B237" s="16"/>
      <c r="C237" s="15"/>
      <c r="D237" s="15"/>
      <c r="E237" s="15"/>
      <c r="F237" s="3"/>
      <c r="G237" s="18"/>
      <c r="H237" s="3"/>
      <c r="I237" s="19"/>
      <c r="J237" s="19"/>
      <c r="K237" s="3"/>
      <c r="L237" s="3"/>
      <c r="M237" s="20"/>
      <c r="N237" s="20"/>
      <c r="O237" s="20"/>
      <c r="P237" s="21"/>
      <c r="Q237" s="22"/>
      <c r="R237" s="22"/>
      <c r="S237" s="19"/>
      <c r="T237" s="19"/>
      <c r="U237" s="19"/>
      <c r="V237" s="19"/>
      <c r="W237" s="26"/>
      <c r="X237" s="28"/>
    </row>
    <row r="238">
      <c r="A238" s="15"/>
      <c r="B238" s="16"/>
      <c r="C238" s="15"/>
      <c r="D238" s="15"/>
      <c r="E238" s="15"/>
      <c r="F238" s="3"/>
      <c r="G238" s="18"/>
      <c r="H238" s="3"/>
      <c r="I238" s="19"/>
      <c r="J238" s="19"/>
      <c r="K238" s="3"/>
      <c r="L238" s="3"/>
      <c r="M238" s="20"/>
      <c r="N238" s="20"/>
      <c r="O238" s="20"/>
      <c r="P238" s="21"/>
      <c r="Q238" s="22"/>
      <c r="R238" s="22"/>
      <c r="S238" s="19"/>
      <c r="T238" s="19"/>
      <c r="U238" s="19"/>
      <c r="V238" s="19"/>
      <c r="W238" s="26"/>
      <c r="X238" s="28"/>
    </row>
    <row r="239">
      <c r="A239" s="15"/>
      <c r="B239" s="16"/>
      <c r="C239" s="15"/>
      <c r="D239" s="15"/>
      <c r="E239" s="15"/>
      <c r="F239" s="3"/>
      <c r="G239" s="18"/>
      <c r="H239" s="3"/>
      <c r="I239" s="19"/>
      <c r="J239" s="19"/>
      <c r="K239" s="3"/>
      <c r="L239" s="3"/>
      <c r="M239" s="20"/>
      <c r="N239" s="20"/>
      <c r="O239" s="20"/>
      <c r="P239" s="21"/>
      <c r="Q239" s="22"/>
      <c r="R239" s="22"/>
      <c r="S239" s="19"/>
      <c r="T239" s="19"/>
      <c r="U239" s="19"/>
      <c r="V239" s="19"/>
      <c r="W239" s="26"/>
      <c r="X239" s="28"/>
    </row>
    <row r="240">
      <c r="A240" s="15"/>
      <c r="B240" s="16"/>
      <c r="C240" s="15"/>
      <c r="D240" s="15"/>
      <c r="E240" s="15"/>
      <c r="F240" s="3"/>
      <c r="G240" s="18"/>
      <c r="H240" s="3"/>
      <c r="I240" s="19"/>
      <c r="J240" s="19"/>
      <c r="K240" s="3"/>
      <c r="L240" s="3"/>
      <c r="M240" s="20"/>
      <c r="N240" s="20"/>
      <c r="O240" s="20"/>
      <c r="P240" s="21"/>
      <c r="Q240" s="22"/>
      <c r="R240" s="22"/>
      <c r="S240" s="19"/>
      <c r="T240" s="19"/>
      <c r="U240" s="19"/>
      <c r="V240" s="19"/>
      <c r="W240" s="26"/>
      <c r="X240" s="28"/>
    </row>
    <row r="241">
      <c r="A241" s="15"/>
      <c r="B241" s="16"/>
      <c r="C241" s="15"/>
      <c r="D241" s="15"/>
      <c r="E241" s="15"/>
      <c r="F241" s="3"/>
      <c r="G241" s="18"/>
      <c r="H241" s="3"/>
      <c r="I241" s="19"/>
      <c r="J241" s="19"/>
      <c r="K241" s="3"/>
      <c r="L241" s="3"/>
      <c r="M241" s="20"/>
      <c r="N241" s="20"/>
      <c r="O241" s="20"/>
      <c r="P241" s="21"/>
      <c r="Q241" s="22"/>
      <c r="R241" s="22"/>
      <c r="S241" s="19"/>
      <c r="T241" s="19"/>
      <c r="U241" s="19"/>
      <c r="V241" s="19"/>
      <c r="W241" s="26"/>
      <c r="X241" s="28"/>
    </row>
    <row r="242">
      <c r="A242" s="15"/>
      <c r="B242" s="16"/>
      <c r="C242" s="15"/>
      <c r="D242" s="15"/>
      <c r="E242" s="15"/>
      <c r="F242" s="3"/>
      <c r="G242" s="18"/>
      <c r="H242" s="3"/>
      <c r="I242" s="19"/>
      <c r="J242" s="19"/>
      <c r="K242" s="3"/>
      <c r="L242" s="3"/>
      <c r="M242" s="20"/>
      <c r="N242" s="20"/>
      <c r="O242" s="20"/>
      <c r="P242" s="21"/>
      <c r="Q242" s="22"/>
      <c r="R242" s="22"/>
      <c r="S242" s="19"/>
      <c r="T242" s="19"/>
      <c r="U242" s="19"/>
      <c r="V242" s="19"/>
      <c r="W242" s="26"/>
      <c r="X242" s="28"/>
    </row>
    <row r="243">
      <c r="A243" s="15"/>
      <c r="B243" s="16"/>
      <c r="C243" s="15"/>
      <c r="D243" s="15"/>
      <c r="E243" s="15"/>
      <c r="F243" s="3"/>
      <c r="G243" s="18"/>
      <c r="H243" s="3"/>
      <c r="I243" s="19"/>
      <c r="J243" s="19"/>
      <c r="K243" s="3"/>
      <c r="L243" s="3"/>
      <c r="M243" s="20"/>
      <c r="N243" s="20"/>
      <c r="O243" s="20"/>
      <c r="P243" s="21"/>
      <c r="Q243" s="22"/>
      <c r="R243" s="22"/>
      <c r="S243" s="19"/>
      <c r="T243" s="19"/>
      <c r="U243" s="19"/>
      <c r="V243" s="19"/>
      <c r="W243" s="26"/>
      <c r="X243" s="28"/>
    </row>
    <row r="244">
      <c r="A244" s="15"/>
      <c r="B244" s="16"/>
      <c r="C244" s="15"/>
      <c r="D244" s="15"/>
      <c r="E244" s="15"/>
      <c r="F244" s="3"/>
      <c r="G244" s="18"/>
      <c r="H244" s="3"/>
      <c r="I244" s="19"/>
      <c r="J244" s="19"/>
      <c r="K244" s="3"/>
      <c r="L244" s="3"/>
      <c r="M244" s="20"/>
      <c r="N244" s="20"/>
      <c r="O244" s="20"/>
      <c r="P244" s="21"/>
      <c r="Q244" s="22"/>
      <c r="R244" s="22"/>
      <c r="S244" s="19"/>
      <c r="T244" s="19"/>
      <c r="U244" s="19"/>
      <c r="V244" s="19"/>
      <c r="W244" s="26"/>
      <c r="X244" s="28"/>
    </row>
    <row r="245">
      <c r="A245" s="15"/>
      <c r="B245" s="16"/>
      <c r="C245" s="15"/>
      <c r="D245" s="15"/>
      <c r="E245" s="15"/>
      <c r="F245" s="3"/>
      <c r="G245" s="18"/>
      <c r="H245" s="3"/>
      <c r="I245" s="19"/>
      <c r="J245" s="19"/>
      <c r="K245" s="3"/>
      <c r="L245" s="3"/>
      <c r="M245" s="20"/>
      <c r="N245" s="20"/>
      <c r="O245" s="20"/>
      <c r="P245" s="21"/>
      <c r="Q245" s="22"/>
      <c r="R245" s="22"/>
      <c r="S245" s="19"/>
      <c r="T245" s="19"/>
      <c r="U245" s="19"/>
      <c r="V245" s="19"/>
      <c r="W245" s="26"/>
      <c r="X245" s="28"/>
    </row>
    <row r="246">
      <c r="A246" s="15"/>
      <c r="B246" s="16"/>
      <c r="C246" s="15"/>
      <c r="D246" s="15"/>
      <c r="E246" s="15"/>
      <c r="F246" s="3"/>
      <c r="G246" s="18"/>
      <c r="H246" s="3"/>
      <c r="I246" s="19"/>
      <c r="J246" s="19"/>
      <c r="K246" s="3"/>
      <c r="L246" s="3"/>
      <c r="M246" s="20"/>
      <c r="N246" s="20"/>
      <c r="O246" s="20"/>
      <c r="P246" s="21"/>
      <c r="Q246" s="22"/>
      <c r="R246" s="22"/>
      <c r="S246" s="19"/>
      <c r="T246" s="19"/>
      <c r="U246" s="19"/>
      <c r="V246" s="19"/>
      <c r="W246" s="26"/>
      <c r="X246" s="28"/>
    </row>
    <row r="247">
      <c r="A247" s="15"/>
      <c r="B247" s="16"/>
      <c r="C247" s="15"/>
      <c r="D247" s="15"/>
      <c r="E247" s="15"/>
      <c r="F247" s="3"/>
      <c r="G247" s="18"/>
      <c r="H247" s="3"/>
      <c r="I247" s="19"/>
      <c r="J247" s="19"/>
      <c r="K247" s="3"/>
      <c r="L247" s="3"/>
      <c r="M247" s="20"/>
      <c r="N247" s="20"/>
      <c r="O247" s="20"/>
      <c r="P247" s="21"/>
      <c r="Q247" s="22"/>
      <c r="R247" s="22"/>
      <c r="S247" s="19"/>
      <c r="T247" s="19"/>
      <c r="U247" s="19"/>
      <c r="V247" s="19"/>
      <c r="W247" s="26"/>
      <c r="X247" s="28"/>
    </row>
    <row r="248">
      <c r="A248" s="15"/>
      <c r="B248" s="16"/>
      <c r="C248" s="15"/>
      <c r="D248" s="15"/>
      <c r="E248" s="15"/>
      <c r="F248" s="3"/>
      <c r="G248" s="18"/>
      <c r="H248" s="3"/>
      <c r="I248" s="19"/>
      <c r="J248" s="19"/>
      <c r="K248" s="3"/>
      <c r="L248" s="3"/>
      <c r="M248" s="20"/>
      <c r="N248" s="20"/>
      <c r="O248" s="20"/>
      <c r="P248" s="21"/>
      <c r="Q248" s="22"/>
      <c r="R248" s="22"/>
      <c r="S248" s="19"/>
      <c r="T248" s="19"/>
      <c r="U248" s="19"/>
      <c r="V248" s="19"/>
      <c r="W248" s="26"/>
      <c r="X248" s="28"/>
    </row>
    <row r="249">
      <c r="A249" s="15"/>
      <c r="B249" s="16"/>
      <c r="C249" s="15"/>
      <c r="D249" s="15"/>
      <c r="E249" s="15"/>
      <c r="F249" s="3"/>
      <c r="G249" s="18"/>
      <c r="H249" s="3"/>
      <c r="I249" s="19"/>
      <c r="J249" s="19"/>
      <c r="K249" s="3"/>
      <c r="L249" s="3"/>
      <c r="M249" s="20"/>
      <c r="N249" s="20"/>
      <c r="O249" s="20"/>
      <c r="P249" s="21"/>
      <c r="Q249" s="22"/>
      <c r="R249" s="22"/>
      <c r="S249" s="19"/>
      <c r="T249" s="19"/>
      <c r="U249" s="19"/>
      <c r="V249" s="19"/>
      <c r="W249" s="26"/>
      <c r="X249" s="28"/>
    </row>
    <row r="250">
      <c r="A250" s="15"/>
      <c r="B250" s="16"/>
      <c r="C250" s="15"/>
      <c r="D250" s="15"/>
      <c r="E250" s="15"/>
      <c r="F250" s="3"/>
      <c r="G250" s="18"/>
      <c r="H250" s="3"/>
      <c r="I250" s="19"/>
      <c r="J250" s="19"/>
      <c r="K250" s="3"/>
      <c r="L250" s="3"/>
      <c r="M250" s="20"/>
      <c r="N250" s="20"/>
      <c r="O250" s="20"/>
      <c r="P250" s="21"/>
      <c r="Q250" s="22"/>
      <c r="R250" s="22"/>
      <c r="S250" s="19"/>
      <c r="T250" s="19"/>
      <c r="U250" s="19"/>
      <c r="V250" s="19"/>
      <c r="W250" s="26"/>
      <c r="X250" s="28"/>
    </row>
    <row r="251">
      <c r="A251" s="15"/>
      <c r="B251" s="16"/>
      <c r="C251" s="15"/>
      <c r="D251" s="15"/>
      <c r="E251" s="15"/>
      <c r="F251" s="3"/>
      <c r="G251" s="18"/>
      <c r="H251" s="3"/>
      <c r="I251" s="19"/>
      <c r="J251" s="19"/>
      <c r="K251" s="3"/>
      <c r="L251" s="3"/>
      <c r="M251" s="20"/>
      <c r="N251" s="20"/>
      <c r="O251" s="20"/>
      <c r="P251" s="21"/>
      <c r="Q251" s="22"/>
      <c r="R251" s="22"/>
      <c r="S251" s="19"/>
      <c r="T251" s="19"/>
      <c r="U251" s="19"/>
      <c r="V251" s="19"/>
      <c r="W251" s="26"/>
      <c r="X251" s="28"/>
    </row>
    <row r="252">
      <c r="A252" s="15"/>
      <c r="B252" s="16"/>
      <c r="C252" s="15"/>
      <c r="D252" s="15"/>
      <c r="E252" s="15"/>
      <c r="F252" s="3"/>
      <c r="G252" s="18"/>
      <c r="H252" s="3"/>
      <c r="I252" s="19"/>
      <c r="J252" s="19"/>
      <c r="K252" s="3"/>
      <c r="L252" s="3"/>
      <c r="M252" s="20"/>
      <c r="N252" s="20"/>
      <c r="O252" s="20"/>
      <c r="P252" s="21"/>
      <c r="Q252" s="22"/>
      <c r="R252" s="22"/>
      <c r="S252" s="19"/>
      <c r="T252" s="19"/>
      <c r="U252" s="19"/>
      <c r="V252" s="19"/>
      <c r="W252" s="26"/>
      <c r="X252" s="28"/>
    </row>
    <row r="253">
      <c r="A253" s="15"/>
      <c r="B253" s="16"/>
      <c r="C253" s="15"/>
      <c r="D253" s="15"/>
      <c r="E253" s="15"/>
      <c r="F253" s="3"/>
      <c r="G253" s="18"/>
      <c r="H253" s="3"/>
      <c r="I253" s="19"/>
      <c r="J253" s="19"/>
      <c r="K253" s="3"/>
      <c r="L253" s="3"/>
      <c r="M253" s="20"/>
      <c r="N253" s="20"/>
      <c r="O253" s="20"/>
      <c r="P253" s="21"/>
      <c r="Q253" s="22"/>
      <c r="R253" s="22"/>
      <c r="S253" s="19"/>
      <c r="T253" s="19"/>
      <c r="U253" s="19"/>
      <c r="V253" s="19"/>
      <c r="W253" s="26"/>
      <c r="X253" s="28"/>
    </row>
    <row r="254">
      <c r="A254" s="15"/>
      <c r="B254" s="16"/>
      <c r="C254" s="15"/>
      <c r="D254" s="15"/>
      <c r="E254" s="15"/>
      <c r="F254" s="3"/>
      <c r="G254" s="18"/>
      <c r="H254" s="3"/>
      <c r="I254" s="19"/>
      <c r="J254" s="19"/>
      <c r="K254" s="3"/>
      <c r="L254" s="3"/>
      <c r="M254" s="20"/>
      <c r="N254" s="20"/>
      <c r="O254" s="20"/>
      <c r="P254" s="21"/>
      <c r="Q254" s="22"/>
      <c r="R254" s="22"/>
      <c r="S254" s="19"/>
      <c r="T254" s="19"/>
      <c r="U254" s="19"/>
      <c r="V254" s="19"/>
      <c r="W254" s="26"/>
      <c r="X254" s="28"/>
    </row>
    <row r="255">
      <c r="A255" s="15"/>
      <c r="B255" s="16"/>
      <c r="C255" s="15"/>
      <c r="D255" s="15"/>
      <c r="E255" s="15"/>
      <c r="F255" s="3"/>
      <c r="G255" s="18"/>
      <c r="H255" s="3"/>
      <c r="I255" s="19"/>
      <c r="J255" s="19"/>
      <c r="K255" s="3"/>
      <c r="L255" s="3"/>
      <c r="M255" s="20"/>
      <c r="N255" s="20"/>
      <c r="O255" s="20"/>
      <c r="P255" s="21"/>
      <c r="Q255" s="22"/>
      <c r="R255" s="22"/>
      <c r="S255" s="19"/>
      <c r="T255" s="19"/>
      <c r="U255" s="19"/>
      <c r="V255" s="19"/>
      <c r="W255" s="26"/>
      <c r="X255" s="28"/>
    </row>
    <row r="256">
      <c r="A256" s="15"/>
      <c r="B256" s="16"/>
      <c r="C256" s="15"/>
      <c r="D256" s="15"/>
      <c r="E256" s="15"/>
      <c r="F256" s="3"/>
      <c r="G256" s="18"/>
      <c r="H256" s="3"/>
      <c r="I256" s="19"/>
      <c r="J256" s="19"/>
      <c r="K256" s="3"/>
      <c r="L256" s="3"/>
      <c r="M256" s="20"/>
      <c r="N256" s="20"/>
      <c r="O256" s="20"/>
      <c r="P256" s="21"/>
      <c r="Q256" s="22"/>
      <c r="R256" s="22"/>
      <c r="S256" s="19"/>
      <c r="T256" s="19"/>
      <c r="U256" s="19"/>
      <c r="V256" s="19"/>
      <c r="W256" s="26"/>
      <c r="X256" s="28"/>
    </row>
    <row r="257">
      <c r="A257" s="15"/>
      <c r="B257" s="16"/>
      <c r="C257" s="15"/>
      <c r="D257" s="15"/>
      <c r="E257" s="15"/>
      <c r="F257" s="3"/>
      <c r="G257" s="18"/>
      <c r="H257" s="3"/>
      <c r="I257" s="19"/>
      <c r="J257" s="19"/>
      <c r="K257" s="3"/>
      <c r="L257" s="3"/>
      <c r="M257" s="20"/>
      <c r="N257" s="20"/>
      <c r="O257" s="20"/>
      <c r="P257" s="21"/>
      <c r="Q257" s="22"/>
      <c r="R257" s="22"/>
      <c r="S257" s="19"/>
      <c r="T257" s="19"/>
      <c r="U257" s="19"/>
      <c r="V257" s="19"/>
      <c r="W257" s="26"/>
      <c r="X257" s="28"/>
    </row>
    <row r="258">
      <c r="A258" s="15"/>
      <c r="B258" s="16"/>
      <c r="C258" s="15"/>
      <c r="D258" s="15"/>
      <c r="E258" s="15"/>
      <c r="F258" s="3"/>
      <c r="G258" s="18"/>
      <c r="H258" s="3"/>
      <c r="I258" s="19"/>
      <c r="J258" s="19"/>
      <c r="K258" s="3"/>
      <c r="L258" s="3"/>
      <c r="M258" s="20"/>
      <c r="N258" s="20"/>
      <c r="O258" s="20"/>
      <c r="P258" s="21"/>
      <c r="Q258" s="22"/>
      <c r="R258" s="22"/>
      <c r="S258" s="19"/>
      <c r="T258" s="19"/>
      <c r="U258" s="19"/>
      <c r="V258" s="19"/>
      <c r="W258" s="26"/>
      <c r="X258" s="28"/>
    </row>
    <row r="259">
      <c r="A259" s="15"/>
      <c r="B259" s="16"/>
      <c r="C259" s="15"/>
      <c r="D259" s="15"/>
      <c r="E259" s="15"/>
      <c r="F259" s="3"/>
      <c r="G259" s="18"/>
      <c r="H259" s="3"/>
      <c r="I259" s="19"/>
      <c r="J259" s="19"/>
      <c r="K259" s="3"/>
      <c r="L259" s="3"/>
      <c r="M259" s="20"/>
      <c r="N259" s="20"/>
      <c r="O259" s="20"/>
      <c r="P259" s="21"/>
      <c r="Q259" s="22"/>
      <c r="R259" s="22"/>
      <c r="S259" s="19"/>
      <c r="T259" s="19"/>
      <c r="U259" s="19"/>
      <c r="V259" s="19"/>
      <c r="W259" s="26"/>
      <c r="X259" s="28"/>
    </row>
    <row r="260">
      <c r="A260" s="15"/>
      <c r="B260" s="16"/>
      <c r="C260" s="15"/>
      <c r="D260" s="15"/>
      <c r="E260" s="15"/>
      <c r="F260" s="3"/>
      <c r="G260" s="18"/>
      <c r="H260" s="3"/>
      <c r="I260" s="19"/>
      <c r="J260" s="19"/>
      <c r="K260" s="3"/>
      <c r="L260" s="3"/>
      <c r="M260" s="20"/>
      <c r="N260" s="20"/>
      <c r="O260" s="20"/>
      <c r="P260" s="21"/>
      <c r="Q260" s="22"/>
      <c r="R260" s="22"/>
      <c r="S260" s="19"/>
      <c r="T260" s="19"/>
      <c r="U260" s="19"/>
      <c r="V260" s="19"/>
      <c r="W260" s="26"/>
      <c r="X260" s="28"/>
    </row>
    <row r="261">
      <c r="A261" s="15"/>
      <c r="B261" s="16"/>
      <c r="C261" s="15"/>
      <c r="D261" s="15"/>
      <c r="E261" s="15"/>
      <c r="F261" s="3"/>
      <c r="G261" s="18"/>
      <c r="H261" s="3"/>
      <c r="I261" s="19"/>
      <c r="J261" s="19"/>
      <c r="K261" s="3"/>
      <c r="L261" s="3"/>
      <c r="M261" s="20"/>
      <c r="N261" s="20"/>
      <c r="O261" s="20"/>
      <c r="P261" s="21"/>
      <c r="Q261" s="22"/>
      <c r="R261" s="22"/>
      <c r="S261" s="19"/>
      <c r="T261" s="19"/>
      <c r="U261" s="19"/>
      <c r="V261" s="19"/>
      <c r="W261" s="26"/>
      <c r="X261" s="28"/>
    </row>
    <row r="262">
      <c r="A262" s="15"/>
      <c r="B262" s="16"/>
      <c r="C262" s="15"/>
      <c r="D262" s="15"/>
      <c r="E262" s="15"/>
      <c r="F262" s="3"/>
      <c r="G262" s="18"/>
      <c r="H262" s="3"/>
      <c r="I262" s="19"/>
      <c r="J262" s="19"/>
      <c r="K262" s="3"/>
      <c r="L262" s="3"/>
      <c r="M262" s="20"/>
      <c r="N262" s="20"/>
      <c r="O262" s="20"/>
      <c r="P262" s="21"/>
      <c r="Q262" s="22"/>
      <c r="R262" s="22"/>
      <c r="S262" s="19"/>
      <c r="T262" s="19"/>
      <c r="U262" s="19"/>
      <c r="V262" s="19"/>
      <c r="W262" s="26"/>
      <c r="X262" s="28"/>
    </row>
    <row r="263">
      <c r="A263" s="15"/>
      <c r="B263" s="16"/>
      <c r="C263" s="15"/>
      <c r="D263" s="15"/>
      <c r="E263" s="15"/>
      <c r="F263" s="3"/>
      <c r="G263" s="18"/>
      <c r="H263" s="3"/>
      <c r="I263" s="19"/>
      <c r="J263" s="19"/>
      <c r="K263" s="3"/>
      <c r="L263" s="3"/>
      <c r="M263" s="20"/>
      <c r="N263" s="20"/>
      <c r="O263" s="20"/>
      <c r="P263" s="21"/>
      <c r="Q263" s="22"/>
      <c r="R263" s="22"/>
      <c r="S263" s="19"/>
      <c r="T263" s="19"/>
      <c r="U263" s="19"/>
      <c r="V263" s="19"/>
      <c r="W263" s="26"/>
      <c r="X263" s="28"/>
    </row>
    <row r="264">
      <c r="A264" s="15"/>
      <c r="B264" s="16"/>
      <c r="C264" s="15"/>
      <c r="D264" s="15"/>
      <c r="E264" s="15"/>
      <c r="F264" s="3"/>
      <c r="G264" s="18"/>
      <c r="H264" s="3"/>
      <c r="I264" s="19"/>
      <c r="J264" s="19"/>
      <c r="K264" s="3"/>
      <c r="L264" s="3"/>
      <c r="M264" s="20"/>
      <c r="N264" s="20"/>
      <c r="O264" s="20"/>
      <c r="P264" s="21"/>
      <c r="Q264" s="22"/>
      <c r="R264" s="22"/>
      <c r="S264" s="19"/>
      <c r="T264" s="19"/>
      <c r="U264" s="19"/>
      <c r="V264" s="19"/>
      <c r="W264" s="26"/>
      <c r="X264" s="28"/>
    </row>
    <row r="265">
      <c r="A265" s="15"/>
      <c r="B265" s="16"/>
      <c r="C265" s="15"/>
      <c r="D265" s="15"/>
      <c r="E265" s="15"/>
      <c r="F265" s="3"/>
      <c r="G265" s="18"/>
      <c r="H265" s="3"/>
      <c r="I265" s="19"/>
      <c r="J265" s="19"/>
      <c r="K265" s="3"/>
      <c r="L265" s="3"/>
      <c r="M265" s="20"/>
      <c r="N265" s="20"/>
      <c r="O265" s="20"/>
      <c r="P265" s="21"/>
      <c r="Q265" s="22"/>
      <c r="R265" s="22"/>
      <c r="S265" s="19"/>
      <c r="T265" s="19"/>
      <c r="U265" s="19"/>
      <c r="V265" s="19"/>
      <c r="W265" s="26"/>
      <c r="X265" s="28"/>
    </row>
    <row r="266">
      <c r="A266" s="15"/>
      <c r="B266" s="16"/>
      <c r="C266" s="15"/>
      <c r="D266" s="15"/>
      <c r="E266" s="15"/>
      <c r="F266" s="3"/>
      <c r="G266" s="18"/>
      <c r="H266" s="3"/>
      <c r="I266" s="19"/>
      <c r="J266" s="19"/>
      <c r="K266" s="3"/>
      <c r="L266" s="3"/>
      <c r="M266" s="20"/>
      <c r="N266" s="20"/>
      <c r="O266" s="20"/>
      <c r="P266" s="21"/>
      <c r="Q266" s="22"/>
      <c r="R266" s="22"/>
      <c r="S266" s="19"/>
      <c r="T266" s="19"/>
      <c r="U266" s="19"/>
      <c r="V266" s="19"/>
      <c r="W266" s="26"/>
      <c r="X266" s="28"/>
    </row>
    <row r="267">
      <c r="A267" s="15"/>
      <c r="B267" s="16"/>
      <c r="C267" s="15"/>
      <c r="D267" s="15"/>
      <c r="E267" s="15"/>
      <c r="F267" s="3"/>
      <c r="G267" s="18"/>
      <c r="H267" s="3"/>
      <c r="I267" s="19"/>
      <c r="J267" s="19"/>
      <c r="K267" s="3"/>
      <c r="L267" s="3"/>
      <c r="M267" s="20"/>
      <c r="N267" s="20"/>
      <c r="O267" s="20"/>
      <c r="P267" s="21"/>
      <c r="Q267" s="22"/>
      <c r="R267" s="22"/>
      <c r="S267" s="19"/>
      <c r="T267" s="19"/>
      <c r="U267" s="19"/>
      <c r="V267" s="19"/>
      <c r="W267" s="26"/>
      <c r="X267" s="28"/>
    </row>
    <row r="268">
      <c r="A268" s="15"/>
      <c r="B268" s="16"/>
      <c r="C268" s="15"/>
      <c r="D268" s="15"/>
      <c r="E268" s="15"/>
      <c r="F268" s="3"/>
      <c r="G268" s="18"/>
      <c r="H268" s="3"/>
      <c r="I268" s="19"/>
      <c r="J268" s="19"/>
      <c r="K268" s="3"/>
      <c r="L268" s="3"/>
      <c r="M268" s="20"/>
      <c r="N268" s="20"/>
      <c r="O268" s="20"/>
      <c r="P268" s="21"/>
      <c r="Q268" s="22"/>
      <c r="R268" s="22"/>
      <c r="S268" s="19"/>
      <c r="T268" s="19"/>
      <c r="U268" s="19"/>
      <c r="V268" s="19"/>
      <c r="W268" s="26"/>
      <c r="X268" s="28"/>
    </row>
    <row r="269">
      <c r="A269" s="15"/>
      <c r="B269" s="16"/>
      <c r="C269" s="15"/>
      <c r="D269" s="15"/>
      <c r="E269" s="15"/>
      <c r="F269" s="3"/>
      <c r="G269" s="18"/>
      <c r="H269" s="3"/>
      <c r="I269" s="19"/>
      <c r="J269" s="19"/>
      <c r="K269" s="3"/>
      <c r="L269" s="3"/>
      <c r="M269" s="20"/>
      <c r="N269" s="20"/>
      <c r="O269" s="20"/>
      <c r="P269" s="21"/>
      <c r="Q269" s="22"/>
      <c r="R269" s="22"/>
      <c r="S269" s="19"/>
      <c r="T269" s="19"/>
      <c r="U269" s="19"/>
      <c r="V269" s="19"/>
      <c r="W269" s="26"/>
      <c r="X269" s="28"/>
    </row>
    <row r="270">
      <c r="A270" s="15"/>
      <c r="B270" s="16"/>
      <c r="C270" s="15"/>
      <c r="D270" s="15"/>
      <c r="E270" s="15"/>
      <c r="F270" s="3"/>
      <c r="G270" s="18"/>
      <c r="H270" s="3"/>
      <c r="I270" s="19"/>
      <c r="J270" s="19"/>
      <c r="K270" s="3"/>
      <c r="L270" s="3"/>
      <c r="M270" s="20"/>
      <c r="N270" s="20"/>
      <c r="O270" s="20"/>
      <c r="P270" s="21"/>
      <c r="Q270" s="22"/>
      <c r="R270" s="22"/>
      <c r="S270" s="19"/>
      <c r="T270" s="19"/>
      <c r="U270" s="19"/>
      <c r="V270" s="19"/>
      <c r="W270" s="26"/>
      <c r="X270" s="28"/>
    </row>
    <row r="271">
      <c r="A271" s="15"/>
      <c r="B271" s="16"/>
      <c r="C271" s="15"/>
      <c r="D271" s="15"/>
      <c r="E271" s="15"/>
      <c r="F271" s="3"/>
      <c r="G271" s="18"/>
      <c r="H271" s="3"/>
      <c r="I271" s="19"/>
      <c r="J271" s="19"/>
      <c r="K271" s="3"/>
      <c r="L271" s="3"/>
      <c r="M271" s="20"/>
      <c r="N271" s="20"/>
      <c r="O271" s="20"/>
      <c r="P271" s="21"/>
      <c r="Q271" s="22"/>
      <c r="R271" s="22"/>
      <c r="S271" s="19"/>
      <c r="T271" s="19"/>
      <c r="U271" s="19"/>
      <c r="V271" s="19"/>
      <c r="W271" s="26"/>
      <c r="X271" s="28"/>
    </row>
    <row r="272">
      <c r="A272" s="15"/>
      <c r="B272" s="16"/>
      <c r="C272" s="15"/>
      <c r="D272" s="15"/>
      <c r="E272" s="15"/>
      <c r="F272" s="3"/>
      <c r="G272" s="18"/>
      <c r="H272" s="3"/>
      <c r="I272" s="19"/>
      <c r="J272" s="19"/>
      <c r="K272" s="3"/>
      <c r="L272" s="3"/>
      <c r="M272" s="20"/>
      <c r="N272" s="20"/>
      <c r="O272" s="20"/>
      <c r="P272" s="21"/>
      <c r="Q272" s="22"/>
      <c r="R272" s="22"/>
      <c r="S272" s="19"/>
      <c r="T272" s="19"/>
      <c r="U272" s="19"/>
      <c r="V272" s="19"/>
      <c r="W272" s="26"/>
      <c r="X272" s="28"/>
    </row>
    <row r="273">
      <c r="A273" s="15"/>
      <c r="B273" s="16"/>
      <c r="C273" s="15"/>
      <c r="D273" s="15"/>
      <c r="E273" s="15"/>
      <c r="F273" s="3"/>
      <c r="G273" s="18"/>
      <c r="H273" s="3"/>
      <c r="I273" s="19"/>
      <c r="J273" s="19"/>
      <c r="K273" s="3"/>
      <c r="L273" s="3"/>
      <c r="M273" s="20"/>
      <c r="N273" s="20"/>
      <c r="O273" s="20"/>
      <c r="P273" s="21"/>
      <c r="Q273" s="22"/>
      <c r="R273" s="22"/>
      <c r="S273" s="19"/>
      <c r="T273" s="19"/>
      <c r="U273" s="19"/>
      <c r="V273" s="19"/>
      <c r="W273" s="26"/>
      <c r="X273" s="28"/>
    </row>
    <row r="274">
      <c r="A274" s="15"/>
      <c r="B274" s="16"/>
      <c r="C274" s="15"/>
      <c r="D274" s="15"/>
      <c r="E274" s="15"/>
      <c r="F274" s="3"/>
      <c r="G274" s="18"/>
      <c r="H274" s="3"/>
      <c r="I274" s="19"/>
      <c r="J274" s="19"/>
      <c r="K274" s="3"/>
      <c r="L274" s="3"/>
      <c r="M274" s="20"/>
      <c r="N274" s="20"/>
      <c r="O274" s="20"/>
      <c r="P274" s="21"/>
      <c r="Q274" s="22"/>
      <c r="R274" s="22"/>
      <c r="S274" s="19"/>
      <c r="T274" s="19"/>
      <c r="U274" s="19"/>
      <c r="V274" s="19"/>
      <c r="W274" s="26"/>
      <c r="X274" s="28"/>
    </row>
    <row r="275">
      <c r="A275" s="15"/>
      <c r="B275" s="16"/>
      <c r="C275" s="15"/>
      <c r="D275" s="15"/>
      <c r="E275" s="15"/>
      <c r="F275" s="3"/>
      <c r="G275" s="18"/>
      <c r="H275" s="3"/>
      <c r="I275" s="19"/>
      <c r="J275" s="19"/>
      <c r="K275" s="3"/>
      <c r="L275" s="3"/>
      <c r="M275" s="20"/>
      <c r="N275" s="20"/>
      <c r="O275" s="20"/>
      <c r="P275" s="21"/>
      <c r="Q275" s="22"/>
      <c r="R275" s="22"/>
      <c r="S275" s="19"/>
      <c r="T275" s="19"/>
      <c r="U275" s="19"/>
      <c r="V275" s="19"/>
      <c r="W275" s="26"/>
      <c r="X275" s="28"/>
    </row>
    <row r="276">
      <c r="A276" s="15"/>
      <c r="B276" s="16"/>
      <c r="C276" s="15"/>
      <c r="D276" s="15"/>
      <c r="E276" s="15"/>
      <c r="F276" s="3"/>
      <c r="G276" s="18"/>
      <c r="H276" s="3"/>
      <c r="I276" s="19"/>
      <c r="J276" s="19"/>
      <c r="K276" s="3"/>
      <c r="L276" s="3"/>
      <c r="M276" s="20"/>
      <c r="N276" s="20"/>
      <c r="O276" s="20"/>
      <c r="P276" s="21"/>
      <c r="Q276" s="22"/>
      <c r="R276" s="22"/>
      <c r="S276" s="19"/>
      <c r="T276" s="19"/>
      <c r="U276" s="19"/>
      <c r="V276" s="19"/>
      <c r="W276" s="26"/>
      <c r="X276" s="28"/>
    </row>
    <row r="277">
      <c r="A277" s="15"/>
      <c r="B277" s="16"/>
      <c r="C277" s="15"/>
      <c r="D277" s="15"/>
      <c r="E277" s="15"/>
      <c r="F277" s="3"/>
      <c r="G277" s="18"/>
      <c r="H277" s="3"/>
      <c r="I277" s="19"/>
      <c r="J277" s="19"/>
      <c r="K277" s="3"/>
      <c r="L277" s="3"/>
      <c r="M277" s="20"/>
      <c r="N277" s="20"/>
      <c r="O277" s="20"/>
      <c r="P277" s="21"/>
      <c r="Q277" s="22"/>
      <c r="R277" s="22"/>
      <c r="S277" s="19"/>
      <c r="T277" s="19"/>
      <c r="U277" s="19"/>
      <c r="V277" s="19"/>
      <c r="W277" s="26"/>
      <c r="X277" s="28"/>
    </row>
    <row r="278">
      <c r="A278" s="15"/>
      <c r="B278" s="16"/>
      <c r="C278" s="15"/>
      <c r="D278" s="15"/>
      <c r="E278" s="15"/>
      <c r="F278" s="3"/>
      <c r="G278" s="18"/>
      <c r="H278" s="3"/>
      <c r="I278" s="19"/>
      <c r="J278" s="19"/>
      <c r="K278" s="3"/>
      <c r="L278" s="3"/>
      <c r="M278" s="20"/>
      <c r="N278" s="20"/>
      <c r="O278" s="20"/>
      <c r="P278" s="21"/>
      <c r="Q278" s="22"/>
      <c r="R278" s="22"/>
      <c r="S278" s="19"/>
      <c r="T278" s="19"/>
      <c r="U278" s="19"/>
      <c r="V278" s="19"/>
      <c r="W278" s="26"/>
      <c r="X278" s="28"/>
    </row>
    <row r="279">
      <c r="A279" s="15"/>
      <c r="B279" s="16"/>
      <c r="C279" s="15"/>
      <c r="D279" s="15"/>
      <c r="E279" s="15"/>
      <c r="F279" s="3"/>
      <c r="G279" s="18"/>
      <c r="H279" s="3"/>
      <c r="I279" s="19"/>
      <c r="J279" s="19"/>
      <c r="K279" s="3"/>
      <c r="L279" s="3"/>
      <c r="M279" s="20"/>
      <c r="N279" s="20"/>
      <c r="O279" s="20"/>
      <c r="P279" s="21"/>
      <c r="Q279" s="22"/>
      <c r="R279" s="22"/>
      <c r="S279" s="19"/>
      <c r="T279" s="19"/>
      <c r="U279" s="19"/>
      <c r="V279" s="19"/>
      <c r="W279" s="26"/>
      <c r="X279" s="28"/>
    </row>
    <row r="280">
      <c r="A280" s="15"/>
      <c r="B280" s="16"/>
      <c r="C280" s="15"/>
      <c r="D280" s="15"/>
      <c r="E280" s="15"/>
      <c r="F280" s="3"/>
      <c r="G280" s="18"/>
      <c r="H280" s="3"/>
      <c r="I280" s="19"/>
      <c r="J280" s="19"/>
      <c r="K280" s="3"/>
      <c r="L280" s="3"/>
      <c r="M280" s="20"/>
      <c r="N280" s="20"/>
      <c r="O280" s="20"/>
      <c r="P280" s="21"/>
      <c r="Q280" s="22"/>
      <c r="R280" s="22"/>
      <c r="S280" s="19"/>
      <c r="T280" s="19"/>
      <c r="U280" s="19"/>
      <c r="V280" s="19"/>
      <c r="W280" s="26"/>
      <c r="X280" s="28"/>
    </row>
    <row r="281">
      <c r="A281" s="15"/>
      <c r="B281" s="16"/>
      <c r="C281" s="15"/>
      <c r="D281" s="15"/>
      <c r="E281" s="15"/>
      <c r="F281" s="3"/>
      <c r="G281" s="18"/>
      <c r="H281" s="3"/>
      <c r="I281" s="19"/>
      <c r="J281" s="19"/>
      <c r="K281" s="3"/>
      <c r="L281" s="3"/>
      <c r="M281" s="20"/>
      <c r="N281" s="20"/>
      <c r="O281" s="20"/>
      <c r="P281" s="21"/>
      <c r="Q281" s="22"/>
      <c r="R281" s="22"/>
      <c r="S281" s="19"/>
      <c r="T281" s="19"/>
      <c r="U281" s="19"/>
      <c r="V281" s="19"/>
      <c r="W281" s="26"/>
      <c r="X281" s="28"/>
    </row>
    <row r="282">
      <c r="A282" s="15"/>
      <c r="B282" s="16"/>
      <c r="C282" s="15"/>
      <c r="D282" s="15"/>
      <c r="E282" s="15"/>
      <c r="F282" s="3"/>
      <c r="G282" s="18"/>
      <c r="H282" s="3"/>
      <c r="I282" s="19"/>
      <c r="J282" s="19"/>
      <c r="K282" s="3"/>
      <c r="L282" s="3"/>
      <c r="M282" s="20"/>
      <c r="N282" s="20"/>
      <c r="O282" s="20"/>
      <c r="P282" s="21"/>
      <c r="Q282" s="22"/>
      <c r="R282" s="22"/>
      <c r="S282" s="19"/>
      <c r="T282" s="19"/>
      <c r="U282" s="19"/>
      <c r="V282" s="19"/>
      <c r="W282" s="26"/>
      <c r="X282" s="28"/>
    </row>
    <row r="283">
      <c r="A283" s="15"/>
      <c r="B283" s="16"/>
      <c r="C283" s="15"/>
      <c r="D283" s="15"/>
      <c r="E283" s="15"/>
      <c r="F283" s="3"/>
      <c r="G283" s="18"/>
      <c r="H283" s="3"/>
      <c r="I283" s="19"/>
      <c r="J283" s="19"/>
      <c r="K283" s="3"/>
      <c r="L283" s="3"/>
      <c r="M283" s="20"/>
      <c r="N283" s="20"/>
      <c r="O283" s="20"/>
      <c r="P283" s="21"/>
      <c r="Q283" s="22"/>
      <c r="R283" s="22"/>
      <c r="S283" s="19"/>
      <c r="T283" s="19"/>
      <c r="U283" s="19"/>
      <c r="V283" s="19"/>
      <c r="W283" s="26"/>
      <c r="X283" s="28"/>
    </row>
    <row r="284">
      <c r="A284" s="15"/>
      <c r="B284" s="16"/>
      <c r="C284" s="15"/>
      <c r="D284" s="15"/>
      <c r="E284" s="15"/>
      <c r="F284" s="3"/>
      <c r="G284" s="18"/>
      <c r="H284" s="3"/>
      <c r="I284" s="19"/>
      <c r="J284" s="19"/>
      <c r="K284" s="3"/>
      <c r="L284" s="3"/>
      <c r="M284" s="20"/>
      <c r="N284" s="20"/>
      <c r="O284" s="20"/>
      <c r="P284" s="21"/>
      <c r="Q284" s="22"/>
      <c r="R284" s="22"/>
      <c r="S284" s="19"/>
      <c r="T284" s="19"/>
      <c r="U284" s="19"/>
      <c r="V284" s="19"/>
      <c r="W284" s="26"/>
      <c r="X284" s="28"/>
    </row>
    <row r="285">
      <c r="A285" s="15"/>
      <c r="B285" s="16"/>
      <c r="C285" s="15"/>
      <c r="D285" s="15"/>
      <c r="E285" s="15"/>
      <c r="F285" s="3"/>
      <c r="G285" s="18"/>
      <c r="H285" s="3"/>
      <c r="I285" s="19"/>
      <c r="J285" s="19"/>
      <c r="K285" s="3"/>
      <c r="L285" s="3"/>
      <c r="M285" s="20"/>
      <c r="N285" s="20"/>
      <c r="O285" s="20"/>
      <c r="P285" s="21"/>
      <c r="Q285" s="22"/>
      <c r="R285" s="22"/>
      <c r="S285" s="19"/>
      <c r="T285" s="19"/>
      <c r="U285" s="19"/>
      <c r="V285" s="19"/>
      <c r="W285" s="26"/>
      <c r="X285" s="28"/>
    </row>
    <row r="286">
      <c r="A286" s="15"/>
      <c r="B286" s="16"/>
      <c r="C286" s="15"/>
      <c r="D286" s="15"/>
      <c r="E286" s="15"/>
      <c r="F286" s="3"/>
      <c r="G286" s="18"/>
      <c r="H286" s="3"/>
      <c r="I286" s="19"/>
      <c r="J286" s="19"/>
      <c r="K286" s="3"/>
      <c r="L286" s="3"/>
      <c r="M286" s="20"/>
      <c r="N286" s="20"/>
      <c r="O286" s="20"/>
      <c r="P286" s="21"/>
      <c r="Q286" s="22"/>
      <c r="R286" s="22"/>
      <c r="S286" s="19"/>
      <c r="T286" s="19"/>
      <c r="U286" s="19"/>
      <c r="V286" s="19"/>
      <c r="W286" s="26"/>
      <c r="X286" s="28"/>
    </row>
    <row r="287">
      <c r="A287" s="15"/>
      <c r="B287" s="16"/>
      <c r="C287" s="15"/>
      <c r="D287" s="15"/>
      <c r="E287" s="15"/>
      <c r="F287" s="3"/>
      <c r="G287" s="18"/>
      <c r="H287" s="3"/>
      <c r="I287" s="19"/>
      <c r="J287" s="19"/>
      <c r="K287" s="3"/>
      <c r="L287" s="3"/>
      <c r="M287" s="20"/>
      <c r="N287" s="20"/>
      <c r="O287" s="20"/>
      <c r="P287" s="21"/>
      <c r="Q287" s="22"/>
      <c r="R287" s="22"/>
      <c r="S287" s="19"/>
      <c r="T287" s="19"/>
      <c r="U287" s="19"/>
      <c r="V287" s="19"/>
      <c r="W287" s="26"/>
      <c r="X287" s="28"/>
    </row>
    <row r="288">
      <c r="A288" s="15"/>
      <c r="B288" s="16"/>
      <c r="C288" s="15"/>
      <c r="D288" s="15"/>
      <c r="E288" s="15"/>
      <c r="F288" s="3"/>
      <c r="G288" s="18"/>
      <c r="H288" s="3"/>
      <c r="I288" s="19"/>
      <c r="J288" s="19"/>
      <c r="K288" s="3"/>
      <c r="L288" s="3"/>
      <c r="M288" s="20"/>
      <c r="N288" s="20"/>
      <c r="O288" s="20"/>
      <c r="P288" s="21"/>
      <c r="Q288" s="22"/>
      <c r="R288" s="22"/>
      <c r="S288" s="19"/>
      <c r="T288" s="19"/>
      <c r="U288" s="19"/>
      <c r="V288" s="19"/>
      <c r="W288" s="26"/>
      <c r="X288" s="28"/>
    </row>
    <row r="289">
      <c r="A289" s="15"/>
      <c r="B289" s="16"/>
      <c r="C289" s="15"/>
      <c r="D289" s="15"/>
      <c r="E289" s="15"/>
      <c r="F289" s="3"/>
      <c r="G289" s="18"/>
      <c r="H289" s="3"/>
      <c r="I289" s="19"/>
      <c r="J289" s="19"/>
      <c r="K289" s="3"/>
      <c r="L289" s="3"/>
      <c r="M289" s="20"/>
      <c r="N289" s="20"/>
      <c r="O289" s="20"/>
      <c r="P289" s="21"/>
      <c r="Q289" s="22"/>
      <c r="R289" s="22"/>
      <c r="S289" s="19"/>
      <c r="T289" s="19"/>
      <c r="U289" s="19"/>
      <c r="V289" s="19"/>
      <c r="W289" s="26"/>
      <c r="X289" s="28"/>
    </row>
    <row r="290">
      <c r="A290" s="15"/>
      <c r="B290" s="16"/>
      <c r="C290" s="15"/>
      <c r="D290" s="15"/>
      <c r="E290" s="15"/>
      <c r="F290" s="3"/>
      <c r="G290" s="18"/>
      <c r="H290" s="3"/>
      <c r="I290" s="19"/>
      <c r="J290" s="19"/>
      <c r="K290" s="3"/>
      <c r="L290" s="3"/>
      <c r="M290" s="20"/>
      <c r="N290" s="20"/>
      <c r="O290" s="20"/>
      <c r="P290" s="21"/>
      <c r="Q290" s="22"/>
      <c r="R290" s="22"/>
      <c r="S290" s="19"/>
      <c r="T290" s="19"/>
      <c r="U290" s="19"/>
      <c r="V290" s="19"/>
      <c r="W290" s="26"/>
      <c r="X290" s="28"/>
    </row>
    <row r="291">
      <c r="A291" s="15"/>
      <c r="B291" s="16"/>
      <c r="C291" s="15"/>
      <c r="D291" s="15"/>
      <c r="E291" s="15"/>
      <c r="F291" s="3"/>
      <c r="G291" s="18"/>
      <c r="H291" s="3"/>
      <c r="I291" s="19"/>
      <c r="J291" s="19"/>
      <c r="K291" s="3"/>
      <c r="L291" s="3"/>
      <c r="M291" s="20"/>
      <c r="N291" s="20"/>
      <c r="O291" s="20"/>
      <c r="P291" s="21"/>
      <c r="Q291" s="22"/>
      <c r="R291" s="22"/>
      <c r="S291" s="19"/>
      <c r="T291" s="19"/>
      <c r="U291" s="19"/>
      <c r="V291" s="19"/>
      <c r="W291" s="26"/>
      <c r="X291" s="28"/>
    </row>
    <row r="292">
      <c r="A292" s="15"/>
      <c r="B292" s="16"/>
      <c r="C292" s="15"/>
      <c r="D292" s="15"/>
      <c r="E292" s="15"/>
      <c r="F292" s="3"/>
      <c r="G292" s="18"/>
      <c r="H292" s="3"/>
      <c r="I292" s="19"/>
      <c r="J292" s="19"/>
      <c r="K292" s="3"/>
      <c r="L292" s="3"/>
      <c r="M292" s="20"/>
      <c r="N292" s="20"/>
      <c r="O292" s="20"/>
      <c r="P292" s="21"/>
      <c r="Q292" s="22"/>
      <c r="R292" s="22"/>
      <c r="S292" s="19"/>
      <c r="T292" s="19"/>
      <c r="U292" s="19"/>
      <c r="V292" s="19"/>
      <c r="W292" s="26"/>
      <c r="X292" s="28"/>
    </row>
    <row r="293">
      <c r="A293" s="15"/>
      <c r="B293" s="16"/>
      <c r="C293" s="15"/>
      <c r="D293" s="15"/>
      <c r="E293" s="15"/>
      <c r="F293" s="3"/>
      <c r="G293" s="18"/>
      <c r="H293" s="3"/>
      <c r="I293" s="19"/>
      <c r="J293" s="19"/>
      <c r="K293" s="3"/>
      <c r="L293" s="3"/>
      <c r="M293" s="20"/>
      <c r="N293" s="20"/>
      <c r="O293" s="20"/>
      <c r="P293" s="21"/>
      <c r="Q293" s="22"/>
      <c r="R293" s="22"/>
      <c r="S293" s="19"/>
      <c r="T293" s="19"/>
      <c r="U293" s="19"/>
      <c r="V293" s="19"/>
      <c r="W293" s="26"/>
      <c r="X293" s="28"/>
    </row>
    <row r="294">
      <c r="A294" s="15"/>
      <c r="B294" s="16"/>
      <c r="C294" s="15"/>
      <c r="D294" s="15"/>
      <c r="E294" s="15"/>
      <c r="F294" s="3"/>
      <c r="G294" s="18"/>
      <c r="H294" s="3"/>
      <c r="I294" s="19"/>
      <c r="J294" s="19"/>
      <c r="K294" s="3"/>
      <c r="L294" s="3"/>
      <c r="M294" s="20"/>
      <c r="N294" s="20"/>
      <c r="O294" s="20"/>
      <c r="P294" s="21"/>
      <c r="Q294" s="22"/>
      <c r="R294" s="22"/>
      <c r="S294" s="19"/>
      <c r="T294" s="19"/>
      <c r="U294" s="19"/>
      <c r="V294" s="19"/>
      <c r="W294" s="26"/>
      <c r="X294" s="28"/>
    </row>
    <row r="295">
      <c r="A295" s="15"/>
      <c r="B295" s="16"/>
      <c r="C295" s="15"/>
      <c r="D295" s="15"/>
      <c r="E295" s="15"/>
      <c r="F295" s="3"/>
      <c r="G295" s="18"/>
      <c r="H295" s="3"/>
      <c r="I295" s="19"/>
      <c r="J295" s="19"/>
      <c r="K295" s="3"/>
      <c r="L295" s="3"/>
      <c r="M295" s="20"/>
      <c r="N295" s="20"/>
      <c r="O295" s="20"/>
      <c r="P295" s="21"/>
      <c r="Q295" s="22"/>
      <c r="R295" s="22"/>
      <c r="S295" s="19"/>
      <c r="T295" s="19"/>
      <c r="U295" s="19"/>
      <c r="V295" s="19"/>
      <c r="W295" s="26"/>
      <c r="X295" s="28"/>
    </row>
    <row r="296">
      <c r="A296" s="15"/>
      <c r="B296" s="16"/>
      <c r="C296" s="15"/>
      <c r="D296" s="15"/>
      <c r="E296" s="15"/>
      <c r="F296" s="3"/>
      <c r="G296" s="18"/>
      <c r="H296" s="3"/>
      <c r="I296" s="19"/>
      <c r="J296" s="19"/>
      <c r="K296" s="3"/>
      <c r="L296" s="3"/>
      <c r="M296" s="20"/>
      <c r="N296" s="20"/>
      <c r="O296" s="20"/>
      <c r="P296" s="21"/>
      <c r="Q296" s="22"/>
      <c r="R296" s="22"/>
      <c r="S296" s="19"/>
      <c r="T296" s="19"/>
      <c r="U296" s="19"/>
      <c r="V296" s="19"/>
      <c r="W296" s="26"/>
      <c r="X296" s="28"/>
    </row>
    <row r="297">
      <c r="A297" s="15"/>
      <c r="B297" s="16"/>
      <c r="C297" s="15"/>
      <c r="D297" s="15"/>
      <c r="E297" s="15"/>
      <c r="F297" s="3"/>
      <c r="G297" s="18"/>
      <c r="H297" s="3"/>
      <c r="I297" s="19"/>
      <c r="J297" s="19"/>
      <c r="K297" s="3"/>
      <c r="L297" s="3"/>
      <c r="M297" s="20"/>
      <c r="N297" s="20"/>
      <c r="O297" s="20"/>
      <c r="P297" s="21"/>
      <c r="Q297" s="22"/>
      <c r="R297" s="22"/>
      <c r="S297" s="19"/>
      <c r="T297" s="19"/>
      <c r="U297" s="19"/>
      <c r="V297" s="19"/>
      <c r="W297" s="26"/>
      <c r="X297" s="28"/>
    </row>
    <row r="298">
      <c r="A298" s="15"/>
      <c r="B298" s="16"/>
      <c r="C298" s="15"/>
      <c r="D298" s="15"/>
      <c r="E298" s="15"/>
      <c r="F298" s="3"/>
      <c r="G298" s="18"/>
      <c r="H298" s="3"/>
      <c r="I298" s="19"/>
      <c r="J298" s="19"/>
      <c r="K298" s="3"/>
      <c r="L298" s="3"/>
      <c r="M298" s="20"/>
      <c r="N298" s="20"/>
      <c r="O298" s="20"/>
      <c r="P298" s="21"/>
      <c r="Q298" s="22"/>
      <c r="R298" s="22"/>
      <c r="S298" s="19"/>
      <c r="T298" s="19"/>
      <c r="U298" s="19"/>
      <c r="V298" s="19"/>
      <c r="W298" s="26"/>
      <c r="X298" s="28"/>
    </row>
    <row r="299">
      <c r="A299" s="15"/>
      <c r="B299" s="16"/>
      <c r="C299" s="15"/>
      <c r="D299" s="15"/>
      <c r="E299" s="15"/>
      <c r="F299" s="3"/>
      <c r="G299" s="18"/>
      <c r="H299" s="3"/>
      <c r="I299" s="19"/>
      <c r="J299" s="19"/>
      <c r="K299" s="3"/>
      <c r="L299" s="3"/>
      <c r="M299" s="20"/>
      <c r="N299" s="20"/>
      <c r="O299" s="20"/>
      <c r="P299" s="21"/>
      <c r="Q299" s="22"/>
      <c r="R299" s="22"/>
      <c r="S299" s="19"/>
      <c r="T299" s="19"/>
      <c r="U299" s="19"/>
      <c r="V299" s="19"/>
      <c r="W299" s="26"/>
      <c r="X299" s="28"/>
    </row>
    <row r="300">
      <c r="A300" s="15"/>
      <c r="B300" s="16"/>
      <c r="C300" s="15"/>
      <c r="D300" s="15"/>
      <c r="E300" s="15"/>
      <c r="F300" s="3"/>
      <c r="G300" s="18"/>
      <c r="H300" s="3"/>
      <c r="I300" s="19"/>
      <c r="J300" s="19"/>
      <c r="K300" s="3"/>
      <c r="L300" s="3"/>
      <c r="M300" s="20"/>
      <c r="N300" s="20"/>
      <c r="O300" s="20"/>
      <c r="P300" s="21"/>
      <c r="Q300" s="22"/>
      <c r="R300" s="22"/>
      <c r="S300" s="19"/>
      <c r="T300" s="19"/>
      <c r="U300" s="19"/>
      <c r="V300" s="19"/>
      <c r="W300" s="26"/>
      <c r="X300" s="28"/>
    </row>
    <row r="301">
      <c r="A301" s="15"/>
      <c r="B301" s="16"/>
      <c r="C301" s="15"/>
      <c r="D301" s="15"/>
      <c r="E301" s="15"/>
      <c r="F301" s="3"/>
      <c r="G301" s="18"/>
      <c r="H301" s="3"/>
      <c r="I301" s="19"/>
      <c r="J301" s="19"/>
      <c r="K301" s="3"/>
      <c r="L301" s="3"/>
      <c r="M301" s="20"/>
      <c r="N301" s="20"/>
      <c r="O301" s="20"/>
      <c r="P301" s="21"/>
      <c r="Q301" s="22"/>
      <c r="R301" s="22"/>
      <c r="S301" s="19"/>
      <c r="T301" s="19"/>
      <c r="U301" s="19"/>
      <c r="V301" s="19"/>
      <c r="W301" s="26"/>
      <c r="X301" s="28"/>
    </row>
    <row r="302">
      <c r="A302" s="15"/>
      <c r="B302" s="16"/>
      <c r="C302" s="15"/>
      <c r="D302" s="15"/>
      <c r="E302" s="15"/>
      <c r="F302" s="3"/>
      <c r="G302" s="18"/>
      <c r="H302" s="3"/>
      <c r="I302" s="19"/>
      <c r="J302" s="19"/>
      <c r="K302" s="3"/>
      <c r="L302" s="3"/>
      <c r="M302" s="20"/>
      <c r="N302" s="20"/>
      <c r="O302" s="20"/>
      <c r="P302" s="21"/>
      <c r="Q302" s="22"/>
      <c r="R302" s="22"/>
      <c r="S302" s="19"/>
      <c r="T302" s="19"/>
      <c r="U302" s="19"/>
      <c r="V302" s="19"/>
      <c r="W302" s="26"/>
      <c r="X302" s="28"/>
    </row>
    <row r="303">
      <c r="A303" s="15"/>
      <c r="B303" s="16"/>
      <c r="C303" s="15"/>
      <c r="D303" s="15"/>
      <c r="E303" s="15"/>
      <c r="F303" s="3"/>
      <c r="G303" s="18"/>
      <c r="H303" s="3"/>
      <c r="I303" s="19"/>
      <c r="J303" s="19"/>
      <c r="K303" s="3"/>
      <c r="L303" s="3"/>
      <c r="M303" s="20"/>
      <c r="N303" s="20"/>
      <c r="O303" s="20"/>
      <c r="P303" s="21"/>
      <c r="Q303" s="22"/>
      <c r="R303" s="22"/>
      <c r="S303" s="19"/>
      <c r="T303" s="19"/>
      <c r="U303" s="19"/>
      <c r="V303" s="19"/>
      <c r="W303" s="26"/>
      <c r="X303" s="28"/>
    </row>
    <row r="304">
      <c r="A304" s="15"/>
      <c r="B304" s="16"/>
      <c r="C304" s="15"/>
      <c r="D304" s="15"/>
      <c r="E304" s="15"/>
      <c r="F304" s="3"/>
      <c r="G304" s="18"/>
      <c r="H304" s="3"/>
      <c r="I304" s="19"/>
      <c r="J304" s="19"/>
      <c r="K304" s="3"/>
      <c r="L304" s="3"/>
      <c r="M304" s="20"/>
      <c r="N304" s="20"/>
      <c r="O304" s="20"/>
      <c r="P304" s="21"/>
      <c r="Q304" s="22"/>
      <c r="R304" s="22"/>
      <c r="S304" s="19"/>
      <c r="T304" s="19"/>
      <c r="U304" s="19"/>
      <c r="V304" s="19"/>
      <c r="W304" s="26"/>
      <c r="X304" s="28"/>
    </row>
    <row r="305">
      <c r="A305" s="15"/>
      <c r="B305" s="16"/>
      <c r="C305" s="15"/>
      <c r="D305" s="15"/>
      <c r="E305" s="15"/>
      <c r="F305" s="3"/>
      <c r="G305" s="18"/>
      <c r="H305" s="3"/>
      <c r="I305" s="19"/>
      <c r="J305" s="19"/>
      <c r="K305" s="3"/>
      <c r="L305" s="3"/>
      <c r="M305" s="20"/>
      <c r="N305" s="20"/>
      <c r="O305" s="20"/>
      <c r="P305" s="21"/>
      <c r="Q305" s="22"/>
      <c r="R305" s="22"/>
      <c r="S305" s="19"/>
      <c r="T305" s="19"/>
      <c r="U305" s="19"/>
      <c r="V305" s="19"/>
      <c r="W305" s="26"/>
      <c r="X305" s="28"/>
    </row>
    <row r="306">
      <c r="A306" s="15"/>
      <c r="B306" s="16"/>
      <c r="C306" s="15"/>
      <c r="D306" s="15"/>
      <c r="E306" s="15"/>
      <c r="F306" s="3"/>
      <c r="G306" s="18"/>
      <c r="H306" s="3"/>
      <c r="I306" s="19"/>
      <c r="J306" s="19"/>
      <c r="K306" s="3"/>
      <c r="L306" s="3"/>
      <c r="M306" s="20"/>
      <c r="N306" s="20"/>
      <c r="O306" s="20"/>
      <c r="P306" s="21"/>
      <c r="Q306" s="22"/>
      <c r="R306" s="22"/>
      <c r="S306" s="19"/>
      <c r="T306" s="19"/>
      <c r="U306" s="19"/>
      <c r="V306" s="19"/>
      <c r="W306" s="26"/>
      <c r="X306" s="28"/>
    </row>
    <row r="307">
      <c r="A307" s="15"/>
      <c r="B307" s="16"/>
      <c r="C307" s="15"/>
      <c r="D307" s="15"/>
      <c r="E307" s="15"/>
      <c r="F307" s="3"/>
      <c r="G307" s="18"/>
      <c r="H307" s="3"/>
      <c r="I307" s="19"/>
      <c r="J307" s="19"/>
      <c r="K307" s="3"/>
      <c r="L307" s="3"/>
      <c r="M307" s="20"/>
      <c r="N307" s="20"/>
      <c r="O307" s="20"/>
      <c r="P307" s="21"/>
      <c r="Q307" s="22"/>
      <c r="R307" s="22"/>
      <c r="S307" s="19"/>
      <c r="T307" s="19"/>
      <c r="U307" s="19"/>
      <c r="V307" s="19"/>
      <c r="W307" s="26"/>
      <c r="X307" s="28"/>
    </row>
    <row r="308">
      <c r="A308" s="15"/>
      <c r="B308" s="16"/>
      <c r="C308" s="15"/>
      <c r="D308" s="15"/>
      <c r="E308" s="15"/>
      <c r="F308" s="3"/>
      <c r="G308" s="18"/>
      <c r="H308" s="3"/>
      <c r="I308" s="19"/>
      <c r="J308" s="19"/>
      <c r="K308" s="3"/>
      <c r="L308" s="3"/>
      <c r="M308" s="20"/>
      <c r="N308" s="20"/>
      <c r="O308" s="20"/>
      <c r="P308" s="21"/>
      <c r="Q308" s="22"/>
      <c r="R308" s="22"/>
      <c r="S308" s="19"/>
      <c r="T308" s="19"/>
      <c r="U308" s="19"/>
      <c r="V308" s="19"/>
      <c r="W308" s="26"/>
      <c r="X308" s="28"/>
    </row>
    <row r="309">
      <c r="A309" s="15"/>
      <c r="B309" s="16"/>
      <c r="C309" s="15"/>
      <c r="D309" s="15"/>
      <c r="E309" s="15"/>
      <c r="F309" s="3"/>
      <c r="G309" s="18"/>
      <c r="H309" s="3"/>
      <c r="I309" s="19"/>
      <c r="J309" s="19"/>
      <c r="K309" s="3"/>
      <c r="L309" s="3"/>
      <c r="M309" s="20"/>
      <c r="N309" s="20"/>
      <c r="O309" s="20"/>
      <c r="P309" s="21"/>
      <c r="Q309" s="22"/>
      <c r="R309" s="22"/>
      <c r="S309" s="19"/>
      <c r="T309" s="19"/>
      <c r="U309" s="19"/>
      <c r="V309" s="19"/>
      <c r="W309" s="26"/>
      <c r="X309" s="28"/>
    </row>
    <row r="310">
      <c r="A310" s="15"/>
      <c r="B310" s="16"/>
      <c r="C310" s="15"/>
      <c r="D310" s="15"/>
      <c r="E310" s="15"/>
      <c r="F310" s="3"/>
      <c r="G310" s="18"/>
      <c r="H310" s="3"/>
      <c r="I310" s="19"/>
      <c r="J310" s="19"/>
      <c r="K310" s="3"/>
      <c r="L310" s="3"/>
      <c r="M310" s="20"/>
      <c r="N310" s="20"/>
      <c r="O310" s="20"/>
      <c r="P310" s="21"/>
      <c r="Q310" s="22"/>
      <c r="R310" s="22"/>
      <c r="S310" s="19"/>
      <c r="T310" s="19"/>
      <c r="U310" s="19"/>
      <c r="V310" s="19"/>
      <c r="W310" s="26"/>
      <c r="X310" s="28"/>
    </row>
    <row r="311">
      <c r="A311" s="15"/>
      <c r="B311" s="16"/>
      <c r="C311" s="15"/>
      <c r="D311" s="15"/>
      <c r="E311" s="15"/>
      <c r="F311" s="3"/>
      <c r="G311" s="18"/>
      <c r="H311" s="3"/>
      <c r="I311" s="19"/>
      <c r="J311" s="19"/>
      <c r="K311" s="3"/>
      <c r="L311" s="3"/>
      <c r="M311" s="20"/>
      <c r="N311" s="20"/>
      <c r="O311" s="20"/>
      <c r="P311" s="21"/>
      <c r="Q311" s="22"/>
      <c r="R311" s="22"/>
      <c r="S311" s="19"/>
      <c r="T311" s="19"/>
      <c r="U311" s="19"/>
      <c r="V311" s="19"/>
      <c r="W311" s="26"/>
      <c r="X311" s="28"/>
    </row>
    <row r="312">
      <c r="A312" s="15"/>
      <c r="B312" s="16"/>
      <c r="C312" s="15"/>
      <c r="D312" s="15"/>
      <c r="E312" s="15"/>
      <c r="F312" s="3"/>
      <c r="G312" s="18"/>
      <c r="H312" s="3"/>
      <c r="I312" s="19"/>
      <c r="J312" s="19"/>
      <c r="K312" s="3"/>
      <c r="L312" s="3"/>
      <c r="M312" s="20"/>
      <c r="N312" s="20"/>
      <c r="O312" s="20"/>
      <c r="P312" s="21"/>
      <c r="Q312" s="22"/>
      <c r="R312" s="22"/>
      <c r="S312" s="19"/>
      <c r="T312" s="19"/>
      <c r="U312" s="19"/>
      <c r="V312" s="19"/>
      <c r="W312" s="26"/>
      <c r="X312" s="28"/>
    </row>
    <row r="313">
      <c r="A313" s="15"/>
      <c r="B313" s="16"/>
      <c r="C313" s="15"/>
      <c r="D313" s="15"/>
      <c r="E313" s="15"/>
      <c r="F313" s="3"/>
      <c r="G313" s="18"/>
      <c r="H313" s="3"/>
      <c r="I313" s="19"/>
      <c r="J313" s="19"/>
      <c r="K313" s="3"/>
      <c r="L313" s="3"/>
      <c r="M313" s="20"/>
      <c r="N313" s="20"/>
      <c r="O313" s="20"/>
      <c r="P313" s="21"/>
      <c r="Q313" s="22"/>
      <c r="R313" s="22"/>
      <c r="S313" s="19"/>
      <c r="T313" s="19"/>
      <c r="U313" s="19"/>
      <c r="V313" s="19"/>
      <c r="W313" s="26"/>
      <c r="X313" s="28"/>
    </row>
    <row r="314">
      <c r="A314" s="15"/>
      <c r="B314" s="16"/>
      <c r="C314" s="15"/>
      <c r="D314" s="15"/>
      <c r="E314" s="15"/>
      <c r="F314" s="3"/>
      <c r="G314" s="18"/>
      <c r="H314" s="3"/>
      <c r="I314" s="19"/>
      <c r="J314" s="19"/>
      <c r="K314" s="3"/>
      <c r="L314" s="3"/>
      <c r="M314" s="20"/>
      <c r="N314" s="20"/>
      <c r="O314" s="20"/>
      <c r="P314" s="21"/>
      <c r="Q314" s="22"/>
      <c r="R314" s="22"/>
      <c r="S314" s="19"/>
      <c r="T314" s="19"/>
      <c r="U314" s="19"/>
      <c r="V314" s="19"/>
      <c r="W314" s="26"/>
      <c r="X314" s="28"/>
    </row>
    <row r="315">
      <c r="A315" s="15"/>
      <c r="B315" s="16"/>
      <c r="C315" s="15"/>
      <c r="D315" s="15"/>
      <c r="E315" s="15"/>
      <c r="F315" s="3"/>
      <c r="G315" s="18"/>
      <c r="H315" s="3"/>
      <c r="I315" s="19"/>
      <c r="J315" s="19"/>
      <c r="K315" s="3"/>
      <c r="L315" s="3"/>
      <c r="M315" s="20"/>
      <c r="N315" s="20"/>
      <c r="O315" s="20"/>
      <c r="P315" s="21"/>
      <c r="Q315" s="22"/>
      <c r="R315" s="22"/>
      <c r="S315" s="19"/>
      <c r="T315" s="19"/>
      <c r="U315" s="19"/>
      <c r="V315" s="19"/>
      <c r="W315" s="26"/>
      <c r="X315" s="28"/>
    </row>
    <row r="316">
      <c r="A316" s="15"/>
      <c r="B316" s="16"/>
      <c r="C316" s="15"/>
      <c r="D316" s="15"/>
      <c r="E316" s="15"/>
      <c r="F316" s="3"/>
      <c r="G316" s="18"/>
      <c r="H316" s="3"/>
      <c r="I316" s="19"/>
      <c r="J316" s="19"/>
      <c r="K316" s="3"/>
      <c r="L316" s="3"/>
      <c r="M316" s="20"/>
      <c r="N316" s="20"/>
      <c r="O316" s="20"/>
      <c r="P316" s="21"/>
      <c r="Q316" s="22"/>
      <c r="R316" s="22"/>
      <c r="S316" s="19"/>
      <c r="T316" s="19"/>
      <c r="U316" s="19"/>
      <c r="V316" s="19"/>
      <c r="W316" s="26"/>
      <c r="X316" s="28"/>
    </row>
    <row r="317">
      <c r="A317" s="15"/>
      <c r="B317" s="16"/>
      <c r="C317" s="15"/>
      <c r="D317" s="15"/>
      <c r="E317" s="15"/>
      <c r="F317" s="3"/>
      <c r="G317" s="18"/>
      <c r="H317" s="3"/>
      <c r="I317" s="19"/>
      <c r="J317" s="19"/>
      <c r="K317" s="3"/>
      <c r="L317" s="3"/>
      <c r="M317" s="20"/>
      <c r="N317" s="20"/>
      <c r="O317" s="20"/>
      <c r="P317" s="21"/>
      <c r="Q317" s="22"/>
      <c r="R317" s="22"/>
      <c r="S317" s="19"/>
      <c r="T317" s="19"/>
      <c r="U317" s="19"/>
      <c r="V317" s="19"/>
      <c r="W317" s="26"/>
      <c r="X317" s="28"/>
    </row>
    <row r="318">
      <c r="A318" s="15"/>
      <c r="B318" s="16"/>
      <c r="C318" s="15"/>
      <c r="D318" s="15"/>
      <c r="E318" s="15"/>
      <c r="F318" s="3"/>
      <c r="G318" s="18"/>
      <c r="H318" s="3"/>
      <c r="I318" s="19"/>
      <c r="J318" s="19"/>
      <c r="K318" s="3"/>
      <c r="L318" s="3"/>
      <c r="M318" s="20"/>
      <c r="N318" s="20"/>
      <c r="O318" s="20"/>
      <c r="P318" s="21"/>
      <c r="Q318" s="22"/>
      <c r="R318" s="22"/>
      <c r="S318" s="19"/>
      <c r="T318" s="19"/>
      <c r="U318" s="19"/>
      <c r="V318" s="19"/>
      <c r="W318" s="26"/>
      <c r="X318" s="28"/>
    </row>
    <row r="319">
      <c r="A319" s="15"/>
      <c r="B319" s="16"/>
      <c r="C319" s="15"/>
      <c r="D319" s="15"/>
      <c r="E319" s="15"/>
      <c r="F319" s="3"/>
      <c r="G319" s="18"/>
      <c r="H319" s="3"/>
      <c r="I319" s="19"/>
      <c r="J319" s="19"/>
      <c r="K319" s="3"/>
      <c r="L319" s="3"/>
      <c r="M319" s="20"/>
      <c r="N319" s="20"/>
      <c r="O319" s="20"/>
      <c r="P319" s="21"/>
      <c r="Q319" s="22"/>
      <c r="R319" s="22"/>
      <c r="S319" s="19"/>
      <c r="T319" s="19"/>
      <c r="U319" s="19"/>
      <c r="V319" s="19"/>
      <c r="W319" s="26"/>
      <c r="X319" s="28"/>
    </row>
    <row r="320">
      <c r="A320" s="15"/>
      <c r="B320" s="16"/>
      <c r="C320" s="15"/>
      <c r="D320" s="15"/>
      <c r="E320" s="15"/>
      <c r="F320" s="3"/>
      <c r="G320" s="18"/>
      <c r="H320" s="3"/>
      <c r="I320" s="19"/>
      <c r="J320" s="19"/>
      <c r="K320" s="3"/>
      <c r="L320" s="3"/>
      <c r="M320" s="20"/>
      <c r="N320" s="20"/>
      <c r="O320" s="20"/>
      <c r="P320" s="21"/>
      <c r="Q320" s="22"/>
      <c r="R320" s="22"/>
      <c r="S320" s="19"/>
      <c r="T320" s="19"/>
      <c r="U320" s="19"/>
      <c r="V320" s="19"/>
      <c r="W320" s="26"/>
      <c r="X320" s="28"/>
    </row>
    <row r="321">
      <c r="A321" s="15"/>
      <c r="B321" s="16"/>
      <c r="C321" s="15"/>
      <c r="D321" s="15"/>
      <c r="E321" s="15"/>
      <c r="F321" s="3"/>
      <c r="G321" s="18"/>
      <c r="H321" s="3"/>
      <c r="I321" s="19"/>
      <c r="J321" s="19"/>
      <c r="K321" s="3"/>
      <c r="L321" s="3"/>
      <c r="M321" s="20"/>
      <c r="N321" s="20"/>
      <c r="O321" s="20"/>
      <c r="P321" s="21"/>
      <c r="Q321" s="22"/>
      <c r="R321" s="22"/>
      <c r="S321" s="19"/>
      <c r="T321" s="19"/>
      <c r="U321" s="19"/>
      <c r="V321" s="19"/>
      <c r="W321" s="26"/>
      <c r="X321" s="28"/>
    </row>
    <row r="322">
      <c r="A322" s="15"/>
      <c r="B322" s="16"/>
      <c r="C322" s="15"/>
      <c r="D322" s="15"/>
      <c r="E322" s="15"/>
      <c r="F322" s="3"/>
      <c r="G322" s="18"/>
      <c r="H322" s="3"/>
      <c r="I322" s="19"/>
      <c r="J322" s="19"/>
      <c r="K322" s="3"/>
      <c r="L322" s="3"/>
      <c r="M322" s="20"/>
      <c r="N322" s="20"/>
      <c r="O322" s="20"/>
      <c r="P322" s="21"/>
      <c r="Q322" s="22"/>
      <c r="R322" s="22"/>
      <c r="S322" s="19"/>
      <c r="T322" s="19"/>
      <c r="U322" s="19"/>
      <c r="V322" s="19"/>
      <c r="W322" s="26"/>
      <c r="X322" s="28"/>
    </row>
    <row r="323">
      <c r="A323" s="15"/>
      <c r="B323" s="16"/>
      <c r="C323" s="15"/>
      <c r="D323" s="15"/>
      <c r="E323" s="15"/>
      <c r="F323" s="3"/>
      <c r="G323" s="18"/>
      <c r="H323" s="3"/>
      <c r="I323" s="19"/>
      <c r="J323" s="19"/>
      <c r="K323" s="3"/>
      <c r="L323" s="3"/>
      <c r="M323" s="20"/>
      <c r="N323" s="20"/>
      <c r="O323" s="20"/>
      <c r="P323" s="21"/>
      <c r="Q323" s="22"/>
      <c r="R323" s="22"/>
      <c r="S323" s="19"/>
      <c r="T323" s="19"/>
      <c r="U323" s="19"/>
      <c r="V323" s="19"/>
      <c r="W323" s="26"/>
      <c r="X323" s="28"/>
    </row>
    <row r="324">
      <c r="A324" s="15"/>
      <c r="B324" s="16"/>
      <c r="C324" s="15"/>
      <c r="D324" s="15"/>
      <c r="E324" s="15"/>
      <c r="F324" s="3"/>
      <c r="G324" s="18"/>
      <c r="H324" s="3"/>
      <c r="I324" s="19"/>
      <c r="J324" s="19"/>
      <c r="K324" s="3"/>
      <c r="L324" s="3"/>
      <c r="M324" s="20"/>
      <c r="N324" s="20"/>
      <c r="O324" s="20"/>
      <c r="P324" s="21"/>
      <c r="Q324" s="22"/>
      <c r="R324" s="22"/>
      <c r="S324" s="19"/>
      <c r="T324" s="19"/>
      <c r="U324" s="19"/>
      <c r="V324" s="19"/>
      <c r="W324" s="26"/>
      <c r="X324" s="28"/>
    </row>
    <row r="325">
      <c r="A325" s="15"/>
      <c r="B325" s="16"/>
      <c r="C325" s="15"/>
      <c r="D325" s="15"/>
      <c r="E325" s="15"/>
      <c r="F325" s="3"/>
      <c r="G325" s="18"/>
      <c r="H325" s="3"/>
      <c r="I325" s="19"/>
      <c r="J325" s="19"/>
      <c r="K325" s="3"/>
      <c r="L325" s="3"/>
      <c r="M325" s="20"/>
      <c r="N325" s="20"/>
      <c r="O325" s="20"/>
      <c r="P325" s="21"/>
      <c r="Q325" s="22"/>
      <c r="R325" s="22"/>
      <c r="S325" s="19"/>
      <c r="T325" s="19"/>
      <c r="U325" s="19"/>
      <c r="V325" s="19"/>
      <c r="W325" s="26"/>
      <c r="X325" s="28"/>
    </row>
    <row r="326">
      <c r="A326" s="15"/>
      <c r="B326" s="16"/>
      <c r="C326" s="15"/>
      <c r="D326" s="15"/>
      <c r="E326" s="15"/>
      <c r="F326" s="3"/>
      <c r="G326" s="18"/>
      <c r="H326" s="3"/>
      <c r="I326" s="19"/>
      <c r="J326" s="19"/>
      <c r="K326" s="3"/>
      <c r="L326" s="3"/>
      <c r="M326" s="20"/>
      <c r="N326" s="20"/>
      <c r="O326" s="20"/>
      <c r="P326" s="21"/>
      <c r="Q326" s="22"/>
      <c r="R326" s="22"/>
      <c r="S326" s="19"/>
      <c r="T326" s="19"/>
      <c r="U326" s="19"/>
      <c r="V326" s="19"/>
      <c r="W326" s="26"/>
      <c r="X326" s="28"/>
    </row>
    <row r="327">
      <c r="A327" s="15"/>
      <c r="B327" s="16"/>
      <c r="C327" s="15"/>
      <c r="D327" s="15"/>
      <c r="E327" s="15"/>
      <c r="F327" s="3"/>
      <c r="G327" s="18"/>
      <c r="H327" s="3"/>
      <c r="I327" s="19"/>
      <c r="J327" s="19"/>
      <c r="K327" s="3"/>
      <c r="L327" s="3"/>
      <c r="M327" s="20"/>
      <c r="N327" s="20"/>
      <c r="O327" s="20"/>
      <c r="P327" s="21"/>
      <c r="Q327" s="22"/>
      <c r="R327" s="22"/>
      <c r="S327" s="19"/>
      <c r="T327" s="19"/>
      <c r="U327" s="19"/>
      <c r="V327" s="19"/>
      <c r="W327" s="26"/>
      <c r="X327" s="28"/>
    </row>
    <row r="328">
      <c r="A328" s="15"/>
      <c r="B328" s="16"/>
      <c r="C328" s="15"/>
      <c r="D328" s="15"/>
      <c r="E328" s="15"/>
      <c r="F328" s="3"/>
      <c r="G328" s="18"/>
      <c r="H328" s="3"/>
      <c r="I328" s="19"/>
      <c r="J328" s="19"/>
      <c r="K328" s="3"/>
      <c r="L328" s="3"/>
      <c r="M328" s="20"/>
      <c r="N328" s="20"/>
      <c r="O328" s="20"/>
      <c r="P328" s="21"/>
      <c r="Q328" s="22"/>
      <c r="R328" s="22"/>
      <c r="S328" s="19"/>
      <c r="T328" s="19"/>
      <c r="U328" s="19"/>
      <c r="V328" s="19"/>
      <c r="W328" s="26"/>
      <c r="X328" s="28"/>
    </row>
    <row r="329">
      <c r="A329" s="15"/>
      <c r="B329" s="16"/>
      <c r="C329" s="15"/>
      <c r="D329" s="15"/>
      <c r="E329" s="15"/>
      <c r="F329" s="3"/>
      <c r="G329" s="18"/>
      <c r="H329" s="3"/>
      <c r="I329" s="19"/>
      <c r="J329" s="19"/>
      <c r="K329" s="3"/>
      <c r="L329" s="3"/>
      <c r="M329" s="20"/>
      <c r="N329" s="20"/>
      <c r="O329" s="20"/>
      <c r="P329" s="21"/>
      <c r="Q329" s="22"/>
      <c r="R329" s="22"/>
      <c r="S329" s="19"/>
      <c r="T329" s="19"/>
      <c r="U329" s="19"/>
      <c r="V329" s="19"/>
      <c r="W329" s="26"/>
      <c r="X329" s="28"/>
    </row>
    <row r="330">
      <c r="A330" s="15"/>
      <c r="B330" s="16"/>
      <c r="C330" s="15"/>
      <c r="D330" s="15"/>
      <c r="E330" s="15"/>
      <c r="F330" s="3"/>
      <c r="G330" s="18"/>
      <c r="H330" s="3"/>
      <c r="I330" s="19"/>
      <c r="J330" s="19"/>
      <c r="K330" s="3"/>
      <c r="L330" s="3"/>
      <c r="M330" s="20"/>
      <c r="N330" s="20"/>
      <c r="O330" s="20"/>
      <c r="P330" s="21"/>
      <c r="Q330" s="22"/>
      <c r="R330" s="22"/>
      <c r="S330" s="19"/>
      <c r="T330" s="19"/>
      <c r="U330" s="19"/>
      <c r="V330" s="19"/>
      <c r="W330" s="26"/>
      <c r="X330" s="28"/>
    </row>
    <row r="331">
      <c r="A331" s="15"/>
      <c r="B331" s="16"/>
      <c r="C331" s="15"/>
      <c r="D331" s="15"/>
      <c r="E331" s="15"/>
      <c r="F331" s="3"/>
      <c r="G331" s="18"/>
      <c r="H331" s="3"/>
      <c r="I331" s="19"/>
      <c r="J331" s="19"/>
      <c r="K331" s="3"/>
      <c r="L331" s="3"/>
      <c r="M331" s="20"/>
      <c r="N331" s="20"/>
      <c r="O331" s="20"/>
      <c r="P331" s="21"/>
      <c r="Q331" s="22"/>
      <c r="R331" s="22"/>
      <c r="S331" s="19"/>
      <c r="T331" s="19"/>
      <c r="U331" s="19"/>
      <c r="V331" s="19"/>
      <c r="W331" s="26"/>
      <c r="X331" s="28"/>
    </row>
    <row r="332">
      <c r="A332" s="15"/>
      <c r="B332" s="16"/>
      <c r="C332" s="15"/>
      <c r="D332" s="15"/>
      <c r="E332" s="15"/>
      <c r="F332" s="3"/>
      <c r="G332" s="18"/>
      <c r="H332" s="3"/>
      <c r="I332" s="19"/>
      <c r="J332" s="19"/>
      <c r="K332" s="3"/>
      <c r="L332" s="3"/>
      <c r="M332" s="20"/>
      <c r="N332" s="20"/>
      <c r="O332" s="20"/>
      <c r="P332" s="21"/>
      <c r="Q332" s="22"/>
      <c r="R332" s="22"/>
      <c r="S332" s="19"/>
      <c r="T332" s="19"/>
      <c r="U332" s="19"/>
      <c r="V332" s="19"/>
      <c r="W332" s="26"/>
      <c r="X332" s="28"/>
    </row>
    <row r="333">
      <c r="A333" s="15"/>
      <c r="B333" s="16"/>
      <c r="C333" s="15"/>
      <c r="D333" s="15"/>
      <c r="E333" s="15"/>
      <c r="F333" s="3"/>
      <c r="G333" s="18"/>
      <c r="H333" s="3"/>
      <c r="I333" s="19"/>
      <c r="J333" s="19"/>
      <c r="K333" s="3"/>
      <c r="L333" s="3"/>
      <c r="M333" s="20"/>
      <c r="N333" s="20"/>
      <c r="O333" s="20"/>
      <c r="P333" s="21"/>
      <c r="Q333" s="22"/>
      <c r="R333" s="22"/>
      <c r="S333" s="19"/>
      <c r="T333" s="19"/>
      <c r="U333" s="19"/>
      <c r="V333" s="19"/>
      <c r="W333" s="26"/>
      <c r="X333" s="28"/>
    </row>
    <row r="334">
      <c r="A334" s="15"/>
      <c r="B334" s="16"/>
      <c r="C334" s="15"/>
      <c r="D334" s="15"/>
      <c r="E334" s="15"/>
      <c r="F334" s="3"/>
      <c r="G334" s="18"/>
      <c r="H334" s="3"/>
      <c r="I334" s="19"/>
      <c r="J334" s="19"/>
      <c r="K334" s="3"/>
      <c r="L334" s="3"/>
      <c r="M334" s="20"/>
      <c r="N334" s="20"/>
      <c r="O334" s="20"/>
      <c r="P334" s="21"/>
      <c r="Q334" s="22"/>
      <c r="R334" s="22"/>
      <c r="S334" s="19"/>
      <c r="T334" s="19"/>
      <c r="U334" s="19"/>
      <c r="V334" s="19"/>
      <c r="W334" s="26"/>
      <c r="X334" s="28"/>
    </row>
    <row r="335">
      <c r="A335" s="15"/>
      <c r="B335" s="16"/>
      <c r="C335" s="15"/>
      <c r="D335" s="15"/>
      <c r="E335" s="15"/>
      <c r="F335" s="3"/>
      <c r="G335" s="18"/>
      <c r="H335" s="3"/>
      <c r="I335" s="19"/>
      <c r="J335" s="19"/>
      <c r="K335" s="3"/>
      <c r="L335" s="3"/>
      <c r="M335" s="20"/>
      <c r="N335" s="20"/>
      <c r="O335" s="20"/>
      <c r="P335" s="21"/>
      <c r="Q335" s="22"/>
      <c r="R335" s="22"/>
      <c r="S335" s="19"/>
      <c r="T335" s="19"/>
      <c r="U335" s="19"/>
      <c r="V335" s="19"/>
      <c r="W335" s="26"/>
      <c r="X335" s="28"/>
    </row>
    <row r="336">
      <c r="A336" s="15"/>
      <c r="B336" s="16"/>
      <c r="C336" s="15"/>
      <c r="D336" s="15"/>
      <c r="E336" s="15"/>
      <c r="F336" s="3"/>
      <c r="G336" s="18"/>
      <c r="H336" s="3"/>
      <c r="I336" s="19"/>
      <c r="J336" s="19"/>
      <c r="K336" s="3"/>
      <c r="L336" s="3"/>
      <c r="M336" s="20"/>
      <c r="N336" s="20"/>
      <c r="O336" s="20"/>
      <c r="P336" s="21"/>
      <c r="Q336" s="22"/>
      <c r="R336" s="22"/>
      <c r="S336" s="19"/>
      <c r="T336" s="19"/>
      <c r="U336" s="19"/>
      <c r="V336" s="19"/>
      <c r="W336" s="26"/>
      <c r="X336" s="28"/>
    </row>
    <row r="337">
      <c r="A337" s="15"/>
      <c r="B337" s="16"/>
      <c r="C337" s="15"/>
      <c r="D337" s="15"/>
      <c r="E337" s="15"/>
      <c r="F337" s="3"/>
      <c r="G337" s="18"/>
      <c r="H337" s="3"/>
      <c r="I337" s="19"/>
      <c r="J337" s="19"/>
      <c r="K337" s="3"/>
      <c r="L337" s="3"/>
      <c r="M337" s="20"/>
      <c r="N337" s="20"/>
      <c r="O337" s="20"/>
      <c r="P337" s="21"/>
      <c r="Q337" s="22"/>
      <c r="R337" s="22"/>
      <c r="S337" s="19"/>
      <c r="T337" s="19"/>
      <c r="U337" s="19"/>
      <c r="V337" s="19"/>
      <c r="W337" s="26"/>
      <c r="X337" s="28"/>
    </row>
    <row r="338">
      <c r="A338" s="15"/>
      <c r="B338" s="16"/>
      <c r="C338" s="15"/>
      <c r="D338" s="15"/>
      <c r="E338" s="15"/>
      <c r="F338" s="3"/>
      <c r="G338" s="18"/>
      <c r="H338" s="3"/>
      <c r="I338" s="19"/>
      <c r="J338" s="19"/>
      <c r="K338" s="3"/>
      <c r="L338" s="3"/>
      <c r="M338" s="20"/>
      <c r="N338" s="20"/>
      <c r="O338" s="20"/>
      <c r="P338" s="21"/>
      <c r="Q338" s="22"/>
      <c r="R338" s="22"/>
      <c r="S338" s="19"/>
      <c r="T338" s="19"/>
      <c r="U338" s="19"/>
      <c r="V338" s="19"/>
      <c r="W338" s="26"/>
      <c r="X338" s="28"/>
    </row>
    <row r="339">
      <c r="A339" s="15"/>
      <c r="B339" s="16"/>
      <c r="C339" s="15"/>
      <c r="D339" s="15"/>
      <c r="E339" s="15"/>
      <c r="F339" s="3"/>
      <c r="G339" s="18"/>
      <c r="H339" s="3"/>
      <c r="I339" s="19"/>
      <c r="J339" s="19"/>
      <c r="K339" s="3"/>
      <c r="L339" s="3"/>
      <c r="M339" s="20"/>
      <c r="N339" s="20"/>
      <c r="O339" s="20"/>
      <c r="P339" s="21"/>
      <c r="Q339" s="22"/>
      <c r="R339" s="22"/>
      <c r="S339" s="19"/>
      <c r="T339" s="19"/>
      <c r="U339" s="19"/>
      <c r="V339" s="19"/>
      <c r="W339" s="26"/>
      <c r="X339" s="28"/>
    </row>
    <row r="340">
      <c r="A340" s="15"/>
      <c r="B340" s="16"/>
      <c r="C340" s="15"/>
      <c r="D340" s="15"/>
      <c r="E340" s="15"/>
      <c r="F340" s="3"/>
      <c r="G340" s="18"/>
      <c r="H340" s="3"/>
      <c r="I340" s="19"/>
      <c r="J340" s="19"/>
      <c r="K340" s="3"/>
      <c r="L340" s="3"/>
      <c r="M340" s="20"/>
      <c r="N340" s="20"/>
      <c r="O340" s="20"/>
      <c r="P340" s="21"/>
      <c r="Q340" s="22"/>
      <c r="R340" s="22"/>
      <c r="S340" s="19"/>
      <c r="T340" s="19"/>
      <c r="U340" s="19"/>
      <c r="V340" s="19"/>
      <c r="W340" s="26"/>
      <c r="X340" s="28"/>
    </row>
    <row r="341">
      <c r="A341" s="15"/>
      <c r="B341" s="16"/>
      <c r="C341" s="15"/>
      <c r="D341" s="15"/>
      <c r="E341" s="15"/>
      <c r="F341" s="3"/>
      <c r="G341" s="18"/>
      <c r="H341" s="3"/>
      <c r="I341" s="19"/>
      <c r="J341" s="19"/>
      <c r="K341" s="3"/>
      <c r="L341" s="3"/>
      <c r="M341" s="20"/>
      <c r="N341" s="20"/>
      <c r="O341" s="20"/>
      <c r="P341" s="21"/>
      <c r="Q341" s="22"/>
      <c r="R341" s="22"/>
      <c r="S341" s="19"/>
      <c r="T341" s="19"/>
      <c r="U341" s="19"/>
      <c r="V341" s="19"/>
      <c r="W341" s="26"/>
      <c r="X341" s="28"/>
    </row>
    <row r="342">
      <c r="A342" s="15"/>
      <c r="B342" s="16"/>
      <c r="C342" s="15"/>
      <c r="D342" s="15"/>
      <c r="E342" s="15"/>
      <c r="F342" s="3"/>
      <c r="G342" s="18"/>
      <c r="H342" s="3"/>
      <c r="I342" s="19"/>
      <c r="J342" s="19"/>
      <c r="K342" s="3"/>
      <c r="L342" s="3"/>
      <c r="M342" s="20"/>
      <c r="N342" s="20"/>
      <c r="O342" s="20"/>
      <c r="P342" s="21"/>
      <c r="Q342" s="22"/>
      <c r="R342" s="22"/>
      <c r="S342" s="19"/>
      <c r="T342" s="19"/>
      <c r="U342" s="19"/>
      <c r="V342" s="19"/>
      <c r="W342" s="26"/>
      <c r="X342" s="28"/>
    </row>
    <row r="343">
      <c r="A343" s="15"/>
      <c r="B343" s="16"/>
      <c r="C343" s="15"/>
      <c r="D343" s="15"/>
      <c r="E343" s="15"/>
      <c r="F343" s="3"/>
      <c r="G343" s="18"/>
      <c r="H343" s="3"/>
      <c r="I343" s="19"/>
      <c r="J343" s="19"/>
      <c r="K343" s="3"/>
      <c r="L343" s="3"/>
      <c r="M343" s="20"/>
      <c r="N343" s="20"/>
      <c r="O343" s="20"/>
      <c r="P343" s="21"/>
      <c r="Q343" s="22"/>
      <c r="R343" s="22"/>
      <c r="S343" s="19"/>
      <c r="T343" s="19"/>
      <c r="U343" s="19"/>
      <c r="V343" s="19"/>
      <c r="W343" s="26"/>
      <c r="X343" s="28"/>
    </row>
    <row r="344">
      <c r="A344" s="15"/>
      <c r="B344" s="16"/>
      <c r="C344" s="15"/>
      <c r="D344" s="15"/>
      <c r="E344" s="15"/>
      <c r="F344" s="3"/>
      <c r="G344" s="18"/>
      <c r="H344" s="3"/>
      <c r="I344" s="19"/>
      <c r="J344" s="19"/>
      <c r="K344" s="3"/>
      <c r="L344" s="3"/>
      <c r="M344" s="20"/>
      <c r="N344" s="20"/>
      <c r="O344" s="20"/>
      <c r="P344" s="21"/>
      <c r="Q344" s="22"/>
      <c r="R344" s="22"/>
      <c r="S344" s="19"/>
      <c r="T344" s="19"/>
      <c r="U344" s="19"/>
      <c r="V344" s="19"/>
      <c r="W344" s="26"/>
      <c r="X344" s="28"/>
    </row>
    <row r="345">
      <c r="A345" s="15"/>
      <c r="B345" s="16"/>
      <c r="C345" s="15"/>
      <c r="D345" s="15"/>
      <c r="E345" s="15"/>
      <c r="F345" s="3"/>
      <c r="G345" s="18"/>
      <c r="H345" s="3"/>
      <c r="I345" s="19"/>
      <c r="J345" s="19"/>
      <c r="K345" s="3"/>
      <c r="L345" s="3"/>
      <c r="M345" s="20"/>
      <c r="N345" s="20"/>
      <c r="O345" s="20"/>
      <c r="P345" s="21"/>
      <c r="Q345" s="22"/>
      <c r="R345" s="22"/>
      <c r="S345" s="19"/>
      <c r="T345" s="19"/>
      <c r="U345" s="19"/>
      <c r="V345" s="19"/>
      <c r="W345" s="26"/>
      <c r="X345" s="28"/>
    </row>
    <row r="346">
      <c r="A346" s="15"/>
      <c r="B346" s="16"/>
      <c r="C346" s="15"/>
      <c r="D346" s="15"/>
      <c r="E346" s="15"/>
      <c r="F346" s="3"/>
      <c r="G346" s="18"/>
      <c r="H346" s="3"/>
      <c r="I346" s="19"/>
      <c r="J346" s="19"/>
      <c r="K346" s="3"/>
      <c r="L346" s="3"/>
      <c r="M346" s="20"/>
      <c r="N346" s="20"/>
      <c r="O346" s="20"/>
      <c r="P346" s="21"/>
      <c r="Q346" s="22"/>
      <c r="R346" s="22"/>
      <c r="S346" s="19"/>
      <c r="T346" s="19"/>
      <c r="U346" s="19"/>
      <c r="V346" s="19"/>
      <c r="W346" s="26"/>
      <c r="X346" s="28"/>
    </row>
    <row r="347">
      <c r="A347" s="15"/>
      <c r="B347" s="16"/>
      <c r="C347" s="15"/>
      <c r="D347" s="15"/>
      <c r="E347" s="15"/>
      <c r="F347" s="3"/>
      <c r="G347" s="18"/>
      <c r="H347" s="3"/>
      <c r="I347" s="19"/>
      <c r="J347" s="19"/>
      <c r="K347" s="3"/>
      <c r="L347" s="3"/>
      <c r="M347" s="20"/>
      <c r="N347" s="20"/>
      <c r="O347" s="20"/>
      <c r="P347" s="21"/>
      <c r="Q347" s="22"/>
      <c r="R347" s="22"/>
      <c r="S347" s="19"/>
      <c r="T347" s="19"/>
      <c r="U347" s="19"/>
      <c r="V347" s="19"/>
      <c r="W347" s="26"/>
      <c r="X347" s="28"/>
    </row>
    <row r="348">
      <c r="A348" s="15"/>
      <c r="B348" s="16"/>
      <c r="C348" s="15"/>
      <c r="D348" s="15"/>
      <c r="E348" s="15"/>
      <c r="F348" s="3"/>
      <c r="G348" s="18"/>
      <c r="H348" s="3"/>
      <c r="I348" s="19"/>
      <c r="J348" s="19"/>
      <c r="K348" s="3"/>
      <c r="L348" s="3"/>
      <c r="M348" s="20"/>
      <c r="N348" s="20"/>
      <c r="O348" s="20"/>
      <c r="P348" s="21"/>
      <c r="Q348" s="22"/>
      <c r="R348" s="22"/>
      <c r="S348" s="19"/>
      <c r="T348" s="19"/>
      <c r="U348" s="19"/>
      <c r="V348" s="19"/>
      <c r="W348" s="26"/>
      <c r="X348" s="28"/>
    </row>
    <row r="349">
      <c r="A349" s="15"/>
      <c r="B349" s="16"/>
      <c r="C349" s="15"/>
      <c r="D349" s="15"/>
      <c r="E349" s="15"/>
      <c r="F349" s="3"/>
      <c r="G349" s="18"/>
      <c r="H349" s="3"/>
      <c r="I349" s="19"/>
      <c r="J349" s="19"/>
      <c r="K349" s="3"/>
      <c r="L349" s="3"/>
      <c r="M349" s="20"/>
      <c r="N349" s="20"/>
      <c r="O349" s="20"/>
      <c r="P349" s="21"/>
      <c r="Q349" s="22"/>
      <c r="R349" s="22"/>
      <c r="S349" s="19"/>
      <c r="T349" s="19"/>
      <c r="U349" s="19"/>
      <c r="V349" s="19"/>
      <c r="W349" s="26"/>
      <c r="X349" s="28"/>
    </row>
    <row r="350">
      <c r="A350" s="15"/>
      <c r="B350" s="16"/>
      <c r="C350" s="15"/>
      <c r="D350" s="15"/>
      <c r="E350" s="15"/>
      <c r="F350" s="3"/>
      <c r="G350" s="18"/>
      <c r="H350" s="3"/>
      <c r="I350" s="19"/>
      <c r="J350" s="19"/>
      <c r="K350" s="3"/>
      <c r="L350" s="3"/>
      <c r="M350" s="20"/>
      <c r="N350" s="20"/>
      <c r="O350" s="20"/>
      <c r="P350" s="21"/>
      <c r="Q350" s="22"/>
      <c r="R350" s="22"/>
      <c r="S350" s="19"/>
      <c r="T350" s="19"/>
      <c r="U350" s="19"/>
      <c r="V350" s="19"/>
      <c r="W350" s="26"/>
      <c r="X350" s="28"/>
    </row>
    <row r="351">
      <c r="A351" s="15"/>
      <c r="B351" s="16"/>
      <c r="C351" s="15"/>
      <c r="D351" s="15"/>
      <c r="E351" s="15"/>
      <c r="F351" s="3"/>
      <c r="G351" s="18"/>
      <c r="H351" s="3"/>
      <c r="I351" s="19"/>
      <c r="J351" s="19"/>
      <c r="K351" s="3"/>
      <c r="L351" s="3"/>
      <c r="M351" s="20"/>
      <c r="N351" s="20"/>
      <c r="O351" s="20"/>
      <c r="P351" s="21"/>
      <c r="Q351" s="22"/>
      <c r="R351" s="22"/>
      <c r="S351" s="19"/>
      <c r="T351" s="19"/>
      <c r="U351" s="19"/>
      <c r="V351" s="19"/>
      <c r="W351" s="26"/>
      <c r="X351" s="28"/>
    </row>
    <row r="352">
      <c r="A352" s="15"/>
      <c r="B352" s="16"/>
      <c r="C352" s="15"/>
      <c r="D352" s="15"/>
      <c r="E352" s="15"/>
      <c r="F352" s="3"/>
      <c r="G352" s="18"/>
      <c r="H352" s="3"/>
      <c r="I352" s="19"/>
      <c r="J352" s="19"/>
      <c r="K352" s="3"/>
      <c r="L352" s="3"/>
      <c r="M352" s="20"/>
      <c r="N352" s="20"/>
      <c r="O352" s="20"/>
      <c r="P352" s="21"/>
      <c r="Q352" s="22"/>
      <c r="R352" s="22"/>
      <c r="S352" s="19"/>
      <c r="T352" s="19"/>
      <c r="U352" s="19"/>
      <c r="V352" s="19"/>
      <c r="W352" s="26"/>
      <c r="X352" s="28"/>
    </row>
    <row r="353">
      <c r="A353" s="15"/>
      <c r="B353" s="16"/>
      <c r="C353" s="15"/>
      <c r="D353" s="15"/>
      <c r="E353" s="15"/>
      <c r="F353" s="3"/>
      <c r="G353" s="18"/>
      <c r="H353" s="3"/>
      <c r="I353" s="19"/>
      <c r="J353" s="19"/>
      <c r="K353" s="3"/>
      <c r="L353" s="3"/>
      <c r="M353" s="20"/>
      <c r="N353" s="20"/>
      <c r="O353" s="20"/>
      <c r="P353" s="21"/>
      <c r="Q353" s="22"/>
      <c r="R353" s="22"/>
      <c r="S353" s="19"/>
      <c r="T353" s="19"/>
      <c r="U353" s="19"/>
      <c r="V353" s="19"/>
      <c r="W353" s="26"/>
      <c r="X353" s="28"/>
    </row>
    <row r="354">
      <c r="A354" s="15"/>
      <c r="B354" s="16"/>
      <c r="C354" s="15"/>
      <c r="D354" s="15"/>
      <c r="E354" s="15"/>
      <c r="F354" s="3"/>
      <c r="G354" s="18"/>
      <c r="H354" s="3"/>
      <c r="I354" s="19"/>
      <c r="J354" s="19"/>
      <c r="K354" s="3"/>
      <c r="L354" s="3"/>
      <c r="M354" s="20"/>
      <c r="N354" s="20"/>
      <c r="O354" s="20"/>
      <c r="P354" s="21"/>
      <c r="Q354" s="22"/>
      <c r="R354" s="22"/>
      <c r="S354" s="19"/>
      <c r="T354" s="19"/>
      <c r="U354" s="19"/>
      <c r="V354" s="19"/>
      <c r="W354" s="26"/>
      <c r="X354" s="28"/>
    </row>
    <row r="355">
      <c r="A355" s="15"/>
      <c r="B355" s="16"/>
      <c r="C355" s="15"/>
      <c r="D355" s="15"/>
      <c r="E355" s="15"/>
      <c r="F355" s="3"/>
      <c r="G355" s="18"/>
      <c r="H355" s="3"/>
      <c r="I355" s="19"/>
      <c r="J355" s="19"/>
      <c r="K355" s="3"/>
      <c r="L355" s="3"/>
      <c r="M355" s="20"/>
      <c r="N355" s="20"/>
      <c r="O355" s="20"/>
      <c r="P355" s="21"/>
      <c r="Q355" s="22"/>
      <c r="R355" s="22"/>
      <c r="S355" s="19"/>
      <c r="T355" s="19"/>
      <c r="U355" s="19"/>
      <c r="V355" s="19"/>
      <c r="W355" s="26"/>
      <c r="X355" s="28"/>
    </row>
    <row r="356">
      <c r="A356" s="15"/>
      <c r="B356" s="16"/>
      <c r="C356" s="15"/>
      <c r="D356" s="15"/>
      <c r="E356" s="15"/>
      <c r="F356" s="3"/>
      <c r="G356" s="18"/>
      <c r="H356" s="3"/>
      <c r="I356" s="19"/>
      <c r="J356" s="19"/>
      <c r="K356" s="3"/>
      <c r="L356" s="3"/>
      <c r="M356" s="20"/>
      <c r="N356" s="20"/>
      <c r="O356" s="20"/>
      <c r="P356" s="21"/>
      <c r="Q356" s="22"/>
      <c r="R356" s="22"/>
      <c r="S356" s="19"/>
      <c r="T356" s="19"/>
      <c r="U356" s="19"/>
      <c r="V356" s="19"/>
      <c r="W356" s="26"/>
      <c r="X356" s="28"/>
    </row>
    <row r="357">
      <c r="A357" s="15"/>
      <c r="B357" s="16"/>
      <c r="C357" s="15"/>
      <c r="D357" s="15"/>
      <c r="E357" s="15"/>
      <c r="F357" s="3"/>
      <c r="G357" s="18"/>
      <c r="H357" s="3"/>
      <c r="I357" s="19"/>
      <c r="J357" s="19"/>
      <c r="K357" s="3"/>
      <c r="L357" s="3"/>
      <c r="M357" s="20"/>
      <c r="N357" s="20"/>
      <c r="O357" s="20"/>
      <c r="P357" s="21"/>
      <c r="Q357" s="22"/>
      <c r="R357" s="22"/>
      <c r="S357" s="19"/>
      <c r="T357" s="19"/>
      <c r="U357" s="19"/>
      <c r="V357" s="19"/>
      <c r="W357" s="26"/>
      <c r="X357" s="28"/>
    </row>
    <row r="358">
      <c r="A358" s="15"/>
      <c r="B358" s="16"/>
      <c r="C358" s="15"/>
      <c r="D358" s="15"/>
      <c r="E358" s="15"/>
      <c r="F358" s="3"/>
      <c r="G358" s="18"/>
      <c r="H358" s="3"/>
      <c r="I358" s="19"/>
      <c r="J358" s="19"/>
      <c r="K358" s="3"/>
      <c r="L358" s="3"/>
      <c r="M358" s="20"/>
      <c r="N358" s="20"/>
      <c r="O358" s="20"/>
      <c r="P358" s="21"/>
      <c r="Q358" s="22"/>
      <c r="R358" s="22"/>
      <c r="S358" s="19"/>
      <c r="T358" s="19"/>
      <c r="U358" s="19"/>
      <c r="V358" s="19"/>
      <c r="W358" s="26"/>
      <c r="X358" s="28"/>
    </row>
    <row r="359">
      <c r="A359" s="15"/>
      <c r="B359" s="16"/>
      <c r="C359" s="15"/>
      <c r="D359" s="15"/>
      <c r="E359" s="15"/>
      <c r="F359" s="3"/>
      <c r="G359" s="18"/>
      <c r="H359" s="3"/>
      <c r="I359" s="19"/>
      <c r="J359" s="19"/>
      <c r="K359" s="3"/>
      <c r="L359" s="3"/>
      <c r="M359" s="20"/>
      <c r="N359" s="20"/>
      <c r="O359" s="20"/>
      <c r="P359" s="21"/>
      <c r="Q359" s="22"/>
      <c r="R359" s="22"/>
      <c r="S359" s="19"/>
      <c r="T359" s="19"/>
      <c r="U359" s="19"/>
      <c r="V359" s="19"/>
      <c r="W359" s="26"/>
      <c r="X359" s="28"/>
    </row>
    <row r="360">
      <c r="A360" s="15"/>
      <c r="B360" s="16"/>
      <c r="C360" s="15"/>
      <c r="D360" s="15"/>
      <c r="E360" s="15"/>
      <c r="F360" s="3"/>
      <c r="G360" s="18"/>
      <c r="H360" s="3"/>
      <c r="I360" s="19"/>
      <c r="J360" s="19"/>
      <c r="K360" s="3"/>
      <c r="L360" s="3"/>
      <c r="M360" s="20"/>
      <c r="N360" s="20"/>
      <c r="O360" s="20"/>
      <c r="P360" s="21"/>
      <c r="Q360" s="22"/>
      <c r="R360" s="22"/>
      <c r="S360" s="19"/>
      <c r="T360" s="19"/>
      <c r="U360" s="19"/>
      <c r="V360" s="19"/>
      <c r="W360" s="26"/>
      <c r="X360" s="28"/>
    </row>
    <row r="361">
      <c r="A361" s="15"/>
      <c r="B361" s="16"/>
      <c r="C361" s="15"/>
      <c r="D361" s="15"/>
      <c r="E361" s="15"/>
      <c r="F361" s="3"/>
      <c r="G361" s="18"/>
      <c r="H361" s="3"/>
      <c r="I361" s="19"/>
      <c r="J361" s="19"/>
      <c r="K361" s="3"/>
      <c r="L361" s="3"/>
      <c r="M361" s="20"/>
      <c r="N361" s="20"/>
      <c r="O361" s="20"/>
      <c r="P361" s="21"/>
      <c r="Q361" s="22"/>
      <c r="R361" s="22"/>
      <c r="S361" s="19"/>
      <c r="T361" s="19"/>
      <c r="U361" s="19"/>
      <c r="V361" s="19"/>
      <c r="W361" s="26"/>
      <c r="X361" s="28"/>
    </row>
    <row r="362">
      <c r="A362" s="15"/>
      <c r="B362" s="16"/>
      <c r="C362" s="15"/>
      <c r="D362" s="15"/>
      <c r="E362" s="15"/>
      <c r="F362" s="3"/>
      <c r="G362" s="18"/>
      <c r="H362" s="3"/>
      <c r="I362" s="19"/>
      <c r="J362" s="19"/>
      <c r="K362" s="3"/>
      <c r="L362" s="3"/>
      <c r="M362" s="20"/>
      <c r="N362" s="20"/>
      <c r="O362" s="20"/>
      <c r="P362" s="21"/>
      <c r="Q362" s="22"/>
      <c r="R362" s="22"/>
      <c r="S362" s="19"/>
      <c r="T362" s="19"/>
      <c r="U362" s="19"/>
      <c r="V362" s="19"/>
      <c r="W362" s="26"/>
      <c r="X362" s="28"/>
    </row>
    <row r="363">
      <c r="A363" s="15"/>
      <c r="B363" s="16"/>
      <c r="C363" s="15"/>
      <c r="D363" s="15"/>
      <c r="E363" s="15"/>
      <c r="F363" s="3"/>
      <c r="G363" s="18"/>
      <c r="H363" s="3"/>
      <c r="I363" s="19"/>
      <c r="J363" s="19"/>
      <c r="K363" s="3"/>
      <c r="L363" s="3"/>
      <c r="M363" s="20"/>
      <c r="N363" s="20"/>
      <c r="O363" s="20"/>
      <c r="P363" s="21"/>
      <c r="Q363" s="22"/>
      <c r="R363" s="22"/>
      <c r="S363" s="19"/>
      <c r="T363" s="19"/>
      <c r="U363" s="19"/>
      <c r="V363" s="19"/>
      <c r="W363" s="26"/>
      <c r="X363" s="28"/>
    </row>
    <row r="364">
      <c r="A364" s="15"/>
      <c r="B364" s="16"/>
      <c r="C364" s="15"/>
      <c r="D364" s="15"/>
      <c r="E364" s="15"/>
      <c r="F364" s="3"/>
      <c r="G364" s="18"/>
      <c r="H364" s="3"/>
      <c r="I364" s="19"/>
      <c r="J364" s="19"/>
      <c r="K364" s="3"/>
      <c r="L364" s="3"/>
      <c r="M364" s="20"/>
      <c r="N364" s="20"/>
      <c r="O364" s="20"/>
      <c r="P364" s="21"/>
      <c r="Q364" s="22"/>
      <c r="R364" s="22"/>
      <c r="S364" s="19"/>
      <c r="T364" s="19"/>
      <c r="U364" s="19"/>
      <c r="V364" s="19"/>
      <c r="W364" s="26"/>
      <c r="X364" s="28"/>
    </row>
    <row r="365">
      <c r="A365" s="15"/>
      <c r="B365" s="16"/>
      <c r="C365" s="15"/>
      <c r="D365" s="15"/>
      <c r="E365" s="15"/>
      <c r="F365" s="3"/>
      <c r="G365" s="18"/>
      <c r="H365" s="3"/>
      <c r="I365" s="19"/>
      <c r="J365" s="19"/>
      <c r="K365" s="3"/>
      <c r="L365" s="3"/>
      <c r="M365" s="20"/>
      <c r="N365" s="20"/>
      <c r="O365" s="20"/>
      <c r="P365" s="21"/>
      <c r="Q365" s="22"/>
      <c r="R365" s="22"/>
      <c r="S365" s="19"/>
      <c r="T365" s="19"/>
      <c r="U365" s="19"/>
      <c r="V365" s="19"/>
      <c r="W365" s="26"/>
      <c r="X365" s="28"/>
    </row>
    <row r="366">
      <c r="A366" s="15"/>
      <c r="B366" s="16"/>
      <c r="C366" s="15"/>
      <c r="D366" s="15"/>
      <c r="E366" s="15"/>
      <c r="F366" s="3"/>
      <c r="G366" s="18"/>
      <c r="H366" s="3"/>
      <c r="I366" s="19"/>
      <c r="J366" s="19"/>
      <c r="K366" s="3"/>
      <c r="L366" s="3"/>
      <c r="M366" s="20"/>
      <c r="N366" s="20"/>
      <c r="O366" s="20"/>
      <c r="P366" s="21"/>
      <c r="Q366" s="22"/>
      <c r="R366" s="22"/>
      <c r="S366" s="19"/>
      <c r="T366" s="19"/>
      <c r="U366" s="19"/>
      <c r="V366" s="19"/>
      <c r="W366" s="26"/>
      <c r="X366" s="28"/>
    </row>
    <row r="367">
      <c r="A367" s="15"/>
      <c r="B367" s="16"/>
      <c r="C367" s="15"/>
      <c r="D367" s="15"/>
      <c r="E367" s="15"/>
      <c r="F367" s="3"/>
      <c r="G367" s="18"/>
      <c r="H367" s="3"/>
      <c r="I367" s="19"/>
      <c r="J367" s="19"/>
      <c r="K367" s="3"/>
      <c r="L367" s="3"/>
      <c r="M367" s="20"/>
      <c r="N367" s="20"/>
      <c r="O367" s="20"/>
      <c r="P367" s="21"/>
      <c r="Q367" s="22"/>
      <c r="R367" s="22"/>
      <c r="S367" s="19"/>
      <c r="T367" s="19"/>
      <c r="U367" s="19"/>
      <c r="V367" s="19"/>
      <c r="W367" s="26"/>
      <c r="X367" s="28"/>
    </row>
    <row r="368">
      <c r="A368" s="15"/>
      <c r="B368" s="16"/>
      <c r="C368" s="15"/>
      <c r="D368" s="15"/>
      <c r="E368" s="15"/>
      <c r="F368" s="3"/>
      <c r="G368" s="18"/>
      <c r="H368" s="3"/>
      <c r="I368" s="19"/>
      <c r="J368" s="19"/>
      <c r="K368" s="3"/>
      <c r="L368" s="3"/>
      <c r="M368" s="20"/>
      <c r="N368" s="20"/>
      <c r="O368" s="20"/>
      <c r="P368" s="21"/>
      <c r="Q368" s="22"/>
      <c r="R368" s="22"/>
      <c r="S368" s="19"/>
      <c r="T368" s="19"/>
      <c r="U368" s="19"/>
      <c r="V368" s="19"/>
      <c r="W368" s="26"/>
      <c r="X368" s="28"/>
    </row>
    <row r="369">
      <c r="A369" s="15"/>
      <c r="B369" s="16"/>
      <c r="C369" s="15"/>
      <c r="D369" s="15"/>
      <c r="E369" s="15"/>
      <c r="F369" s="3"/>
      <c r="G369" s="18"/>
      <c r="H369" s="3"/>
      <c r="I369" s="19"/>
      <c r="J369" s="19"/>
      <c r="K369" s="3"/>
      <c r="L369" s="3"/>
      <c r="M369" s="20"/>
      <c r="N369" s="20"/>
      <c r="O369" s="20"/>
      <c r="P369" s="21"/>
      <c r="Q369" s="22"/>
      <c r="R369" s="22"/>
      <c r="S369" s="19"/>
      <c r="T369" s="19"/>
      <c r="U369" s="19"/>
      <c r="V369" s="19"/>
      <c r="W369" s="26"/>
      <c r="X369" s="28"/>
    </row>
    <row r="370">
      <c r="A370" s="15"/>
      <c r="B370" s="16"/>
      <c r="C370" s="15"/>
      <c r="D370" s="15"/>
      <c r="E370" s="15"/>
      <c r="F370" s="3"/>
      <c r="G370" s="18"/>
      <c r="H370" s="3"/>
      <c r="I370" s="19"/>
      <c r="J370" s="19"/>
      <c r="K370" s="3"/>
      <c r="L370" s="3"/>
      <c r="M370" s="20"/>
      <c r="N370" s="20"/>
      <c r="O370" s="20"/>
      <c r="P370" s="21"/>
      <c r="Q370" s="22"/>
      <c r="R370" s="22"/>
      <c r="S370" s="19"/>
      <c r="T370" s="19"/>
      <c r="U370" s="19"/>
      <c r="V370" s="19"/>
      <c r="W370" s="26"/>
      <c r="X370" s="28"/>
    </row>
    <row r="371">
      <c r="A371" s="15"/>
      <c r="B371" s="16"/>
      <c r="C371" s="15"/>
      <c r="D371" s="15"/>
      <c r="E371" s="15"/>
      <c r="F371" s="3"/>
      <c r="G371" s="18"/>
      <c r="H371" s="3"/>
      <c r="I371" s="19"/>
      <c r="J371" s="19"/>
      <c r="K371" s="3"/>
      <c r="L371" s="3"/>
      <c r="M371" s="20"/>
      <c r="N371" s="20"/>
      <c r="O371" s="20"/>
      <c r="P371" s="21"/>
      <c r="Q371" s="22"/>
      <c r="R371" s="22"/>
      <c r="S371" s="19"/>
      <c r="T371" s="19"/>
      <c r="U371" s="19"/>
      <c r="V371" s="19"/>
      <c r="W371" s="26"/>
      <c r="X371" s="28"/>
    </row>
    <row r="372">
      <c r="A372" s="15"/>
      <c r="B372" s="16"/>
      <c r="C372" s="15"/>
      <c r="D372" s="15"/>
      <c r="E372" s="15"/>
      <c r="F372" s="3"/>
      <c r="G372" s="18"/>
      <c r="H372" s="3"/>
      <c r="I372" s="19"/>
      <c r="J372" s="19"/>
      <c r="K372" s="3"/>
      <c r="L372" s="3"/>
      <c r="M372" s="20"/>
      <c r="N372" s="20"/>
      <c r="O372" s="20"/>
      <c r="P372" s="21"/>
      <c r="Q372" s="22"/>
      <c r="R372" s="22"/>
      <c r="S372" s="19"/>
      <c r="T372" s="19"/>
      <c r="U372" s="19"/>
      <c r="V372" s="19"/>
      <c r="W372" s="26"/>
      <c r="X372" s="28"/>
    </row>
    <row r="373">
      <c r="A373" s="15"/>
      <c r="B373" s="16"/>
      <c r="C373" s="15"/>
      <c r="D373" s="15"/>
      <c r="E373" s="15"/>
      <c r="F373" s="3"/>
      <c r="G373" s="18"/>
      <c r="H373" s="3"/>
      <c r="I373" s="19"/>
      <c r="J373" s="19"/>
      <c r="K373" s="3"/>
      <c r="L373" s="3"/>
      <c r="M373" s="20"/>
      <c r="N373" s="20"/>
      <c r="O373" s="20"/>
      <c r="P373" s="21"/>
      <c r="Q373" s="22"/>
      <c r="R373" s="22"/>
      <c r="S373" s="19"/>
      <c r="T373" s="19"/>
      <c r="U373" s="19"/>
      <c r="V373" s="19"/>
      <c r="W373" s="26"/>
      <c r="X373" s="28"/>
    </row>
    <row r="374">
      <c r="A374" s="15"/>
      <c r="B374" s="16"/>
      <c r="C374" s="15"/>
      <c r="D374" s="15"/>
      <c r="E374" s="15"/>
      <c r="F374" s="3"/>
      <c r="G374" s="18"/>
      <c r="H374" s="3"/>
      <c r="I374" s="19"/>
      <c r="J374" s="19"/>
      <c r="K374" s="3"/>
      <c r="L374" s="3"/>
      <c r="M374" s="20"/>
      <c r="N374" s="20"/>
      <c r="O374" s="20"/>
      <c r="P374" s="21"/>
      <c r="Q374" s="22"/>
      <c r="R374" s="22"/>
      <c r="S374" s="19"/>
      <c r="T374" s="19"/>
      <c r="U374" s="19"/>
      <c r="V374" s="19"/>
      <c r="W374" s="26"/>
      <c r="X374" s="28"/>
    </row>
    <row r="375">
      <c r="A375" s="15"/>
      <c r="B375" s="16"/>
      <c r="C375" s="15"/>
      <c r="D375" s="15"/>
      <c r="E375" s="15"/>
      <c r="F375" s="3"/>
      <c r="G375" s="18"/>
      <c r="H375" s="3"/>
      <c r="I375" s="19"/>
      <c r="J375" s="19"/>
      <c r="K375" s="3"/>
      <c r="L375" s="3"/>
      <c r="M375" s="20"/>
      <c r="N375" s="20"/>
      <c r="O375" s="20"/>
      <c r="P375" s="21"/>
      <c r="Q375" s="22"/>
      <c r="R375" s="22"/>
      <c r="S375" s="19"/>
      <c r="T375" s="19"/>
      <c r="U375" s="19"/>
      <c r="V375" s="19"/>
      <c r="W375" s="26"/>
      <c r="X375" s="28"/>
    </row>
    <row r="376">
      <c r="A376" s="15"/>
      <c r="B376" s="16"/>
      <c r="C376" s="15"/>
      <c r="D376" s="15"/>
      <c r="E376" s="15"/>
      <c r="F376" s="3"/>
      <c r="G376" s="18"/>
      <c r="H376" s="3"/>
      <c r="I376" s="19"/>
      <c r="J376" s="19"/>
      <c r="K376" s="3"/>
      <c r="L376" s="3"/>
      <c r="M376" s="20"/>
      <c r="N376" s="20"/>
      <c r="O376" s="20"/>
      <c r="P376" s="21"/>
      <c r="Q376" s="22"/>
      <c r="R376" s="22"/>
      <c r="S376" s="19"/>
      <c r="T376" s="19"/>
      <c r="U376" s="19"/>
      <c r="V376" s="19"/>
      <c r="W376" s="26"/>
      <c r="X376" s="28"/>
    </row>
    <row r="377">
      <c r="A377" s="15"/>
      <c r="B377" s="16"/>
      <c r="C377" s="15"/>
      <c r="D377" s="15"/>
      <c r="E377" s="15"/>
      <c r="F377" s="3"/>
      <c r="G377" s="18"/>
      <c r="H377" s="3"/>
      <c r="I377" s="19"/>
      <c r="J377" s="19"/>
      <c r="K377" s="3"/>
      <c r="L377" s="3"/>
      <c r="M377" s="20"/>
      <c r="N377" s="20"/>
      <c r="O377" s="20"/>
      <c r="P377" s="21"/>
      <c r="Q377" s="22"/>
      <c r="R377" s="22"/>
      <c r="S377" s="19"/>
      <c r="T377" s="19"/>
      <c r="U377" s="19"/>
      <c r="V377" s="19"/>
      <c r="W377" s="26"/>
      <c r="X377" s="28"/>
    </row>
    <row r="378">
      <c r="A378" s="15"/>
      <c r="B378" s="16"/>
      <c r="C378" s="15"/>
      <c r="D378" s="15"/>
      <c r="E378" s="15"/>
      <c r="F378" s="3"/>
      <c r="G378" s="18"/>
      <c r="H378" s="3"/>
      <c r="I378" s="19"/>
      <c r="J378" s="19"/>
      <c r="K378" s="3"/>
      <c r="L378" s="3"/>
      <c r="M378" s="20"/>
      <c r="N378" s="20"/>
      <c r="O378" s="20"/>
      <c r="P378" s="21"/>
      <c r="Q378" s="22"/>
      <c r="R378" s="22"/>
      <c r="S378" s="19"/>
      <c r="T378" s="19"/>
      <c r="U378" s="19"/>
      <c r="V378" s="19"/>
      <c r="W378" s="26"/>
      <c r="X378" s="28"/>
    </row>
    <row r="379">
      <c r="A379" s="15"/>
      <c r="B379" s="16"/>
      <c r="C379" s="15"/>
      <c r="D379" s="15"/>
      <c r="E379" s="15"/>
      <c r="F379" s="3"/>
      <c r="G379" s="18"/>
      <c r="H379" s="3"/>
      <c r="I379" s="19"/>
      <c r="J379" s="19"/>
      <c r="K379" s="3"/>
      <c r="L379" s="3"/>
      <c r="M379" s="20"/>
      <c r="N379" s="20"/>
      <c r="O379" s="20"/>
      <c r="P379" s="21"/>
      <c r="Q379" s="22"/>
      <c r="R379" s="22"/>
      <c r="S379" s="19"/>
      <c r="T379" s="19"/>
      <c r="U379" s="19"/>
      <c r="V379" s="19"/>
      <c r="W379" s="26"/>
      <c r="X379" s="28"/>
    </row>
    <row r="380">
      <c r="A380" s="15"/>
      <c r="B380" s="16"/>
      <c r="C380" s="15"/>
      <c r="D380" s="15"/>
      <c r="E380" s="15"/>
      <c r="F380" s="3"/>
      <c r="G380" s="18"/>
      <c r="H380" s="3"/>
      <c r="I380" s="19"/>
      <c r="J380" s="19"/>
      <c r="K380" s="3"/>
      <c r="L380" s="3"/>
      <c r="M380" s="20"/>
      <c r="N380" s="20"/>
      <c r="O380" s="20"/>
      <c r="P380" s="21"/>
      <c r="Q380" s="22"/>
      <c r="R380" s="22"/>
      <c r="S380" s="19"/>
      <c r="T380" s="19"/>
      <c r="U380" s="19"/>
      <c r="V380" s="19"/>
      <c r="W380" s="26"/>
      <c r="X380" s="28"/>
    </row>
    <row r="381">
      <c r="A381" s="15"/>
      <c r="B381" s="16"/>
      <c r="C381" s="15"/>
      <c r="D381" s="15"/>
      <c r="E381" s="15"/>
      <c r="F381" s="3"/>
      <c r="G381" s="18"/>
      <c r="H381" s="3"/>
      <c r="I381" s="19"/>
      <c r="J381" s="19"/>
      <c r="K381" s="3"/>
      <c r="L381" s="3"/>
      <c r="M381" s="20"/>
      <c r="N381" s="20"/>
      <c r="O381" s="20"/>
      <c r="P381" s="21"/>
      <c r="Q381" s="22"/>
      <c r="R381" s="22"/>
      <c r="S381" s="19"/>
      <c r="T381" s="19"/>
      <c r="U381" s="19"/>
      <c r="V381" s="19"/>
      <c r="W381" s="26"/>
      <c r="X381" s="28"/>
    </row>
    <row r="382">
      <c r="A382" s="15"/>
      <c r="B382" s="16"/>
      <c r="C382" s="15"/>
      <c r="D382" s="15"/>
      <c r="E382" s="15"/>
      <c r="F382" s="3"/>
      <c r="G382" s="18"/>
      <c r="H382" s="3"/>
      <c r="I382" s="19"/>
      <c r="J382" s="19"/>
      <c r="K382" s="3"/>
      <c r="L382" s="3"/>
      <c r="M382" s="20"/>
      <c r="N382" s="20"/>
      <c r="O382" s="20"/>
      <c r="P382" s="21"/>
      <c r="Q382" s="22"/>
      <c r="R382" s="22"/>
      <c r="S382" s="19"/>
      <c r="T382" s="19"/>
      <c r="U382" s="19"/>
      <c r="V382" s="19"/>
      <c r="W382" s="26"/>
      <c r="X382" s="28"/>
    </row>
    <row r="383">
      <c r="A383" s="15"/>
      <c r="B383" s="16"/>
      <c r="C383" s="15"/>
      <c r="D383" s="15"/>
      <c r="E383" s="15"/>
      <c r="F383" s="3"/>
      <c r="G383" s="18"/>
      <c r="H383" s="3"/>
      <c r="I383" s="19"/>
      <c r="J383" s="19"/>
      <c r="K383" s="3"/>
      <c r="L383" s="3"/>
      <c r="M383" s="20"/>
      <c r="N383" s="20"/>
      <c r="O383" s="20"/>
      <c r="P383" s="21"/>
      <c r="Q383" s="22"/>
      <c r="R383" s="22"/>
      <c r="S383" s="19"/>
      <c r="T383" s="19"/>
      <c r="U383" s="19"/>
      <c r="V383" s="19"/>
      <c r="W383" s="26"/>
      <c r="X383" s="28"/>
    </row>
    <row r="384">
      <c r="A384" s="15"/>
      <c r="B384" s="16"/>
      <c r="C384" s="15"/>
      <c r="D384" s="15"/>
      <c r="E384" s="15"/>
      <c r="F384" s="3"/>
      <c r="G384" s="18"/>
      <c r="H384" s="3"/>
      <c r="I384" s="19"/>
      <c r="J384" s="19"/>
      <c r="K384" s="3"/>
      <c r="L384" s="3"/>
      <c r="M384" s="20"/>
      <c r="N384" s="20"/>
      <c r="O384" s="20"/>
      <c r="P384" s="21"/>
      <c r="Q384" s="22"/>
      <c r="R384" s="22"/>
      <c r="S384" s="19"/>
      <c r="T384" s="19"/>
      <c r="U384" s="19"/>
      <c r="V384" s="19"/>
      <c r="W384" s="26"/>
      <c r="X384" s="28"/>
    </row>
    <row r="385">
      <c r="A385" s="15"/>
      <c r="B385" s="16"/>
      <c r="C385" s="15"/>
      <c r="D385" s="15"/>
      <c r="E385" s="15"/>
      <c r="F385" s="3"/>
      <c r="G385" s="18"/>
      <c r="H385" s="3"/>
      <c r="I385" s="19"/>
      <c r="J385" s="19"/>
      <c r="K385" s="3"/>
      <c r="L385" s="3"/>
      <c r="M385" s="20"/>
      <c r="N385" s="20"/>
      <c r="O385" s="20"/>
      <c r="P385" s="21"/>
      <c r="Q385" s="22"/>
      <c r="R385" s="22"/>
      <c r="S385" s="19"/>
      <c r="T385" s="19"/>
      <c r="U385" s="19"/>
      <c r="V385" s="19"/>
      <c r="W385" s="26"/>
      <c r="X385" s="28"/>
    </row>
    <row r="386">
      <c r="A386" s="15"/>
      <c r="B386" s="16"/>
      <c r="C386" s="15"/>
      <c r="D386" s="15"/>
      <c r="E386" s="15"/>
      <c r="F386" s="3"/>
      <c r="G386" s="18"/>
      <c r="H386" s="3"/>
      <c r="I386" s="19"/>
      <c r="J386" s="19"/>
      <c r="K386" s="3"/>
      <c r="L386" s="3"/>
      <c r="M386" s="20"/>
      <c r="N386" s="20"/>
      <c r="O386" s="20"/>
      <c r="P386" s="21"/>
      <c r="Q386" s="22"/>
      <c r="R386" s="22"/>
      <c r="S386" s="19"/>
      <c r="T386" s="19"/>
      <c r="U386" s="19"/>
      <c r="V386" s="19"/>
      <c r="W386" s="26"/>
      <c r="X386" s="28"/>
    </row>
    <row r="387">
      <c r="A387" s="15"/>
      <c r="B387" s="16"/>
      <c r="C387" s="15"/>
      <c r="D387" s="15"/>
      <c r="E387" s="15"/>
      <c r="F387" s="3"/>
      <c r="G387" s="18"/>
      <c r="H387" s="3"/>
      <c r="I387" s="19"/>
      <c r="J387" s="19"/>
      <c r="K387" s="3"/>
      <c r="L387" s="3"/>
      <c r="M387" s="20"/>
      <c r="N387" s="20"/>
      <c r="O387" s="20"/>
      <c r="P387" s="21"/>
      <c r="Q387" s="22"/>
      <c r="R387" s="22"/>
      <c r="S387" s="19"/>
      <c r="T387" s="19"/>
      <c r="U387" s="19"/>
      <c r="V387" s="19"/>
      <c r="W387" s="26"/>
      <c r="X387" s="28"/>
    </row>
    <row r="388">
      <c r="A388" s="15"/>
      <c r="B388" s="16"/>
      <c r="C388" s="15"/>
      <c r="D388" s="15"/>
      <c r="E388" s="15"/>
      <c r="F388" s="3"/>
      <c r="G388" s="18"/>
      <c r="H388" s="3"/>
      <c r="I388" s="19"/>
      <c r="J388" s="19"/>
      <c r="K388" s="3"/>
      <c r="L388" s="3"/>
      <c r="M388" s="20"/>
      <c r="N388" s="20"/>
      <c r="O388" s="20"/>
      <c r="P388" s="21"/>
      <c r="Q388" s="22"/>
      <c r="R388" s="22"/>
      <c r="S388" s="19"/>
      <c r="T388" s="19"/>
      <c r="U388" s="19"/>
      <c r="V388" s="19"/>
      <c r="W388" s="26"/>
      <c r="X388" s="28"/>
    </row>
    <row r="389">
      <c r="A389" s="15"/>
      <c r="B389" s="16"/>
      <c r="C389" s="15"/>
      <c r="D389" s="15"/>
      <c r="E389" s="15"/>
      <c r="F389" s="3"/>
      <c r="G389" s="18"/>
      <c r="H389" s="3"/>
      <c r="I389" s="19"/>
      <c r="J389" s="19"/>
      <c r="K389" s="3"/>
      <c r="L389" s="3"/>
      <c r="M389" s="20"/>
      <c r="N389" s="20"/>
      <c r="O389" s="20"/>
      <c r="P389" s="21"/>
      <c r="Q389" s="22"/>
      <c r="R389" s="22"/>
      <c r="S389" s="19"/>
      <c r="T389" s="19"/>
      <c r="U389" s="19"/>
      <c r="V389" s="19"/>
      <c r="W389" s="26"/>
      <c r="X389" s="28"/>
    </row>
    <row r="390">
      <c r="A390" s="15"/>
      <c r="B390" s="16"/>
      <c r="C390" s="15"/>
      <c r="D390" s="15"/>
      <c r="E390" s="15"/>
      <c r="F390" s="3"/>
      <c r="G390" s="18"/>
      <c r="H390" s="3"/>
      <c r="I390" s="19"/>
      <c r="J390" s="19"/>
      <c r="K390" s="3"/>
      <c r="L390" s="3"/>
      <c r="M390" s="20"/>
      <c r="N390" s="20"/>
      <c r="O390" s="20"/>
      <c r="P390" s="21"/>
      <c r="Q390" s="22"/>
      <c r="R390" s="22"/>
      <c r="S390" s="19"/>
      <c r="T390" s="19"/>
      <c r="U390" s="19"/>
      <c r="V390" s="19"/>
      <c r="W390" s="26"/>
      <c r="X390" s="28"/>
    </row>
    <row r="391">
      <c r="A391" s="15"/>
      <c r="B391" s="16"/>
      <c r="C391" s="15"/>
      <c r="D391" s="15"/>
      <c r="E391" s="15"/>
      <c r="F391" s="3"/>
      <c r="G391" s="18"/>
      <c r="H391" s="3"/>
      <c r="I391" s="19"/>
      <c r="J391" s="19"/>
      <c r="K391" s="3"/>
      <c r="L391" s="3"/>
      <c r="M391" s="20"/>
      <c r="N391" s="20"/>
      <c r="O391" s="20"/>
      <c r="P391" s="21"/>
      <c r="Q391" s="22"/>
      <c r="R391" s="22"/>
      <c r="S391" s="19"/>
      <c r="T391" s="19"/>
      <c r="U391" s="19"/>
      <c r="V391" s="19"/>
      <c r="W391" s="26"/>
      <c r="X391" s="28"/>
    </row>
    <row r="392">
      <c r="A392" s="15"/>
      <c r="B392" s="16"/>
      <c r="C392" s="15"/>
      <c r="D392" s="15"/>
      <c r="E392" s="15"/>
      <c r="F392" s="3"/>
      <c r="G392" s="18"/>
      <c r="H392" s="3"/>
      <c r="I392" s="19"/>
      <c r="J392" s="19"/>
      <c r="K392" s="3"/>
      <c r="L392" s="3"/>
      <c r="M392" s="20"/>
      <c r="N392" s="20"/>
      <c r="O392" s="20"/>
      <c r="P392" s="21"/>
      <c r="Q392" s="22"/>
      <c r="R392" s="22"/>
      <c r="S392" s="19"/>
      <c r="T392" s="19"/>
      <c r="U392" s="19"/>
      <c r="V392" s="19"/>
      <c r="W392" s="26"/>
      <c r="X392" s="28"/>
    </row>
    <row r="393">
      <c r="A393" s="15"/>
      <c r="B393" s="16"/>
      <c r="C393" s="15"/>
      <c r="D393" s="15"/>
      <c r="E393" s="15"/>
      <c r="F393" s="3"/>
      <c r="G393" s="18"/>
      <c r="H393" s="3"/>
      <c r="I393" s="19"/>
      <c r="J393" s="19"/>
      <c r="K393" s="3"/>
      <c r="L393" s="3"/>
      <c r="M393" s="20"/>
      <c r="N393" s="20"/>
      <c r="O393" s="20"/>
      <c r="P393" s="21"/>
      <c r="Q393" s="22"/>
      <c r="R393" s="22"/>
      <c r="S393" s="19"/>
      <c r="T393" s="19"/>
      <c r="U393" s="19"/>
      <c r="V393" s="19"/>
      <c r="W393" s="26"/>
      <c r="X393" s="28"/>
    </row>
    <row r="394">
      <c r="A394" s="15"/>
      <c r="B394" s="16"/>
      <c r="C394" s="15"/>
      <c r="D394" s="15"/>
      <c r="E394" s="15"/>
      <c r="F394" s="3"/>
      <c r="G394" s="18"/>
      <c r="H394" s="3"/>
      <c r="I394" s="19"/>
      <c r="J394" s="19"/>
      <c r="K394" s="3"/>
      <c r="L394" s="3"/>
      <c r="M394" s="20"/>
      <c r="N394" s="20"/>
      <c r="O394" s="20"/>
      <c r="P394" s="21"/>
      <c r="Q394" s="22"/>
      <c r="R394" s="22"/>
      <c r="S394" s="19"/>
      <c r="T394" s="19"/>
      <c r="U394" s="19"/>
      <c r="V394" s="19"/>
      <c r="W394" s="26"/>
      <c r="X394" s="28"/>
    </row>
    <row r="395">
      <c r="A395" s="15"/>
      <c r="B395" s="16"/>
      <c r="C395" s="15"/>
      <c r="D395" s="15"/>
      <c r="E395" s="15"/>
      <c r="F395" s="3"/>
      <c r="G395" s="18"/>
      <c r="H395" s="3"/>
      <c r="I395" s="19"/>
      <c r="J395" s="19"/>
      <c r="K395" s="3"/>
      <c r="L395" s="3"/>
      <c r="M395" s="20"/>
      <c r="N395" s="20"/>
      <c r="O395" s="20"/>
      <c r="P395" s="21"/>
      <c r="Q395" s="22"/>
      <c r="R395" s="22"/>
      <c r="S395" s="19"/>
      <c r="T395" s="19"/>
      <c r="U395" s="19"/>
      <c r="V395" s="19"/>
      <c r="W395" s="26"/>
      <c r="X395" s="28"/>
    </row>
    <row r="396">
      <c r="A396" s="15"/>
      <c r="B396" s="16"/>
      <c r="C396" s="15"/>
      <c r="D396" s="15"/>
      <c r="E396" s="15"/>
      <c r="F396" s="3"/>
      <c r="G396" s="18"/>
      <c r="H396" s="3"/>
      <c r="I396" s="19"/>
      <c r="J396" s="19"/>
      <c r="K396" s="3"/>
      <c r="L396" s="3"/>
      <c r="M396" s="20"/>
      <c r="N396" s="20"/>
      <c r="O396" s="20"/>
      <c r="P396" s="21"/>
      <c r="Q396" s="22"/>
      <c r="R396" s="22"/>
      <c r="S396" s="19"/>
      <c r="T396" s="19"/>
      <c r="U396" s="19"/>
      <c r="V396" s="19"/>
      <c r="W396" s="26"/>
      <c r="X396" s="28"/>
    </row>
    <row r="397">
      <c r="A397" s="15"/>
      <c r="B397" s="16"/>
      <c r="C397" s="15"/>
      <c r="D397" s="15"/>
      <c r="E397" s="15"/>
      <c r="F397" s="3"/>
      <c r="G397" s="18"/>
      <c r="H397" s="3"/>
      <c r="I397" s="19"/>
      <c r="J397" s="19"/>
      <c r="K397" s="3"/>
      <c r="L397" s="3"/>
      <c r="M397" s="20"/>
      <c r="N397" s="20"/>
      <c r="O397" s="20"/>
      <c r="P397" s="21"/>
      <c r="Q397" s="22"/>
      <c r="R397" s="22"/>
      <c r="S397" s="19"/>
      <c r="T397" s="19"/>
      <c r="U397" s="19"/>
      <c r="V397" s="19"/>
      <c r="W397" s="26"/>
      <c r="X397" s="28"/>
    </row>
    <row r="398">
      <c r="A398" s="15"/>
      <c r="B398" s="16"/>
      <c r="C398" s="15"/>
      <c r="D398" s="15"/>
      <c r="E398" s="15"/>
      <c r="F398" s="3"/>
      <c r="G398" s="18"/>
      <c r="H398" s="3"/>
      <c r="I398" s="19"/>
      <c r="J398" s="19"/>
      <c r="K398" s="3"/>
      <c r="L398" s="3"/>
      <c r="M398" s="20"/>
      <c r="N398" s="20"/>
      <c r="O398" s="20"/>
      <c r="P398" s="21"/>
      <c r="Q398" s="22"/>
      <c r="R398" s="22"/>
      <c r="S398" s="19"/>
      <c r="T398" s="19"/>
      <c r="U398" s="19"/>
      <c r="V398" s="19"/>
      <c r="W398" s="26"/>
      <c r="X398" s="28"/>
    </row>
    <row r="399">
      <c r="A399" s="15"/>
      <c r="B399" s="16"/>
      <c r="C399" s="15"/>
      <c r="D399" s="15"/>
      <c r="E399" s="15"/>
      <c r="F399" s="3"/>
      <c r="G399" s="18"/>
      <c r="H399" s="3"/>
      <c r="I399" s="19"/>
      <c r="J399" s="19"/>
      <c r="K399" s="3"/>
      <c r="L399" s="3"/>
      <c r="M399" s="20"/>
      <c r="N399" s="20"/>
      <c r="O399" s="20"/>
      <c r="P399" s="21"/>
      <c r="Q399" s="22"/>
      <c r="R399" s="22"/>
      <c r="S399" s="19"/>
      <c r="T399" s="19"/>
      <c r="U399" s="19"/>
      <c r="V399" s="19"/>
      <c r="W399" s="26"/>
      <c r="X399" s="28"/>
    </row>
    <row r="400">
      <c r="A400" s="15"/>
      <c r="B400" s="16"/>
      <c r="C400" s="15"/>
      <c r="D400" s="15"/>
      <c r="E400" s="15"/>
      <c r="F400" s="3"/>
      <c r="G400" s="18"/>
      <c r="H400" s="3"/>
      <c r="I400" s="19"/>
      <c r="J400" s="19"/>
      <c r="K400" s="3"/>
      <c r="L400" s="3"/>
      <c r="M400" s="20"/>
      <c r="N400" s="20"/>
      <c r="O400" s="20"/>
      <c r="P400" s="21"/>
      <c r="Q400" s="22"/>
      <c r="R400" s="22"/>
      <c r="S400" s="19"/>
      <c r="T400" s="19"/>
      <c r="U400" s="19"/>
      <c r="V400" s="19"/>
      <c r="W400" s="26"/>
      <c r="X400" s="28"/>
    </row>
    <row r="401">
      <c r="A401" s="15"/>
      <c r="B401" s="16"/>
      <c r="C401" s="15"/>
      <c r="D401" s="15"/>
      <c r="E401" s="15"/>
      <c r="F401" s="3"/>
      <c r="G401" s="18"/>
      <c r="H401" s="3"/>
      <c r="I401" s="19"/>
      <c r="J401" s="19"/>
      <c r="K401" s="3"/>
      <c r="L401" s="3"/>
      <c r="M401" s="20"/>
      <c r="N401" s="20"/>
      <c r="O401" s="20"/>
      <c r="P401" s="21"/>
      <c r="Q401" s="22"/>
      <c r="R401" s="22"/>
      <c r="S401" s="19"/>
      <c r="T401" s="19"/>
      <c r="U401" s="19"/>
      <c r="V401" s="19"/>
      <c r="W401" s="26"/>
      <c r="X401" s="28"/>
    </row>
    <row r="402">
      <c r="A402" s="15"/>
      <c r="B402" s="16"/>
      <c r="C402" s="15"/>
      <c r="D402" s="15"/>
      <c r="E402" s="15"/>
      <c r="F402" s="3"/>
      <c r="G402" s="18"/>
      <c r="H402" s="3"/>
      <c r="I402" s="19"/>
      <c r="J402" s="19"/>
      <c r="K402" s="3"/>
      <c r="L402" s="3"/>
      <c r="M402" s="20"/>
      <c r="N402" s="20"/>
      <c r="O402" s="20"/>
      <c r="P402" s="21"/>
      <c r="Q402" s="22"/>
      <c r="R402" s="22"/>
      <c r="S402" s="19"/>
      <c r="T402" s="19"/>
      <c r="U402" s="19"/>
      <c r="V402" s="19"/>
      <c r="W402" s="26"/>
      <c r="X402" s="28"/>
    </row>
    <row r="403">
      <c r="A403" s="15"/>
      <c r="B403" s="16"/>
      <c r="C403" s="15"/>
      <c r="D403" s="15"/>
      <c r="E403" s="15"/>
      <c r="F403" s="3"/>
      <c r="G403" s="18"/>
      <c r="H403" s="3"/>
      <c r="I403" s="19"/>
      <c r="J403" s="19"/>
      <c r="K403" s="3"/>
      <c r="L403" s="3"/>
      <c r="M403" s="20"/>
      <c r="N403" s="20"/>
      <c r="O403" s="20"/>
      <c r="P403" s="21"/>
      <c r="Q403" s="22"/>
      <c r="R403" s="22"/>
      <c r="S403" s="19"/>
      <c r="T403" s="19"/>
      <c r="U403" s="19"/>
      <c r="V403" s="19"/>
      <c r="W403" s="26"/>
      <c r="X403" s="28"/>
    </row>
    <row r="404">
      <c r="A404" s="15"/>
      <c r="B404" s="16"/>
      <c r="C404" s="15"/>
      <c r="D404" s="15"/>
      <c r="E404" s="15"/>
      <c r="F404" s="3"/>
      <c r="G404" s="18"/>
      <c r="H404" s="3"/>
      <c r="I404" s="19"/>
      <c r="J404" s="19"/>
      <c r="K404" s="3"/>
      <c r="L404" s="3"/>
      <c r="M404" s="20"/>
      <c r="N404" s="20"/>
      <c r="O404" s="20"/>
      <c r="P404" s="21"/>
      <c r="Q404" s="22"/>
      <c r="R404" s="22"/>
      <c r="S404" s="19"/>
      <c r="T404" s="19"/>
      <c r="U404" s="19"/>
      <c r="V404" s="19"/>
      <c r="W404" s="26"/>
      <c r="X404" s="28"/>
    </row>
    <row r="405">
      <c r="A405" s="15"/>
      <c r="B405" s="16"/>
      <c r="C405" s="15"/>
      <c r="D405" s="15"/>
      <c r="E405" s="15"/>
      <c r="F405" s="3"/>
      <c r="G405" s="18"/>
      <c r="H405" s="3"/>
      <c r="I405" s="19"/>
      <c r="J405" s="19"/>
      <c r="K405" s="3"/>
      <c r="L405" s="3"/>
      <c r="M405" s="20"/>
      <c r="N405" s="20"/>
      <c r="O405" s="20"/>
      <c r="P405" s="21"/>
      <c r="Q405" s="22"/>
      <c r="R405" s="22"/>
      <c r="S405" s="19"/>
      <c r="T405" s="19"/>
      <c r="U405" s="19"/>
      <c r="V405" s="19"/>
      <c r="W405" s="26"/>
      <c r="X405" s="28"/>
    </row>
    <row r="406">
      <c r="A406" s="15"/>
      <c r="B406" s="16"/>
      <c r="C406" s="15"/>
      <c r="D406" s="15"/>
      <c r="E406" s="15"/>
      <c r="F406" s="3"/>
      <c r="G406" s="18"/>
      <c r="H406" s="3"/>
      <c r="I406" s="19"/>
      <c r="J406" s="19"/>
      <c r="K406" s="3"/>
      <c r="L406" s="3"/>
      <c r="M406" s="20"/>
      <c r="N406" s="20"/>
      <c r="O406" s="20"/>
      <c r="P406" s="21"/>
      <c r="Q406" s="22"/>
      <c r="R406" s="22"/>
      <c r="S406" s="19"/>
      <c r="T406" s="19"/>
      <c r="U406" s="19"/>
      <c r="V406" s="19"/>
      <c r="W406" s="26"/>
      <c r="X406" s="28"/>
    </row>
    <row r="407">
      <c r="A407" s="15"/>
      <c r="B407" s="16"/>
      <c r="C407" s="15"/>
      <c r="D407" s="15"/>
      <c r="E407" s="15"/>
      <c r="F407" s="3"/>
      <c r="G407" s="18"/>
      <c r="H407" s="3"/>
      <c r="I407" s="19"/>
      <c r="J407" s="19"/>
      <c r="K407" s="3"/>
      <c r="L407" s="3"/>
      <c r="M407" s="20"/>
      <c r="N407" s="20"/>
      <c r="O407" s="20"/>
      <c r="P407" s="21"/>
      <c r="Q407" s="22"/>
      <c r="R407" s="22"/>
      <c r="S407" s="19"/>
      <c r="T407" s="19"/>
      <c r="U407" s="19"/>
      <c r="V407" s="19"/>
      <c r="W407" s="26"/>
      <c r="X407" s="28"/>
    </row>
    <row r="408">
      <c r="A408" s="15"/>
      <c r="B408" s="16"/>
      <c r="C408" s="15"/>
      <c r="D408" s="15"/>
      <c r="E408" s="15"/>
      <c r="F408" s="3"/>
      <c r="G408" s="18"/>
      <c r="H408" s="3"/>
      <c r="I408" s="19"/>
      <c r="J408" s="19"/>
      <c r="K408" s="3"/>
      <c r="L408" s="3"/>
      <c r="M408" s="20"/>
      <c r="N408" s="20"/>
      <c r="O408" s="20"/>
      <c r="P408" s="21"/>
      <c r="Q408" s="22"/>
      <c r="R408" s="22"/>
      <c r="S408" s="19"/>
      <c r="T408" s="19"/>
      <c r="U408" s="19"/>
      <c r="V408" s="19"/>
      <c r="W408" s="26"/>
      <c r="X408" s="28"/>
    </row>
    <row r="409">
      <c r="A409" s="15"/>
      <c r="B409" s="16"/>
      <c r="C409" s="15"/>
      <c r="D409" s="15"/>
      <c r="E409" s="15"/>
      <c r="F409" s="3"/>
      <c r="G409" s="18"/>
      <c r="H409" s="3"/>
      <c r="I409" s="19"/>
      <c r="J409" s="19"/>
      <c r="K409" s="3"/>
      <c r="L409" s="3"/>
      <c r="M409" s="20"/>
      <c r="N409" s="20"/>
      <c r="O409" s="20"/>
      <c r="P409" s="21"/>
      <c r="Q409" s="22"/>
      <c r="R409" s="22"/>
      <c r="S409" s="19"/>
      <c r="T409" s="19"/>
      <c r="U409" s="19"/>
      <c r="V409" s="19"/>
      <c r="W409" s="26"/>
      <c r="X409" s="28"/>
    </row>
    <row r="410">
      <c r="A410" s="15"/>
      <c r="B410" s="16"/>
      <c r="C410" s="15"/>
      <c r="D410" s="15"/>
      <c r="E410" s="15"/>
      <c r="F410" s="3"/>
      <c r="G410" s="18"/>
      <c r="H410" s="3"/>
      <c r="I410" s="19"/>
      <c r="J410" s="19"/>
      <c r="K410" s="3"/>
      <c r="L410" s="3"/>
      <c r="M410" s="20"/>
      <c r="N410" s="20"/>
      <c r="O410" s="20"/>
      <c r="P410" s="21"/>
      <c r="Q410" s="22"/>
      <c r="R410" s="22"/>
      <c r="S410" s="19"/>
      <c r="T410" s="19"/>
      <c r="U410" s="19"/>
      <c r="V410" s="19"/>
      <c r="W410" s="26"/>
      <c r="X410" s="28"/>
    </row>
    <row r="411">
      <c r="A411" s="15"/>
      <c r="B411" s="16"/>
      <c r="C411" s="15"/>
      <c r="D411" s="15"/>
      <c r="E411" s="15"/>
      <c r="F411" s="3"/>
      <c r="G411" s="18"/>
      <c r="H411" s="3"/>
      <c r="I411" s="19"/>
      <c r="J411" s="19"/>
      <c r="K411" s="3"/>
      <c r="L411" s="3"/>
      <c r="M411" s="20"/>
      <c r="N411" s="20"/>
      <c r="O411" s="20"/>
      <c r="P411" s="21"/>
      <c r="Q411" s="22"/>
      <c r="R411" s="22"/>
      <c r="S411" s="19"/>
      <c r="T411" s="19"/>
      <c r="U411" s="19"/>
      <c r="V411" s="19"/>
      <c r="W411" s="26"/>
      <c r="X411" s="28"/>
    </row>
    <row r="412">
      <c r="A412" s="15"/>
      <c r="B412" s="16"/>
      <c r="C412" s="15"/>
      <c r="D412" s="15"/>
      <c r="E412" s="15"/>
      <c r="F412" s="3"/>
      <c r="G412" s="18"/>
      <c r="H412" s="3"/>
      <c r="I412" s="19"/>
      <c r="J412" s="19"/>
      <c r="K412" s="3"/>
      <c r="L412" s="3"/>
      <c r="M412" s="20"/>
      <c r="N412" s="20"/>
      <c r="O412" s="20"/>
      <c r="P412" s="21"/>
      <c r="Q412" s="22"/>
      <c r="R412" s="22"/>
      <c r="S412" s="19"/>
      <c r="T412" s="19"/>
      <c r="U412" s="19"/>
      <c r="V412" s="19"/>
      <c r="W412" s="26"/>
      <c r="X412" s="28"/>
    </row>
    <row r="413">
      <c r="A413" s="15"/>
      <c r="B413" s="16"/>
      <c r="C413" s="15"/>
      <c r="D413" s="15"/>
      <c r="E413" s="15"/>
      <c r="F413" s="3"/>
      <c r="G413" s="18"/>
      <c r="H413" s="3"/>
      <c r="I413" s="19"/>
      <c r="J413" s="19"/>
      <c r="K413" s="3"/>
      <c r="L413" s="3"/>
      <c r="M413" s="20"/>
      <c r="N413" s="20"/>
      <c r="O413" s="20"/>
      <c r="P413" s="21"/>
      <c r="Q413" s="22"/>
      <c r="R413" s="22"/>
      <c r="S413" s="19"/>
      <c r="T413" s="19"/>
      <c r="U413" s="19"/>
      <c r="V413" s="19"/>
      <c r="W413" s="26"/>
      <c r="X413" s="28"/>
    </row>
    <row r="414">
      <c r="A414" s="15"/>
      <c r="B414" s="16"/>
      <c r="C414" s="15"/>
      <c r="D414" s="15"/>
      <c r="E414" s="15"/>
      <c r="F414" s="3"/>
      <c r="G414" s="18"/>
      <c r="H414" s="3"/>
      <c r="I414" s="19"/>
      <c r="J414" s="19"/>
      <c r="K414" s="3"/>
      <c r="L414" s="3"/>
      <c r="M414" s="20"/>
      <c r="N414" s="20"/>
      <c r="O414" s="20"/>
      <c r="P414" s="21"/>
      <c r="Q414" s="22"/>
      <c r="R414" s="22"/>
      <c r="S414" s="19"/>
      <c r="T414" s="19"/>
      <c r="U414" s="19"/>
      <c r="V414" s="19"/>
      <c r="W414" s="26"/>
      <c r="X414" s="28"/>
    </row>
    <row r="415">
      <c r="A415" s="15"/>
      <c r="B415" s="16"/>
      <c r="C415" s="15"/>
      <c r="D415" s="15"/>
      <c r="E415" s="15"/>
      <c r="F415" s="3"/>
      <c r="G415" s="18"/>
      <c r="H415" s="3"/>
      <c r="I415" s="19"/>
      <c r="J415" s="19"/>
      <c r="K415" s="3"/>
      <c r="L415" s="3"/>
      <c r="M415" s="20"/>
      <c r="N415" s="20"/>
      <c r="O415" s="20"/>
      <c r="P415" s="21"/>
      <c r="Q415" s="22"/>
      <c r="R415" s="22"/>
      <c r="S415" s="19"/>
      <c r="T415" s="19"/>
      <c r="U415" s="19"/>
      <c r="V415" s="19"/>
      <c r="W415" s="26"/>
      <c r="X415" s="28"/>
    </row>
    <row r="416">
      <c r="A416" s="15"/>
      <c r="B416" s="16"/>
      <c r="C416" s="15"/>
      <c r="D416" s="15"/>
      <c r="E416" s="15"/>
      <c r="F416" s="3"/>
      <c r="G416" s="18"/>
      <c r="H416" s="3"/>
      <c r="I416" s="19"/>
      <c r="J416" s="19"/>
      <c r="K416" s="3"/>
      <c r="L416" s="3"/>
      <c r="M416" s="20"/>
      <c r="N416" s="20"/>
      <c r="O416" s="20"/>
      <c r="P416" s="21"/>
      <c r="Q416" s="22"/>
      <c r="R416" s="22"/>
      <c r="S416" s="19"/>
      <c r="T416" s="19"/>
      <c r="U416" s="19"/>
      <c r="V416" s="19"/>
      <c r="W416" s="26"/>
      <c r="X416" s="28"/>
    </row>
    <row r="417">
      <c r="A417" s="15"/>
      <c r="B417" s="16"/>
      <c r="C417" s="15"/>
      <c r="D417" s="15"/>
      <c r="E417" s="15"/>
      <c r="F417" s="3"/>
      <c r="G417" s="18"/>
      <c r="H417" s="3"/>
      <c r="I417" s="19"/>
      <c r="J417" s="19"/>
      <c r="K417" s="3"/>
      <c r="L417" s="3"/>
      <c r="M417" s="20"/>
      <c r="N417" s="20"/>
      <c r="O417" s="20"/>
      <c r="P417" s="21"/>
      <c r="Q417" s="22"/>
      <c r="R417" s="22"/>
      <c r="S417" s="19"/>
      <c r="T417" s="19"/>
      <c r="U417" s="19"/>
      <c r="V417" s="19"/>
      <c r="W417" s="26"/>
      <c r="X417" s="28"/>
    </row>
    <row r="418">
      <c r="A418" s="15"/>
      <c r="B418" s="16"/>
      <c r="C418" s="15"/>
      <c r="D418" s="15"/>
      <c r="E418" s="15"/>
      <c r="F418" s="3"/>
      <c r="G418" s="18"/>
      <c r="H418" s="3"/>
      <c r="I418" s="19"/>
      <c r="J418" s="19"/>
      <c r="K418" s="3"/>
      <c r="L418" s="3"/>
      <c r="M418" s="20"/>
      <c r="N418" s="20"/>
      <c r="O418" s="20"/>
      <c r="P418" s="21"/>
      <c r="Q418" s="22"/>
      <c r="R418" s="22"/>
      <c r="S418" s="19"/>
      <c r="T418" s="19"/>
      <c r="U418" s="19"/>
      <c r="V418" s="19"/>
      <c r="W418" s="26"/>
      <c r="X418" s="28"/>
    </row>
    <row r="419">
      <c r="A419" s="15"/>
      <c r="B419" s="16"/>
      <c r="C419" s="15"/>
      <c r="D419" s="15"/>
      <c r="E419" s="15"/>
      <c r="F419" s="3"/>
      <c r="G419" s="18"/>
      <c r="H419" s="3"/>
      <c r="I419" s="19"/>
      <c r="J419" s="19"/>
      <c r="K419" s="3"/>
      <c r="L419" s="3"/>
      <c r="M419" s="20"/>
      <c r="N419" s="20"/>
      <c r="O419" s="20"/>
      <c r="P419" s="21"/>
      <c r="Q419" s="22"/>
      <c r="R419" s="22"/>
      <c r="S419" s="19"/>
      <c r="T419" s="19"/>
      <c r="U419" s="19"/>
      <c r="V419" s="19"/>
      <c r="W419" s="26"/>
      <c r="X419" s="28"/>
    </row>
    <row r="420">
      <c r="A420" s="15"/>
      <c r="B420" s="16"/>
      <c r="C420" s="15"/>
      <c r="D420" s="15"/>
      <c r="E420" s="15"/>
      <c r="F420" s="3"/>
      <c r="G420" s="18"/>
      <c r="H420" s="3"/>
      <c r="I420" s="19"/>
      <c r="J420" s="19"/>
      <c r="K420" s="3"/>
      <c r="L420" s="3"/>
      <c r="M420" s="20"/>
      <c r="N420" s="20"/>
      <c r="O420" s="20"/>
      <c r="P420" s="21"/>
      <c r="Q420" s="22"/>
      <c r="R420" s="22"/>
      <c r="S420" s="19"/>
      <c r="T420" s="19"/>
      <c r="U420" s="19"/>
      <c r="V420" s="19"/>
      <c r="W420" s="26"/>
      <c r="X420" s="28"/>
    </row>
    <row r="421">
      <c r="A421" s="15"/>
      <c r="B421" s="16"/>
      <c r="C421" s="15"/>
      <c r="D421" s="15"/>
      <c r="E421" s="15"/>
      <c r="F421" s="3"/>
      <c r="G421" s="18"/>
      <c r="H421" s="3"/>
      <c r="I421" s="19"/>
      <c r="J421" s="19"/>
      <c r="K421" s="3"/>
      <c r="L421" s="3"/>
      <c r="M421" s="20"/>
      <c r="N421" s="20"/>
      <c r="O421" s="20"/>
      <c r="P421" s="21"/>
      <c r="Q421" s="22"/>
      <c r="R421" s="22"/>
      <c r="S421" s="19"/>
      <c r="T421" s="19"/>
      <c r="U421" s="19"/>
      <c r="V421" s="19"/>
      <c r="W421" s="26"/>
      <c r="X421" s="28"/>
    </row>
    <row r="422">
      <c r="A422" s="15"/>
      <c r="B422" s="16"/>
      <c r="C422" s="15"/>
      <c r="D422" s="15"/>
      <c r="E422" s="15"/>
      <c r="F422" s="3"/>
      <c r="G422" s="18"/>
      <c r="H422" s="3"/>
      <c r="I422" s="19"/>
      <c r="J422" s="19"/>
      <c r="K422" s="3"/>
      <c r="L422" s="3"/>
      <c r="M422" s="20"/>
      <c r="N422" s="20"/>
      <c r="O422" s="20"/>
      <c r="P422" s="21"/>
      <c r="Q422" s="22"/>
      <c r="R422" s="22"/>
      <c r="S422" s="19"/>
      <c r="T422" s="19"/>
      <c r="U422" s="19"/>
      <c r="V422" s="19"/>
      <c r="W422" s="26"/>
      <c r="X422" s="28"/>
    </row>
    <row r="423">
      <c r="A423" s="15"/>
      <c r="B423" s="16"/>
      <c r="C423" s="15"/>
      <c r="D423" s="15"/>
      <c r="E423" s="15"/>
      <c r="F423" s="3"/>
      <c r="G423" s="18"/>
      <c r="H423" s="3"/>
      <c r="I423" s="19"/>
      <c r="J423" s="19"/>
      <c r="K423" s="3"/>
      <c r="L423" s="3"/>
      <c r="M423" s="20"/>
      <c r="N423" s="20"/>
      <c r="O423" s="20"/>
      <c r="P423" s="21"/>
      <c r="Q423" s="22"/>
      <c r="R423" s="22"/>
      <c r="S423" s="19"/>
      <c r="T423" s="19"/>
      <c r="U423" s="19"/>
      <c r="V423" s="19"/>
      <c r="W423" s="26"/>
      <c r="X423" s="28"/>
    </row>
    <row r="424">
      <c r="A424" s="15"/>
      <c r="B424" s="16"/>
      <c r="C424" s="15"/>
      <c r="D424" s="15"/>
      <c r="E424" s="15"/>
      <c r="F424" s="3"/>
      <c r="G424" s="18"/>
      <c r="H424" s="3"/>
      <c r="I424" s="19"/>
      <c r="J424" s="19"/>
      <c r="K424" s="3"/>
      <c r="L424" s="3"/>
      <c r="M424" s="20"/>
      <c r="N424" s="20"/>
      <c r="O424" s="20"/>
      <c r="P424" s="21"/>
      <c r="Q424" s="22"/>
      <c r="R424" s="22"/>
      <c r="S424" s="19"/>
      <c r="T424" s="19"/>
      <c r="U424" s="19"/>
      <c r="V424" s="19"/>
      <c r="W424" s="26"/>
      <c r="X424" s="28"/>
    </row>
    <row r="425">
      <c r="A425" s="15"/>
      <c r="B425" s="16"/>
      <c r="C425" s="15"/>
      <c r="D425" s="15"/>
      <c r="E425" s="15"/>
      <c r="F425" s="3"/>
      <c r="G425" s="18"/>
      <c r="H425" s="3"/>
      <c r="I425" s="19"/>
      <c r="J425" s="19"/>
      <c r="K425" s="3"/>
      <c r="L425" s="3"/>
      <c r="M425" s="20"/>
      <c r="N425" s="20"/>
      <c r="O425" s="20"/>
      <c r="P425" s="21"/>
      <c r="Q425" s="22"/>
      <c r="R425" s="22"/>
      <c r="S425" s="19"/>
      <c r="T425" s="19"/>
      <c r="U425" s="19"/>
      <c r="V425" s="19"/>
      <c r="W425" s="26"/>
      <c r="X425" s="28"/>
    </row>
    <row r="426">
      <c r="A426" s="15"/>
      <c r="B426" s="16"/>
      <c r="C426" s="15"/>
      <c r="D426" s="15"/>
      <c r="E426" s="15"/>
      <c r="F426" s="3"/>
      <c r="G426" s="18"/>
      <c r="H426" s="3"/>
      <c r="I426" s="19"/>
      <c r="J426" s="19"/>
      <c r="K426" s="3"/>
      <c r="L426" s="3"/>
      <c r="M426" s="20"/>
      <c r="N426" s="20"/>
      <c r="O426" s="20"/>
      <c r="P426" s="21"/>
      <c r="Q426" s="22"/>
      <c r="R426" s="22"/>
      <c r="S426" s="19"/>
      <c r="T426" s="19"/>
      <c r="U426" s="19"/>
      <c r="V426" s="19"/>
      <c r="W426" s="26"/>
      <c r="X426" s="28"/>
    </row>
    <row r="427">
      <c r="A427" s="15"/>
      <c r="B427" s="16"/>
      <c r="C427" s="15"/>
      <c r="D427" s="15"/>
      <c r="E427" s="15"/>
      <c r="F427" s="3"/>
      <c r="G427" s="18"/>
      <c r="H427" s="3"/>
      <c r="I427" s="19"/>
      <c r="J427" s="19"/>
      <c r="K427" s="3"/>
      <c r="L427" s="3"/>
      <c r="M427" s="20"/>
      <c r="N427" s="20"/>
      <c r="O427" s="20"/>
      <c r="P427" s="21"/>
      <c r="Q427" s="22"/>
      <c r="R427" s="22"/>
      <c r="S427" s="19"/>
      <c r="T427" s="19"/>
      <c r="U427" s="19"/>
      <c r="V427" s="19"/>
      <c r="W427" s="26"/>
      <c r="X427" s="28"/>
    </row>
    <row r="428">
      <c r="A428" s="15"/>
      <c r="B428" s="16"/>
      <c r="C428" s="15"/>
      <c r="D428" s="15"/>
      <c r="E428" s="15"/>
      <c r="F428" s="3"/>
      <c r="G428" s="18"/>
      <c r="H428" s="3"/>
      <c r="I428" s="19"/>
      <c r="J428" s="19"/>
      <c r="K428" s="3"/>
      <c r="L428" s="3"/>
      <c r="M428" s="20"/>
      <c r="N428" s="20"/>
      <c r="O428" s="20"/>
      <c r="P428" s="21"/>
      <c r="Q428" s="22"/>
      <c r="R428" s="22"/>
      <c r="S428" s="19"/>
      <c r="T428" s="19"/>
      <c r="U428" s="19"/>
      <c r="V428" s="19"/>
      <c r="W428" s="26"/>
      <c r="X428" s="28"/>
    </row>
    <row r="429">
      <c r="A429" s="15"/>
      <c r="B429" s="16"/>
      <c r="C429" s="15"/>
      <c r="D429" s="15"/>
      <c r="E429" s="15"/>
      <c r="F429" s="3"/>
      <c r="G429" s="18"/>
      <c r="H429" s="3"/>
      <c r="I429" s="19"/>
      <c r="J429" s="19"/>
      <c r="K429" s="3"/>
      <c r="L429" s="3"/>
      <c r="M429" s="20"/>
      <c r="N429" s="20"/>
      <c r="O429" s="20"/>
      <c r="P429" s="21"/>
      <c r="Q429" s="22"/>
      <c r="R429" s="22"/>
      <c r="S429" s="19"/>
      <c r="T429" s="19"/>
      <c r="U429" s="19"/>
      <c r="V429" s="19"/>
      <c r="W429" s="26"/>
      <c r="X429" s="28"/>
    </row>
    <row r="430">
      <c r="A430" s="15"/>
      <c r="B430" s="16"/>
      <c r="C430" s="15"/>
      <c r="D430" s="15"/>
      <c r="E430" s="15"/>
      <c r="F430" s="3"/>
      <c r="G430" s="18"/>
      <c r="H430" s="3"/>
      <c r="I430" s="19"/>
      <c r="J430" s="19"/>
      <c r="K430" s="3"/>
      <c r="L430" s="3"/>
      <c r="M430" s="20"/>
      <c r="N430" s="20"/>
      <c r="O430" s="20"/>
      <c r="P430" s="21"/>
      <c r="Q430" s="22"/>
      <c r="R430" s="22"/>
      <c r="S430" s="19"/>
      <c r="T430" s="19"/>
      <c r="U430" s="19"/>
      <c r="V430" s="19"/>
      <c r="W430" s="26"/>
      <c r="X430" s="28"/>
    </row>
    <row r="431">
      <c r="A431" s="15"/>
      <c r="B431" s="16"/>
      <c r="C431" s="15"/>
      <c r="D431" s="15"/>
      <c r="E431" s="15"/>
      <c r="F431" s="3"/>
      <c r="G431" s="18"/>
      <c r="H431" s="3"/>
      <c r="I431" s="19"/>
      <c r="J431" s="19"/>
      <c r="K431" s="3"/>
      <c r="L431" s="3"/>
      <c r="M431" s="20"/>
      <c r="N431" s="20"/>
      <c r="O431" s="20"/>
      <c r="P431" s="21"/>
      <c r="Q431" s="22"/>
      <c r="R431" s="22"/>
      <c r="S431" s="19"/>
      <c r="T431" s="19"/>
      <c r="U431" s="19"/>
      <c r="V431" s="19"/>
      <c r="W431" s="26"/>
      <c r="X431" s="28"/>
    </row>
    <row r="432">
      <c r="A432" s="15"/>
      <c r="B432" s="16"/>
      <c r="C432" s="15"/>
      <c r="D432" s="15"/>
      <c r="E432" s="15"/>
      <c r="F432" s="3"/>
      <c r="G432" s="18"/>
      <c r="H432" s="3"/>
      <c r="I432" s="19"/>
      <c r="J432" s="19"/>
      <c r="K432" s="3"/>
      <c r="L432" s="3"/>
      <c r="M432" s="20"/>
      <c r="N432" s="20"/>
      <c r="O432" s="20"/>
      <c r="P432" s="21"/>
      <c r="Q432" s="22"/>
      <c r="R432" s="22"/>
      <c r="S432" s="19"/>
      <c r="T432" s="19"/>
      <c r="U432" s="19"/>
      <c r="V432" s="19"/>
      <c r="W432" s="26"/>
      <c r="X432" s="28"/>
    </row>
    <row r="433">
      <c r="A433" s="15"/>
      <c r="B433" s="16"/>
      <c r="C433" s="15"/>
      <c r="D433" s="15"/>
      <c r="E433" s="15"/>
      <c r="F433" s="3"/>
      <c r="G433" s="18"/>
      <c r="H433" s="3"/>
      <c r="I433" s="19"/>
      <c r="J433" s="19"/>
      <c r="K433" s="3"/>
      <c r="L433" s="3"/>
      <c r="M433" s="20"/>
      <c r="N433" s="20"/>
      <c r="O433" s="20"/>
      <c r="P433" s="21"/>
      <c r="Q433" s="22"/>
      <c r="R433" s="22"/>
      <c r="S433" s="19"/>
      <c r="T433" s="19"/>
      <c r="U433" s="19"/>
      <c r="V433" s="19"/>
      <c r="W433" s="26"/>
      <c r="X433" s="28"/>
    </row>
    <row r="434">
      <c r="A434" s="15"/>
      <c r="B434" s="16"/>
      <c r="C434" s="15"/>
      <c r="D434" s="15"/>
      <c r="E434" s="15"/>
      <c r="F434" s="3"/>
      <c r="G434" s="18"/>
      <c r="H434" s="3"/>
      <c r="I434" s="19"/>
      <c r="J434" s="19"/>
      <c r="K434" s="3"/>
      <c r="L434" s="3"/>
      <c r="M434" s="20"/>
      <c r="N434" s="20"/>
      <c r="O434" s="20"/>
      <c r="P434" s="21"/>
      <c r="Q434" s="22"/>
      <c r="R434" s="22"/>
      <c r="S434" s="19"/>
      <c r="T434" s="19"/>
      <c r="U434" s="19"/>
      <c r="V434" s="19"/>
      <c r="W434" s="26"/>
      <c r="X434" s="28"/>
    </row>
    <row r="435">
      <c r="A435" s="15"/>
      <c r="B435" s="16"/>
      <c r="C435" s="15"/>
      <c r="D435" s="15"/>
      <c r="E435" s="15"/>
      <c r="F435" s="3"/>
      <c r="G435" s="18"/>
      <c r="H435" s="3"/>
      <c r="I435" s="19"/>
      <c r="J435" s="19"/>
      <c r="K435" s="3"/>
      <c r="L435" s="3"/>
      <c r="M435" s="20"/>
      <c r="N435" s="20"/>
      <c r="O435" s="20"/>
      <c r="P435" s="21"/>
      <c r="Q435" s="22"/>
      <c r="R435" s="22"/>
      <c r="S435" s="19"/>
      <c r="T435" s="19"/>
      <c r="U435" s="19"/>
      <c r="V435" s="19"/>
      <c r="W435" s="26"/>
      <c r="X435" s="28"/>
    </row>
    <row r="436">
      <c r="A436" s="15"/>
      <c r="B436" s="16"/>
      <c r="C436" s="15"/>
      <c r="D436" s="15"/>
      <c r="E436" s="15"/>
      <c r="F436" s="3"/>
      <c r="G436" s="18"/>
      <c r="H436" s="3"/>
      <c r="I436" s="19"/>
      <c r="J436" s="19"/>
      <c r="K436" s="3"/>
      <c r="L436" s="3"/>
      <c r="M436" s="20"/>
      <c r="N436" s="20"/>
      <c r="O436" s="20"/>
      <c r="P436" s="21"/>
      <c r="Q436" s="22"/>
      <c r="R436" s="22"/>
      <c r="S436" s="19"/>
      <c r="T436" s="19"/>
      <c r="U436" s="19"/>
      <c r="V436" s="19"/>
      <c r="W436" s="26"/>
      <c r="X436" s="28"/>
    </row>
    <row r="437">
      <c r="A437" s="15"/>
      <c r="B437" s="16"/>
      <c r="C437" s="15"/>
      <c r="D437" s="15"/>
      <c r="E437" s="15"/>
      <c r="F437" s="3"/>
      <c r="G437" s="18"/>
      <c r="H437" s="3"/>
      <c r="I437" s="19"/>
      <c r="J437" s="19"/>
      <c r="K437" s="3"/>
      <c r="L437" s="3"/>
      <c r="M437" s="20"/>
      <c r="N437" s="20"/>
      <c r="O437" s="20"/>
      <c r="P437" s="21"/>
      <c r="Q437" s="22"/>
      <c r="R437" s="22"/>
      <c r="S437" s="19"/>
      <c r="T437" s="19"/>
      <c r="U437" s="19"/>
      <c r="V437" s="19"/>
      <c r="W437" s="26"/>
      <c r="X437" s="28"/>
    </row>
    <row r="438">
      <c r="A438" s="15"/>
      <c r="B438" s="16"/>
      <c r="C438" s="15"/>
      <c r="D438" s="15"/>
      <c r="E438" s="15"/>
      <c r="F438" s="3"/>
      <c r="G438" s="18"/>
      <c r="H438" s="3"/>
      <c r="I438" s="19"/>
      <c r="J438" s="19"/>
      <c r="K438" s="3"/>
      <c r="L438" s="3"/>
      <c r="M438" s="20"/>
      <c r="N438" s="20"/>
      <c r="O438" s="20"/>
      <c r="P438" s="21"/>
      <c r="Q438" s="22"/>
      <c r="R438" s="22"/>
      <c r="S438" s="19"/>
      <c r="T438" s="19"/>
      <c r="U438" s="19"/>
      <c r="V438" s="19"/>
      <c r="W438" s="26"/>
      <c r="X438" s="28"/>
    </row>
    <row r="439">
      <c r="A439" s="15"/>
      <c r="B439" s="16"/>
      <c r="C439" s="15"/>
      <c r="D439" s="15"/>
      <c r="E439" s="15"/>
      <c r="F439" s="3"/>
      <c r="G439" s="18"/>
      <c r="H439" s="3"/>
      <c r="I439" s="19"/>
      <c r="J439" s="19"/>
      <c r="K439" s="3"/>
      <c r="L439" s="3"/>
      <c r="M439" s="20"/>
      <c r="N439" s="20"/>
      <c r="O439" s="20"/>
      <c r="P439" s="21"/>
      <c r="Q439" s="22"/>
      <c r="R439" s="22"/>
      <c r="S439" s="19"/>
      <c r="T439" s="19"/>
      <c r="U439" s="19"/>
      <c r="V439" s="19"/>
      <c r="W439" s="26"/>
      <c r="X439" s="28"/>
    </row>
    <row r="440">
      <c r="A440" s="15"/>
      <c r="B440" s="16"/>
      <c r="C440" s="15"/>
      <c r="D440" s="15"/>
      <c r="E440" s="15"/>
      <c r="F440" s="3"/>
      <c r="G440" s="18"/>
      <c r="H440" s="3"/>
      <c r="I440" s="19"/>
      <c r="J440" s="19"/>
      <c r="K440" s="3"/>
      <c r="L440" s="3"/>
      <c r="M440" s="20"/>
      <c r="N440" s="20"/>
      <c r="O440" s="20"/>
      <c r="P440" s="21"/>
      <c r="Q440" s="22"/>
      <c r="R440" s="22"/>
      <c r="S440" s="19"/>
      <c r="T440" s="19"/>
      <c r="U440" s="19"/>
      <c r="V440" s="19"/>
      <c r="W440" s="26"/>
      <c r="X440" s="28"/>
    </row>
    <row r="441">
      <c r="A441" s="15"/>
      <c r="B441" s="16"/>
      <c r="C441" s="15"/>
      <c r="D441" s="15"/>
      <c r="E441" s="15"/>
      <c r="F441" s="3"/>
      <c r="G441" s="18"/>
      <c r="H441" s="3"/>
      <c r="I441" s="19"/>
      <c r="J441" s="19"/>
      <c r="K441" s="3"/>
      <c r="L441" s="3"/>
      <c r="M441" s="20"/>
      <c r="N441" s="20"/>
      <c r="O441" s="20"/>
      <c r="P441" s="21"/>
      <c r="Q441" s="22"/>
      <c r="R441" s="22"/>
      <c r="S441" s="19"/>
      <c r="T441" s="19"/>
      <c r="U441" s="19"/>
      <c r="V441" s="19"/>
      <c r="W441" s="26"/>
      <c r="X441" s="28"/>
    </row>
    <row r="442">
      <c r="A442" s="15"/>
      <c r="B442" s="16"/>
      <c r="C442" s="15"/>
      <c r="D442" s="15"/>
      <c r="E442" s="15"/>
      <c r="F442" s="3"/>
      <c r="G442" s="18"/>
      <c r="H442" s="3"/>
      <c r="I442" s="19"/>
      <c r="J442" s="19"/>
      <c r="K442" s="3"/>
      <c r="L442" s="3"/>
      <c r="M442" s="20"/>
      <c r="N442" s="20"/>
      <c r="O442" s="20"/>
      <c r="P442" s="21"/>
      <c r="Q442" s="22"/>
      <c r="R442" s="22"/>
      <c r="S442" s="19"/>
      <c r="T442" s="19"/>
      <c r="U442" s="19"/>
      <c r="V442" s="19"/>
      <c r="W442" s="26"/>
      <c r="X442" s="28"/>
    </row>
    <row r="443">
      <c r="A443" s="15"/>
      <c r="B443" s="16"/>
      <c r="C443" s="15"/>
      <c r="D443" s="15"/>
      <c r="E443" s="15"/>
      <c r="F443" s="3"/>
      <c r="G443" s="18"/>
      <c r="H443" s="3"/>
      <c r="I443" s="19"/>
      <c r="J443" s="19"/>
      <c r="K443" s="3"/>
      <c r="L443" s="3"/>
      <c r="M443" s="20"/>
      <c r="N443" s="20"/>
      <c r="O443" s="20"/>
      <c r="P443" s="21"/>
      <c r="Q443" s="22"/>
      <c r="R443" s="22"/>
      <c r="S443" s="19"/>
      <c r="T443" s="19"/>
      <c r="U443" s="19"/>
      <c r="V443" s="19"/>
      <c r="W443" s="26"/>
      <c r="X443" s="28"/>
    </row>
    <row r="444">
      <c r="A444" s="15"/>
      <c r="B444" s="16"/>
      <c r="C444" s="15"/>
      <c r="D444" s="15"/>
      <c r="E444" s="15"/>
      <c r="F444" s="3"/>
      <c r="G444" s="18"/>
      <c r="H444" s="3"/>
      <c r="I444" s="19"/>
      <c r="J444" s="19"/>
      <c r="K444" s="3"/>
      <c r="L444" s="3"/>
      <c r="M444" s="20"/>
      <c r="N444" s="20"/>
      <c r="O444" s="20"/>
      <c r="P444" s="21"/>
      <c r="Q444" s="22"/>
      <c r="R444" s="22"/>
      <c r="S444" s="19"/>
      <c r="T444" s="19"/>
      <c r="U444" s="19"/>
      <c r="V444" s="19"/>
      <c r="W444" s="26"/>
      <c r="X444" s="28"/>
    </row>
    <row r="445">
      <c r="A445" s="15"/>
      <c r="B445" s="16"/>
      <c r="C445" s="15"/>
      <c r="D445" s="15"/>
      <c r="E445" s="15"/>
      <c r="F445" s="3"/>
      <c r="G445" s="18"/>
      <c r="H445" s="3"/>
      <c r="I445" s="19"/>
      <c r="J445" s="19"/>
      <c r="K445" s="3"/>
      <c r="L445" s="3"/>
      <c r="M445" s="20"/>
      <c r="N445" s="20"/>
      <c r="O445" s="20"/>
      <c r="P445" s="21"/>
      <c r="Q445" s="22"/>
      <c r="R445" s="22"/>
      <c r="S445" s="19"/>
      <c r="T445" s="19"/>
      <c r="U445" s="19"/>
      <c r="V445" s="19"/>
      <c r="W445" s="26"/>
      <c r="X445" s="28"/>
    </row>
    <row r="446">
      <c r="A446" s="15"/>
      <c r="B446" s="16"/>
      <c r="C446" s="15"/>
      <c r="D446" s="15"/>
      <c r="E446" s="15"/>
      <c r="F446" s="3"/>
      <c r="G446" s="18"/>
      <c r="H446" s="3"/>
      <c r="I446" s="19"/>
      <c r="J446" s="19"/>
      <c r="K446" s="3"/>
      <c r="L446" s="3"/>
      <c r="M446" s="20"/>
      <c r="N446" s="20"/>
      <c r="O446" s="20"/>
      <c r="P446" s="21"/>
      <c r="Q446" s="22"/>
      <c r="R446" s="22"/>
      <c r="S446" s="19"/>
      <c r="T446" s="19"/>
      <c r="U446" s="19"/>
      <c r="V446" s="19"/>
      <c r="W446" s="26"/>
      <c r="X446" s="28"/>
    </row>
    <row r="447">
      <c r="A447" s="15"/>
      <c r="B447" s="16"/>
      <c r="C447" s="15"/>
      <c r="D447" s="15"/>
      <c r="E447" s="15"/>
      <c r="F447" s="3"/>
      <c r="G447" s="18"/>
      <c r="H447" s="3"/>
      <c r="I447" s="19"/>
      <c r="J447" s="19"/>
      <c r="K447" s="3"/>
      <c r="L447" s="3"/>
      <c r="M447" s="20"/>
      <c r="N447" s="20"/>
      <c r="O447" s="20"/>
      <c r="P447" s="21"/>
      <c r="Q447" s="22"/>
      <c r="R447" s="22"/>
      <c r="S447" s="19"/>
      <c r="T447" s="19"/>
      <c r="U447" s="19"/>
      <c r="V447" s="19"/>
      <c r="W447" s="26"/>
      <c r="X447" s="28"/>
    </row>
    <row r="448">
      <c r="A448" s="15"/>
      <c r="B448" s="16"/>
      <c r="C448" s="15"/>
      <c r="D448" s="15"/>
      <c r="E448" s="15"/>
      <c r="F448" s="3"/>
      <c r="G448" s="18"/>
      <c r="H448" s="3"/>
      <c r="I448" s="19"/>
      <c r="J448" s="19"/>
      <c r="K448" s="3"/>
      <c r="L448" s="3"/>
      <c r="M448" s="20"/>
      <c r="N448" s="20"/>
      <c r="O448" s="20"/>
      <c r="P448" s="21"/>
      <c r="Q448" s="22"/>
      <c r="R448" s="22"/>
      <c r="S448" s="19"/>
      <c r="T448" s="19"/>
      <c r="U448" s="19"/>
      <c r="V448" s="19"/>
      <c r="W448" s="26"/>
      <c r="X448" s="28"/>
    </row>
    <row r="449">
      <c r="A449" s="15"/>
      <c r="B449" s="16"/>
      <c r="C449" s="15"/>
      <c r="D449" s="15"/>
      <c r="E449" s="15"/>
      <c r="F449" s="3"/>
      <c r="G449" s="18"/>
      <c r="H449" s="3"/>
      <c r="I449" s="19"/>
      <c r="J449" s="19"/>
      <c r="K449" s="3"/>
      <c r="L449" s="3"/>
      <c r="M449" s="20"/>
      <c r="N449" s="20"/>
      <c r="O449" s="20"/>
      <c r="P449" s="21"/>
      <c r="Q449" s="22"/>
      <c r="R449" s="22"/>
      <c r="S449" s="19"/>
      <c r="T449" s="19"/>
      <c r="U449" s="19"/>
      <c r="V449" s="19"/>
      <c r="W449" s="26"/>
      <c r="X449" s="28"/>
    </row>
    <row r="450">
      <c r="A450" s="15"/>
      <c r="B450" s="16"/>
      <c r="C450" s="15"/>
      <c r="D450" s="15"/>
      <c r="E450" s="15"/>
      <c r="F450" s="3"/>
      <c r="G450" s="18"/>
      <c r="H450" s="3"/>
      <c r="I450" s="19"/>
      <c r="J450" s="19"/>
      <c r="K450" s="3"/>
      <c r="L450" s="3"/>
      <c r="M450" s="20"/>
      <c r="N450" s="20"/>
      <c r="O450" s="20"/>
      <c r="P450" s="21"/>
      <c r="Q450" s="22"/>
      <c r="R450" s="22"/>
      <c r="S450" s="19"/>
      <c r="T450" s="19"/>
      <c r="U450" s="19"/>
      <c r="V450" s="19"/>
      <c r="W450" s="26"/>
      <c r="X450" s="28"/>
    </row>
    <row r="451">
      <c r="A451" s="15"/>
      <c r="B451" s="16"/>
      <c r="C451" s="15"/>
      <c r="D451" s="15"/>
      <c r="E451" s="15"/>
      <c r="F451" s="3"/>
      <c r="G451" s="18"/>
      <c r="H451" s="3"/>
      <c r="I451" s="19"/>
      <c r="J451" s="19"/>
      <c r="K451" s="3"/>
      <c r="L451" s="3"/>
      <c r="M451" s="20"/>
      <c r="N451" s="20"/>
      <c r="O451" s="20"/>
      <c r="P451" s="21"/>
      <c r="Q451" s="22"/>
      <c r="R451" s="22"/>
      <c r="S451" s="19"/>
      <c r="T451" s="19"/>
      <c r="U451" s="19"/>
      <c r="V451" s="19"/>
      <c r="W451" s="26"/>
      <c r="X451" s="28"/>
    </row>
    <row r="452">
      <c r="A452" s="15"/>
      <c r="B452" s="16"/>
      <c r="C452" s="15"/>
      <c r="D452" s="15"/>
      <c r="E452" s="15"/>
      <c r="F452" s="3"/>
      <c r="G452" s="18"/>
      <c r="H452" s="3"/>
      <c r="I452" s="19"/>
      <c r="J452" s="19"/>
      <c r="K452" s="3"/>
      <c r="L452" s="3"/>
      <c r="M452" s="20"/>
      <c r="N452" s="20"/>
      <c r="O452" s="20"/>
      <c r="P452" s="21"/>
      <c r="Q452" s="22"/>
      <c r="R452" s="22"/>
      <c r="S452" s="19"/>
      <c r="T452" s="19"/>
      <c r="U452" s="19"/>
      <c r="V452" s="19"/>
      <c r="W452" s="26"/>
      <c r="X452" s="28"/>
    </row>
    <row r="453">
      <c r="A453" s="15"/>
      <c r="B453" s="16"/>
      <c r="C453" s="15"/>
      <c r="D453" s="15"/>
      <c r="E453" s="15"/>
      <c r="F453" s="3"/>
      <c r="G453" s="18"/>
      <c r="H453" s="3"/>
      <c r="I453" s="19"/>
      <c r="J453" s="19"/>
      <c r="K453" s="3"/>
      <c r="L453" s="3"/>
      <c r="M453" s="20"/>
      <c r="N453" s="20"/>
      <c r="O453" s="20"/>
      <c r="P453" s="21"/>
      <c r="Q453" s="22"/>
      <c r="R453" s="22"/>
      <c r="S453" s="19"/>
      <c r="T453" s="19"/>
      <c r="U453" s="19"/>
      <c r="V453" s="19"/>
      <c r="W453" s="26"/>
      <c r="X453" s="28"/>
    </row>
    <row r="454">
      <c r="A454" s="15"/>
      <c r="B454" s="16"/>
      <c r="C454" s="15"/>
      <c r="D454" s="15"/>
      <c r="E454" s="15"/>
      <c r="F454" s="3"/>
      <c r="G454" s="18"/>
      <c r="H454" s="3"/>
      <c r="I454" s="19"/>
      <c r="J454" s="19"/>
      <c r="K454" s="3"/>
      <c r="L454" s="3"/>
      <c r="M454" s="20"/>
      <c r="N454" s="20"/>
      <c r="O454" s="20"/>
      <c r="P454" s="21"/>
      <c r="Q454" s="22"/>
      <c r="R454" s="22"/>
      <c r="S454" s="19"/>
      <c r="T454" s="19"/>
      <c r="U454" s="19"/>
      <c r="V454" s="19"/>
      <c r="W454" s="26"/>
      <c r="X454" s="28"/>
    </row>
    <row r="455">
      <c r="A455" s="15"/>
      <c r="B455" s="16"/>
      <c r="C455" s="15"/>
      <c r="D455" s="15"/>
      <c r="E455" s="15"/>
      <c r="F455" s="3"/>
      <c r="G455" s="18"/>
      <c r="H455" s="3"/>
      <c r="I455" s="19"/>
      <c r="J455" s="19"/>
      <c r="K455" s="3"/>
      <c r="L455" s="3"/>
      <c r="M455" s="20"/>
      <c r="N455" s="20"/>
      <c r="O455" s="20"/>
      <c r="P455" s="21"/>
      <c r="Q455" s="22"/>
      <c r="R455" s="22"/>
      <c r="S455" s="19"/>
      <c r="T455" s="19"/>
      <c r="U455" s="19"/>
      <c r="V455" s="19"/>
      <c r="W455" s="26"/>
      <c r="X455" s="28"/>
    </row>
    <row r="456">
      <c r="A456" s="15"/>
      <c r="B456" s="16"/>
      <c r="C456" s="15"/>
      <c r="D456" s="15"/>
      <c r="E456" s="15"/>
      <c r="F456" s="3"/>
      <c r="G456" s="18"/>
      <c r="H456" s="3"/>
      <c r="I456" s="19"/>
      <c r="J456" s="19"/>
      <c r="K456" s="3"/>
      <c r="L456" s="3"/>
      <c r="M456" s="20"/>
      <c r="N456" s="20"/>
      <c r="O456" s="20"/>
      <c r="P456" s="21"/>
      <c r="Q456" s="22"/>
      <c r="R456" s="22"/>
      <c r="S456" s="19"/>
      <c r="T456" s="19"/>
      <c r="U456" s="19"/>
      <c r="V456" s="19"/>
      <c r="W456" s="26"/>
      <c r="X456" s="28"/>
    </row>
    <row r="457">
      <c r="A457" s="15"/>
      <c r="B457" s="16"/>
      <c r="C457" s="15"/>
      <c r="D457" s="15"/>
      <c r="E457" s="15"/>
      <c r="F457" s="3"/>
      <c r="G457" s="18"/>
      <c r="H457" s="3"/>
      <c r="I457" s="19"/>
      <c r="J457" s="19"/>
      <c r="K457" s="3"/>
      <c r="L457" s="3"/>
      <c r="M457" s="20"/>
      <c r="N457" s="20"/>
      <c r="O457" s="20"/>
      <c r="P457" s="21"/>
      <c r="Q457" s="22"/>
      <c r="R457" s="22"/>
      <c r="S457" s="19"/>
      <c r="T457" s="19"/>
      <c r="U457" s="19"/>
      <c r="V457" s="19"/>
      <c r="W457" s="26"/>
      <c r="X457" s="28"/>
    </row>
    <row r="458">
      <c r="A458" s="15"/>
      <c r="B458" s="16"/>
      <c r="C458" s="15"/>
      <c r="D458" s="15"/>
      <c r="E458" s="15"/>
      <c r="F458" s="3"/>
      <c r="G458" s="18"/>
      <c r="H458" s="3"/>
      <c r="I458" s="19"/>
      <c r="J458" s="19"/>
      <c r="K458" s="3"/>
      <c r="L458" s="3"/>
      <c r="M458" s="20"/>
      <c r="N458" s="20"/>
      <c r="O458" s="20"/>
      <c r="P458" s="21"/>
      <c r="Q458" s="22"/>
      <c r="R458" s="22"/>
      <c r="S458" s="19"/>
      <c r="T458" s="19"/>
      <c r="U458" s="19"/>
      <c r="V458" s="19"/>
      <c r="W458" s="26"/>
      <c r="X458" s="28"/>
    </row>
    <row r="459">
      <c r="A459" s="15"/>
      <c r="B459" s="16"/>
      <c r="C459" s="15"/>
      <c r="D459" s="15"/>
      <c r="E459" s="15"/>
      <c r="F459" s="3"/>
      <c r="G459" s="18"/>
      <c r="H459" s="3"/>
      <c r="I459" s="19"/>
      <c r="J459" s="19"/>
      <c r="K459" s="3"/>
      <c r="L459" s="3"/>
      <c r="M459" s="20"/>
      <c r="N459" s="20"/>
      <c r="O459" s="20"/>
      <c r="P459" s="21"/>
      <c r="Q459" s="22"/>
      <c r="R459" s="22"/>
      <c r="S459" s="19"/>
      <c r="T459" s="19"/>
      <c r="U459" s="19"/>
      <c r="V459" s="19"/>
      <c r="W459" s="26"/>
      <c r="X459" s="28"/>
    </row>
    <row r="460">
      <c r="A460" s="15"/>
      <c r="B460" s="16"/>
      <c r="C460" s="15"/>
      <c r="D460" s="15"/>
      <c r="E460" s="15"/>
      <c r="F460" s="3"/>
      <c r="G460" s="18"/>
      <c r="H460" s="3"/>
      <c r="I460" s="19"/>
      <c r="J460" s="19"/>
      <c r="K460" s="3"/>
      <c r="L460" s="3"/>
      <c r="M460" s="20"/>
      <c r="N460" s="20"/>
      <c r="O460" s="20"/>
      <c r="P460" s="21"/>
      <c r="Q460" s="22"/>
      <c r="R460" s="22"/>
      <c r="S460" s="19"/>
      <c r="T460" s="19"/>
      <c r="U460" s="19"/>
      <c r="V460" s="19"/>
      <c r="W460" s="26"/>
      <c r="X460" s="28"/>
    </row>
    <row r="461">
      <c r="A461" s="15"/>
      <c r="B461" s="16"/>
      <c r="C461" s="15"/>
      <c r="D461" s="15"/>
      <c r="E461" s="15"/>
      <c r="F461" s="3"/>
      <c r="G461" s="18"/>
      <c r="H461" s="3"/>
      <c r="I461" s="19"/>
      <c r="J461" s="19"/>
      <c r="K461" s="3"/>
      <c r="L461" s="3"/>
      <c r="M461" s="20"/>
      <c r="N461" s="20"/>
      <c r="O461" s="20"/>
      <c r="P461" s="21"/>
      <c r="Q461" s="22"/>
      <c r="R461" s="22"/>
      <c r="S461" s="19"/>
      <c r="T461" s="19"/>
      <c r="U461" s="19"/>
      <c r="V461" s="19"/>
      <c r="W461" s="26"/>
      <c r="X461" s="28"/>
    </row>
    <row r="462">
      <c r="A462" s="15"/>
      <c r="B462" s="16"/>
      <c r="C462" s="15"/>
      <c r="D462" s="15"/>
      <c r="E462" s="15"/>
      <c r="F462" s="3"/>
      <c r="G462" s="18"/>
      <c r="H462" s="3"/>
      <c r="I462" s="19"/>
      <c r="J462" s="19"/>
      <c r="K462" s="3"/>
      <c r="L462" s="3"/>
      <c r="M462" s="20"/>
      <c r="N462" s="20"/>
      <c r="O462" s="20"/>
      <c r="P462" s="21"/>
      <c r="Q462" s="22"/>
      <c r="R462" s="22"/>
      <c r="S462" s="19"/>
      <c r="T462" s="19"/>
      <c r="U462" s="19"/>
      <c r="V462" s="19"/>
      <c r="W462" s="26"/>
      <c r="X462" s="28"/>
    </row>
    <row r="463">
      <c r="A463" s="15"/>
      <c r="B463" s="16"/>
      <c r="C463" s="15"/>
      <c r="D463" s="15"/>
      <c r="E463" s="15"/>
      <c r="F463" s="3"/>
      <c r="G463" s="18"/>
      <c r="H463" s="3"/>
      <c r="I463" s="19"/>
      <c r="J463" s="19"/>
      <c r="K463" s="3"/>
      <c r="L463" s="3"/>
      <c r="M463" s="20"/>
      <c r="N463" s="20"/>
      <c r="O463" s="20"/>
      <c r="P463" s="21"/>
      <c r="Q463" s="22"/>
      <c r="R463" s="22"/>
      <c r="S463" s="19"/>
      <c r="T463" s="19"/>
      <c r="U463" s="19"/>
      <c r="V463" s="19"/>
      <c r="W463" s="26"/>
      <c r="X463" s="28"/>
    </row>
    <row r="464">
      <c r="A464" s="15"/>
      <c r="B464" s="16"/>
      <c r="C464" s="15"/>
      <c r="D464" s="15"/>
      <c r="E464" s="15"/>
      <c r="F464" s="3"/>
      <c r="G464" s="18"/>
      <c r="H464" s="3"/>
      <c r="I464" s="19"/>
      <c r="J464" s="19"/>
      <c r="K464" s="3"/>
      <c r="L464" s="3"/>
      <c r="M464" s="20"/>
      <c r="N464" s="20"/>
      <c r="O464" s="20"/>
      <c r="P464" s="21"/>
      <c r="Q464" s="22"/>
      <c r="R464" s="22"/>
      <c r="S464" s="19"/>
      <c r="T464" s="19"/>
      <c r="U464" s="19"/>
      <c r="V464" s="19"/>
      <c r="W464" s="26"/>
      <c r="X464" s="28"/>
    </row>
    <row r="465">
      <c r="A465" s="15"/>
      <c r="B465" s="16"/>
      <c r="C465" s="15"/>
      <c r="D465" s="15"/>
      <c r="E465" s="15"/>
      <c r="F465" s="3"/>
      <c r="G465" s="18"/>
      <c r="H465" s="3"/>
      <c r="I465" s="19"/>
      <c r="J465" s="19"/>
      <c r="K465" s="3"/>
      <c r="L465" s="3"/>
      <c r="M465" s="20"/>
      <c r="N465" s="20"/>
      <c r="O465" s="20"/>
      <c r="P465" s="21"/>
      <c r="Q465" s="22"/>
      <c r="R465" s="22"/>
      <c r="S465" s="19"/>
      <c r="T465" s="19"/>
      <c r="U465" s="19"/>
      <c r="V465" s="19"/>
      <c r="W465" s="26"/>
      <c r="X465" s="28"/>
    </row>
    <row r="466">
      <c r="A466" s="15"/>
      <c r="B466" s="16"/>
      <c r="C466" s="15"/>
      <c r="D466" s="15"/>
      <c r="E466" s="15"/>
      <c r="F466" s="3"/>
      <c r="G466" s="18"/>
      <c r="H466" s="3"/>
      <c r="I466" s="19"/>
      <c r="J466" s="19"/>
      <c r="K466" s="3"/>
      <c r="L466" s="3"/>
      <c r="M466" s="20"/>
      <c r="N466" s="20"/>
      <c r="O466" s="20"/>
      <c r="P466" s="21"/>
      <c r="Q466" s="22"/>
      <c r="R466" s="22"/>
      <c r="S466" s="19"/>
      <c r="T466" s="19"/>
      <c r="U466" s="19"/>
      <c r="V466" s="19"/>
      <c r="W466" s="26"/>
      <c r="X466" s="28"/>
    </row>
    <row r="467">
      <c r="A467" s="15"/>
      <c r="B467" s="16"/>
      <c r="C467" s="15"/>
      <c r="D467" s="15"/>
      <c r="E467" s="15"/>
      <c r="F467" s="3"/>
      <c r="G467" s="18"/>
      <c r="H467" s="3"/>
      <c r="I467" s="19"/>
      <c r="J467" s="19"/>
      <c r="K467" s="3"/>
      <c r="L467" s="3"/>
      <c r="M467" s="20"/>
      <c r="N467" s="20"/>
      <c r="O467" s="20"/>
      <c r="P467" s="21"/>
      <c r="Q467" s="22"/>
      <c r="R467" s="22"/>
      <c r="S467" s="19"/>
      <c r="T467" s="19"/>
      <c r="U467" s="19"/>
      <c r="V467" s="19"/>
      <c r="W467" s="26"/>
      <c r="X467" s="28"/>
    </row>
    <row r="468">
      <c r="A468" s="15"/>
      <c r="B468" s="16"/>
      <c r="C468" s="15"/>
      <c r="D468" s="15"/>
      <c r="E468" s="15"/>
      <c r="F468" s="3"/>
      <c r="G468" s="18"/>
      <c r="H468" s="3"/>
      <c r="I468" s="19"/>
      <c r="J468" s="19"/>
      <c r="K468" s="3"/>
      <c r="L468" s="3"/>
      <c r="M468" s="20"/>
      <c r="N468" s="20"/>
      <c r="O468" s="20"/>
      <c r="P468" s="21"/>
      <c r="Q468" s="22"/>
      <c r="R468" s="22"/>
      <c r="S468" s="19"/>
      <c r="T468" s="19"/>
      <c r="U468" s="19"/>
      <c r="V468" s="19"/>
      <c r="W468" s="26"/>
      <c r="X468" s="28"/>
    </row>
    <row r="469">
      <c r="A469" s="15"/>
      <c r="B469" s="16"/>
      <c r="C469" s="15"/>
      <c r="D469" s="15"/>
      <c r="E469" s="15"/>
      <c r="F469" s="3"/>
      <c r="G469" s="18"/>
      <c r="H469" s="3"/>
      <c r="I469" s="19"/>
      <c r="J469" s="19"/>
      <c r="K469" s="3"/>
      <c r="L469" s="3"/>
      <c r="M469" s="20"/>
      <c r="N469" s="20"/>
      <c r="O469" s="20"/>
      <c r="P469" s="21"/>
      <c r="Q469" s="22"/>
      <c r="R469" s="22"/>
      <c r="S469" s="19"/>
      <c r="T469" s="19"/>
      <c r="U469" s="19"/>
      <c r="V469" s="19"/>
      <c r="W469" s="26"/>
      <c r="X469" s="28"/>
    </row>
    <row r="470">
      <c r="A470" s="15"/>
      <c r="B470" s="16"/>
      <c r="C470" s="15"/>
      <c r="D470" s="15"/>
      <c r="E470" s="15"/>
      <c r="F470" s="3"/>
      <c r="G470" s="18"/>
      <c r="H470" s="3"/>
      <c r="I470" s="19"/>
      <c r="J470" s="19"/>
      <c r="K470" s="3"/>
      <c r="L470" s="3"/>
      <c r="M470" s="20"/>
      <c r="N470" s="20"/>
      <c r="O470" s="20"/>
      <c r="P470" s="21"/>
      <c r="Q470" s="22"/>
      <c r="R470" s="22"/>
      <c r="S470" s="19"/>
      <c r="T470" s="19"/>
      <c r="U470" s="19"/>
      <c r="V470" s="19"/>
      <c r="W470" s="26"/>
      <c r="X470" s="28"/>
    </row>
    <row r="471">
      <c r="A471" s="15"/>
      <c r="B471" s="16"/>
      <c r="C471" s="15"/>
      <c r="D471" s="15"/>
      <c r="E471" s="15"/>
      <c r="F471" s="3"/>
      <c r="G471" s="18"/>
      <c r="H471" s="3"/>
      <c r="I471" s="19"/>
      <c r="J471" s="19"/>
      <c r="K471" s="3"/>
      <c r="L471" s="3"/>
      <c r="M471" s="20"/>
      <c r="N471" s="20"/>
      <c r="O471" s="20"/>
      <c r="P471" s="21"/>
      <c r="Q471" s="22"/>
      <c r="R471" s="22"/>
      <c r="S471" s="19"/>
      <c r="T471" s="19"/>
      <c r="U471" s="19"/>
      <c r="V471" s="19"/>
      <c r="W471" s="26"/>
      <c r="X471" s="28"/>
    </row>
    <row r="472">
      <c r="A472" s="15"/>
      <c r="B472" s="16"/>
      <c r="C472" s="15"/>
      <c r="D472" s="15"/>
      <c r="E472" s="15"/>
      <c r="F472" s="3"/>
      <c r="G472" s="18"/>
      <c r="H472" s="3"/>
      <c r="I472" s="19"/>
      <c r="J472" s="19"/>
      <c r="K472" s="3"/>
      <c r="L472" s="3"/>
      <c r="M472" s="20"/>
      <c r="N472" s="20"/>
      <c r="O472" s="20"/>
      <c r="P472" s="21"/>
      <c r="Q472" s="22"/>
      <c r="R472" s="22"/>
      <c r="S472" s="19"/>
      <c r="T472" s="19"/>
      <c r="U472" s="19"/>
      <c r="V472" s="19"/>
      <c r="W472" s="26"/>
      <c r="X472" s="28"/>
    </row>
    <row r="473">
      <c r="A473" s="15"/>
      <c r="B473" s="16"/>
      <c r="C473" s="15"/>
      <c r="D473" s="15"/>
      <c r="E473" s="15"/>
      <c r="F473" s="3"/>
      <c r="G473" s="18"/>
      <c r="H473" s="3"/>
      <c r="I473" s="19"/>
      <c r="J473" s="19"/>
      <c r="K473" s="3"/>
      <c r="L473" s="3"/>
      <c r="M473" s="20"/>
      <c r="N473" s="20"/>
      <c r="O473" s="20"/>
      <c r="P473" s="21"/>
      <c r="Q473" s="22"/>
      <c r="R473" s="22"/>
      <c r="S473" s="19"/>
      <c r="T473" s="19"/>
      <c r="U473" s="19"/>
      <c r="V473" s="19"/>
      <c r="W473" s="26"/>
      <c r="X473" s="28"/>
    </row>
    <row r="474">
      <c r="A474" s="15"/>
      <c r="B474" s="16"/>
      <c r="C474" s="15"/>
      <c r="D474" s="15"/>
      <c r="E474" s="15"/>
      <c r="F474" s="3"/>
      <c r="G474" s="18"/>
      <c r="H474" s="3"/>
      <c r="I474" s="19"/>
      <c r="J474" s="19"/>
      <c r="K474" s="3"/>
      <c r="L474" s="3"/>
      <c r="M474" s="20"/>
      <c r="N474" s="20"/>
      <c r="O474" s="20"/>
      <c r="P474" s="21"/>
      <c r="Q474" s="22"/>
      <c r="R474" s="22"/>
      <c r="S474" s="19"/>
      <c r="T474" s="19"/>
      <c r="U474" s="19"/>
      <c r="V474" s="19"/>
      <c r="W474" s="26"/>
      <c r="X474" s="28"/>
    </row>
    <row r="475">
      <c r="A475" s="15"/>
      <c r="B475" s="16"/>
      <c r="C475" s="15"/>
      <c r="D475" s="15"/>
      <c r="E475" s="15"/>
      <c r="F475" s="3"/>
      <c r="G475" s="18"/>
      <c r="H475" s="3"/>
      <c r="I475" s="19"/>
      <c r="J475" s="19"/>
      <c r="K475" s="3"/>
      <c r="L475" s="3"/>
      <c r="M475" s="20"/>
      <c r="N475" s="20"/>
      <c r="O475" s="20"/>
      <c r="P475" s="21"/>
      <c r="Q475" s="22"/>
      <c r="R475" s="22"/>
      <c r="S475" s="19"/>
      <c r="T475" s="19"/>
      <c r="U475" s="19"/>
      <c r="V475" s="19"/>
      <c r="W475" s="26"/>
      <c r="X475" s="28"/>
    </row>
    <row r="476">
      <c r="A476" s="15"/>
      <c r="B476" s="16"/>
      <c r="C476" s="15"/>
      <c r="D476" s="15"/>
      <c r="E476" s="15"/>
      <c r="F476" s="3"/>
      <c r="G476" s="18"/>
      <c r="H476" s="3"/>
      <c r="I476" s="19"/>
      <c r="J476" s="19"/>
      <c r="K476" s="3"/>
      <c r="L476" s="3"/>
      <c r="M476" s="20"/>
      <c r="N476" s="20"/>
      <c r="O476" s="20"/>
      <c r="P476" s="21"/>
      <c r="Q476" s="22"/>
      <c r="R476" s="22"/>
      <c r="S476" s="19"/>
      <c r="T476" s="19"/>
      <c r="U476" s="19"/>
      <c r="V476" s="19"/>
      <c r="W476" s="26"/>
      <c r="X476" s="28"/>
    </row>
    <row r="477">
      <c r="A477" s="15"/>
      <c r="B477" s="16"/>
      <c r="C477" s="15"/>
      <c r="D477" s="15"/>
      <c r="E477" s="15"/>
      <c r="F477" s="3"/>
      <c r="G477" s="18"/>
      <c r="H477" s="3"/>
      <c r="I477" s="19"/>
      <c r="J477" s="19"/>
      <c r="K477" s="3"/>
      <c r="L477" s="3"/>
      <c r="M477" s="20"/>
      <c r="N477" s="20"/>
      <c r="O477" s="20"/>
      <c r="P477" s="21"/>
      <c r="Q477" s="22"/>
      <c r="R477" s="22"/>
      <c r="S477" s="19"/>
      <c r="T477" s="19"/>
      <c r="U477" s="19"/>
      <c r="V477" s="19"/>
      <c r="W477" s="26"/>
      <c r="X477" s="28"/>
    </row>
    <row r="478">
      <c r="A478" s="15"/>
      <c r="B478" s="16"/>
      <c r="C478" s="15"/>
      <c r="D478" s="15"/>
      <c r="E478" s="15"/>
      <c r="F478" s="3"/>
      <c r="G478" s="18"/>
      <c r="H478" s="3"/>
      <c r="I478" s="19"/>
      <c r="J478" s="19"/>
      <c r="K478" s="3"/>
      <c r="L478" s="3"/>
      <c r="M478" s="20"/>
      <c r="N478" s="20"/>
      <c r="O478" s="20"/>
      <c r="P478" s="21"/>
      <c r="Q478" s="22"/>
      <c r="R478" s="22"/>
      <c r="S478" s="19"/>
      <c r="T478" s="19"/>
      <c r="U478" s="19"/>
      <c r="V478" s="19"/>
      <c r="W478" s="26"/>
      <c r="X478" s="28"/>
    </row>
    <row r="479">
      <c r="A479" s="15"/>
      <c r="B479" s="16"/>
      <c r="C479" s="15"/>
      <c r="D479" s="15"/>
      <c r="E479" s="15"/>
      <c r="F479" s="3"/>
      <c r="G479" s="18"/>
      <c r="H479" s="3"/>
      <c r="I479" s="19"/>
      <c r="J479" s="19"/>
      <c r="K479" s="3"/>
      <c r="L479" s="3"/>
      <c r="M479" s="20"/>
      <c r="N479" s="20"/>
      <c r="O479" s="20"/>
      <c r="P479" s="21"/>
      <c r="Q479" s="22"/>
      <c r="R479" s="22"/>
      <c r="S479" s="19"/>
      <c r="T479" s="19"/>
      <c r="U479" s="19"/>
      <c r="V479" s="19"/>
      <c r="W479" s="26"/>
      <c r="X479" s="28"/>
    </row>
    <row r="480">
      <c r="A480" s="15"/>
      <c r="B480" s="16"/>
      <c r="C480" s="15"/>
      <c r="D480" s="15"/>
      <c r="E480" s="15"/>
      <c r="F480" s="3"/>
      <c r="G480" s="18"/>
      <c r="H480" s="3"/>
      <c r="I480" s="19"/>
      <c r="J480" s="19"/>
      <c r="K480" s="3"/>
      <c r="L480" s="3"/>
      <c r="M480" s="20"/>
      <c r="N480" s="20"/>
      <c r="O480" s="20"/>
      <c r="P480" s="21"/>
      <c r="Q480" s="22"/>
      <c r="R480" s="22"/>
      <c r="S480" s="19"/>
      <c r="T480" s="19"/>
      <c r="U480" s="19"/>
      <c r="V480" s="19"/>
      <c r="W480" s="26"/>
      <c r="X480" s="28"/>
    </row>
    <row r="481">
      <c r="A481" s="15"/>
      <c r="B481" s="16"/>
      <c r="C481" s="15"/>
      <c r="D481" s="15"/>
      <c r="E481" s="15"/>
      <c r="F481" s="3"/>
      <c r="G481" s="18"/>
      <c r="H481" s="3"/>
      <c r="I481" s="19"/>
      <c r="J481" s="19"/>
      <c r="K481" s="3"/>
      <c r="L481" s="3"/>
      <c r="M481" s="20"/>
      <c r="N481" s="20"/>
      <c r="O481" s="20"/>
      <c r="P481" s="21"/>
      <c r="Q481" s="22"/>
      <c r="R481" s="22"/>
      <c r="S481" s="19"/>
      <c r="T481" s="19"/>
      <c r="U481" s="19"/>
      <c r="V481" s="19"/>
      <c r="W481" s="26"/>
      <c r="X481" s="28"/>
    </row>
    <row r="482">
      <c r="A482" s="15"/>
      <c r="B482" s="16"/>
      <c r="C482" s="15"/>
      <c r="D482" s="15"/>
      <c r="E482" s="15"/>
      <c r="F482" s="3"/>
      <c r="G482" s="18"/>
      <c r="H482" s="3"/>
      <c r="I482" s="19"/>
      <c r="J482" s="19"/>
      <c r="K482" s="3"/>
      <c r="L482" s="3"/>
      <c r="M482" s="20"/>
      <c r="N482" s="20"/>
      <c r="O482" s="20"/>
      <c r="P482" s="21"/>
      <c r="Q482" s="22"/>
      <c r="R482" s="22"/>
      <c r="S482" s="19"/>
      <c r="T482" s="19"/>
      <c r="U482" s="19"/>
      <c r="V482" s="19"/>
      <c r="W482" s="26"/>
      <c r="X482" s="28"/>
    </row>
    <row r="483">
      <c r="A483" s="15"/>
      <c r="B483" s="16"/>
      <c r="C483" s="15"/>
      <c r="D483" s="15"/>
      <c r="E483" s="15"/>
      <c r="F483" s="3"/>
      <c r="G483" s="18"/>
      <c r="H483" s="3"/>
      <c r="I483" s="19"/>
      <c r="J483" s="19"/>
      <c r="K483" s="3"/>
      <c r="L483" s="3"/>
      <c r="M483" s="20"/>
      <c r="N483" s="20"/>
      <c r="O483" s="20"/>
      <c r="P483" s="21"/>
      <c r="Q483" s="22"/>
      <c r="R483" s="22"/>
      <c r="S483" s="19"/>
      <c r="T483" s="19"/>
      <c r="U483" s="19"/>
      <c r="V483" s="19"/>
      <c r="W483" s="26"/>
      <c r="X483" s="28"/>
    </row>
    <row r="484">
      <c r="A484" s="15"/>
      <c r="B484" s="16"/>
      <c r="C484" s="15"/>
      <c r="D484" s="15"/>
      <c r="E484" s="15"/>
      <c r="F484" s="3"/>
      <c r="G484" s="18"/>
      <c r="H484" s="3"/>
      <c r="I484" s="19"/>
      <c r="J484" s="19"/>
      <c r="K484" s="3"/>
      <c r="L484" s="3"/>
      <c r="M484" s="20"/>
      <c r="N484" s="20"/>
      <c r="O484" s="20"/>
      <c r="P484" s="21"/>
      <c r="Q484" s="22"/>
      <c r="R484" s="22"/>
      <c r="S484" s="19"/>
      <c r="T484" s="19"/>
      <c r="U484" s="19"/>
      <c r="V484" s="19"/>
      <c r="W484" s="26"/>
      <c r="X484" s="28"/>
    </row>
    <row r="485">
      <c r="A485" s="15"/>
      <c r="B485" s="16"/>
      <c r="C485" s="15"/>
      <c r="D485" s="15"/>
      <c r="E485" s="15"/>
      <c r="F485" s="3"/>
      <c r="G485" s="18"/>
      <c r="H485" s="3"/>
      <c r="I485" s="19"/>
      <c r="J485" s="19"/>
      <c r="K485" s="3"/>
      <c r="L485" s="3"/>
      <c r="M485" s="20"/>
      <c r="N485" s="20"/>
      <c r="O485" s="20"/>
      <c r="P485" s="21"/>
      <c r="Q485" s="22"/>
      <c r="R485" s="22"/>
      <c r="S485" s="19"/>
      <c r="T485" s="19"/>
      <c r="U485" s="19"/>
      <c r="V485" s="19"/>
      <c r="W485" s="26"/>
      <c r="X485" s="28"/>
    </row>
    <row r="486">
      <c r="A486" s="15"/>
      <c r="B486" s="16"/>
      <c r="C486" s="15"/>
      <c r="D486" s="15"/>
      <c r="E486" s="15"/>
      <c r="F486" s="3"/>
      <c r="G486" s="18"/>
      <c r="H486" s="3"/>
      <c r="I486" s="19"/>
      <c r="J486" s="19"/>
      <c r="K486" s="3"/>
      <c r="L486" s="3"/>
      <c r="M486" s="20"/>
      <c r="N486" s="20"/>
      <c r="O486" s="20"/>
      <c r="P486" s="21"/>
      <c r="Q486" s="22"/>
      <c r="R486" s="22"/>
      <c r="S486" s="19"/>
      <c r="T486" s="19"/>
      <c r="U486" s="19"/>
      <c r="V486" s="19"/>
      <c r="W486" s="26"/>
      <c r="X486" s="28"/>
    </row>
    <row r="487">
      <c r="A487" s="15"/>
      <c r="B487" s="16"/>
      <c r="C487" s="15"/>
      <c r="D487" s="15"/>
      <c r="E487" s="15"/>
      <c r="F487" s="3"/>
      <c r="G487" s="18"/>
      <c r="H487" s="3"/>
      <c r="I487" s="19"/>
      <c r="J487" s="19"/>
      <c r="K487" s="3"/>
      <c r="L487" s="3"/>
      <c r="M487" s="20"/>
      <c r="N487" s="20"/>
      <c r="O487" s="20"/>
      <c r="P487" s="21"/>
      <c r="Q487" s="22"/>
      <c r="R487" s="22"/>
      <c r="S487" s="19"/>
      <c r="T487" s="19"/>
      <c r="U487" s="19"/>
      <c r="V487" s="19"/>
      <c r="W487" s="26"/>
      <c r="X487" s="28"/>
    </row>
    <row r="488">
      <c r="A488" s="15"/>
      <c r="B488" s="16"/>
      <c r="C488" s="15"/>
      <c r="D488" s="15"/>
      <c r="E488" s="15"/>
      <c r="F488" s="3"/>
      <c r="G488" s="18"/>
      <c r="H488" s="3"/>
      <c r="I488" s="19"/>
      <c r="J488" s="19"/>
      <c r="K488" s="3"/>
      <c r="L488" s="3"/>
      <c r="M488" s="20"/>
      <c r="N488" s="20"/>
      <c r="O488" s="20"/>
      <c r="P488" s="21"/>
      <c r="Q488" s="22"/>
      <c r="R488" s="22"/>
      <c r="S488" s="19"/>
      <c r="T488" s="19"/>
      <c r="U488" s="19"/>
      <c r="V488" s="19"/>
      <c r="W488" s="26"/>
      <c r="X488" s="28"/>
    </row>
    <row r="489">
      <c r="A489" s="15"/>
      <c r="B489" s="16"/>
      <c r="C489" s="15"/>
      <c r="D489" s="15"/>
      <c r="E489" s="15"/>
      <c r="F489" s="3"/>
      <c r="G489" s="18"/>
      <c r="H489" s="3"/>
      <c r="I489" s="19"/>
      <c r="J489" s="19"/>
      <c r="K489" s="3"/>
      <c r="L489" s="3"/>
      <c r="M489" s="20"/>
      <c r="N489" s="20"/>
      <c r="O489" s="20"/>
      <c r="P489" s="21"/>
      <c r="Q489" s="22"/>
      <c r="R489" s="22"/>
      <c r="S489" s="19"/>
      <c r="T489" s="19"/>
      <c r="U489" s="19"/>
      <c r="V489" s="19"/>
      <c r="W489" s="26"/>
      <c r="X489" s="28"/>
    </row>
    <row r="490">
      <c r="A490" s="15"/>
      <c r="B490" s="16"/>
      <c r="C490" s="15"/>
      <c r="D490" s="15"/>
      <c r="E490" s="15"/>
      <c r="F490" s="3"/>
      <c r="G490" s="18"/>
      <c r="H490" s="3"/>
      <c r="I490" s="19"/>
      <c r="J490" s="19"/>
      <c r="K490" s="3"/>
      <c r="L490" s="3"/>
      <c r="M490" s="20"/>
      <c r="N490" s="20"/>
      <c r="O490" s="20"/>
      <c r="P490" s="21"/>
      <c r="Q490" s="22"/>
      <c r="R490" s="22"/>
      <c r="S490" s="19"/>
      <c r="T490" s="19"/>
      <c r="U490" s="19"/>
      <c r="V490" s="19"/>
      <c r="W490" s="26"/>
      <c r="X490" s="28"/>
    </row>
    <row r="491">
      <c r="A491" s="15"/>
      <c r="B491" s="16"/>
      <c r="C491" s="15"/>
      <c r="D491" s="15"/>
      <c r="E491" s="15"/>
      <c r="F491" s="3"/>
      <c r="G491" s="18"/>
      <c r="H491" s="3"/>
      <c r="I491" s="19"/>
      <c r="J491" s="19"/>
      <c r="K491" s="3"/>
      <c r="L491" s="3"/>
      <c r="M491" s="20"/>
      <c r="N491" s="20"/>
      <c r="O491" s="20"/>
      <c r="P491" s="21"/>
      <c r="Q491" s="22"/>
      <c r="R491" s="22"/>
      <c r="S491" s="19"/>
      <c r="T491" s="19"/>
      <c r="U491" s="19"/>
      <c r="V491" s="19"/>
      <c r="W491" s="26"/>
      <c r="X491" s="28"/>
    </row>
    <row r="492">
      <c r="A492" s="15"/>
      <c r="B492" s="16"/>
      <c r="C492" s="15"/>
      <c r="D492" s="15"/>
      <c r="E492" s="15"/>
      <c r="F492" s="3"/>
      <c r="G492" s="18"/>
      <c r="H492" s="3"/>
      <c r="I492" s="19"/>
      <c r="J492" s="19"/>
      <c r="K492" s="3"/>
      <c r="L492" s="3"/>
      <c r="M492" s="20"/>
      <c r="N492" s="20"/>
      <c r="O492" s="20"/>
      <c r="P492" s="21"/>
      <c r="Q492" s="22"/>
      <c r="R492" s="22"/>
      <c r="S492" s="19"/>
      <c r="T492" s="19"/>
      <c r="U492" s="19"/>
      <c r="V492" s="19"/>
      <c r="W492" s="26"/>
      <c r="X492" s="28"/>
    </row>
    <row r="493">
      <c r="A493" s="15"/>
      <c r="B493" s="16"/>
      <c r="C493" s="15"/>
      <c r="D493" s="15"/>
      <c r="E493" s="15"/>
      <c r="F493" s="3"/>
      <c r="G493" s="18"/>
      <c r="H493" s="3"/>
      <c r="I493" s="19"/>
      <c r="J493" s="19"/>
      <c r="K493" s="3"/>
      <c r="L493" s="3"/>
      <c r="M493" s="20"/>
      <c r="N493" s="20"/>
      <c r="O493" s="20"/>
      <c r="P493" s="21"/>
      <c r="Q493" s="22"/>
      <c r="R493" s="22"/>
      <c r="S493" s="19"/>
      <c r="T493" s="19"/>
      <c r="U493" s="19"/>
      <c r="V493" s="19"/>
      <c r="W493" s="26"/>
      <c r="X493" s="28"/>
    </row>
    <row r="494">
      <c r="A494" s="15"/>
      <c r="B494" s="16"/>
      <c r="C494" s="15"/>
      <c r="D494" s="15"/>
      <c r="E494" s="15"/>
      <c r="F494" s="3"/>
      <c r="G494" s="18"/>
      <c r="H494" s="3"/>
      <c r="I494" s="19"/>
      <c r="J494" s="19"/>
      <c r="K494" s="3"/>
      <c r="L494" s="3"/>
      <c r="M494" s="20"/>
      <c r="N494" s="20"/>
      <c r="O494" s="20"/>
      <c r="P494" s="21"/>
      <c r="Q494" s="22"/>
      <c r="R494" s="22"/>
      <c r="S494" s="19"/>
      <c r="T494" s="19"/>
      <c r="U494" s="19"/>
      <c r="V494" s="19"/>
      <c r="W494" s="26"/>
      <c r="X494" s="28"/>
    </row>
    <row r="495">
      <c r="A495" s="15"/>
      <c r="B495" s="16"/>
      <c r="C495" s="15"/>
      <c r="D495" s="15"/>
      <c r="E495" s="15"/>
      <c r="F495" s="3"/>
      <c r="G495" s="18"/>
      <c r="H495" s="3"/>
      <c r="I495" s="19"/>
      <c r="J495" s="19"/>
      <c r="K495" s="3"/>
      <c r="L495" s="3"/>
      <c r="M495" s="20"/>
      <c r="N495" s="20"/>
      <c r="O495" s="20"/>
      <c r="P495" s="21"/>
      <c r="Q495" s="22"/>
      <c r="R495" s="22"/>
      <c r="S495" s="19"/>
      <c r="T495" s="19"/>
      <c r="U495" s="19"/>
      <c r="V495" s="19"/>
      <c r="W495" s="26"/>
      <c r="X495" s="28"/>
    </row>
    <row r="496">
      <c r="A496" s="15"/>
      <c r="B496" s="16"/>
      <c r="C496" s="15"/>
      <c r="D496" s="15"/>
      <c r="E496" s="15"/>
      <c r="F496" s="3"/>
      <c r="G496" s="18"/>
      <c r="H496" s="3"/>
      <c r="I496" s="19"/>
      <c r="J496" s="19"/>
      <c r="K496" s="3"/>
      <c r="L496" s="3"/>
      <c r="M496" s="20"/>
      <c r="N496" s="20"/>
      <c r="O496" s="20"/>
      <c r="P496" s="21"/>
      <c r="Q496" s="22"/>
      <c r="R496" s="22"/>
      <c r="S496" s="19"/>
      <c r="T496" s="19"/>
      <c r="U496" s="19"/>
      <c r="V496" s="19"/>
      <c r="W496" s="26"/>
      <c r="X496" s="28"/>
    </row>
    <row r="497">
      <c r="A497" s="15"/>
      <c r="B497" s="16"/>
      <c r="C497" s="15"/>
      <c r="D497" s="15"/>
      <c r="E497" s="15"/>
      <c r="F497" s="3"/>
      <c r="G497" s="18"/>
      <c r="H497" s="3"/>
      <c r="I497" s="19"/>
      <c r="J497" s="19"/>
      <c r="K497" s="3"/>
      <c r="L497" s="3"/>
      <c r="M497" s="20"/>
      <c r="N497" s="20"/>
      <c r="O497" s="20"/>
      <c r="P497" s="21"/>
      <c r="Q497" s="22"/>
      <c r="R497" s="22"/>
      <c r="S497" s="19"/>
      <c r="T497" s="19"/>
      <c r="U497" s="19"/>
      <c r="V497" s="19"/>
      <c r="W497" s="26"/>
      <c r="X497" s="28"/>
    </row>
    <row r="498">
      <c r="A498" s="15"/>
      <c r="B498" s="16"/>
      <c r="C498" s="15"/>
      <c r="D498" s="15"/>
      <c r="E498" s="15"/>
      <c r="F498" s="3"/>
      <c r="G498" s="18"/>
      <c r="H498" s="3"/>
      <c r="I498" s="19"/>
      <c r="J498" s="19"/>
      <c r="K498" s="3"/>
      <c r="L498" s="3"/>
      <c r="M498" s="20"/>
      <c r="N498" s="20"/>
      <c r="O498" s="20"/>
      <c r="P498" s="21"/>
      <c r="Q498" s="22"/>
      <c r="R498" s="22"/>
      <c r="S498" s="19"/>
      <c r="T498" s="19"/>
      <c r="U498" s="19"/>
      <c r="V498" s="19"/>
      <c r="W498" s="26"/>
      <c r="X498" s="28"/>
    </row>
    <row r="499">
      <c r="A499" s="15"/>
      <c r="B499" s="16"/>
      <c r="C499" s="15"/>
      <c r="D499" s="15"/>
      <c r="E499" s="15"/>
      <c r="F499" s="3"/>
      <c r="G499" s="18"/>
      <c r="H499" s="3"/>
      <c r="I499" s="19"/>
      <c r="J499" s="19"/>
      <c r="K499" s="3"/>
      <c r="L499" s="3"/>
      <c r="M499" s="20"/>
      <c r="N499" s="20"/>
      <c r="O499" s="20"/>
      <c r="P499" s="21"/>
      <c r="Q499" s="22"/>
      <c r="R499" s="22"/>
      <c r="S499" s="19"/>
      <c r="T499" s="19"/>
      <c r="U499" s="19"/>
      <c r="V499" s="19"/>
      <c r="W499" s="26"/>
      <c r="X499" s="28"/>
    </row>
    <row r="500">
      <c r="A500" s="15"/>
      <c r="B500" s="16"/>
      <c r="C500" s="15"/>
      <c r="D500" s="15"/>
      <c r="E500" s="15"/>
      <c r="F500" s="3"/>
      <c r="G500" s="18"/>
      <c r="H500" s="3"/>
      <c r="I500" s="19"/>
      <c r="J500" s="19"/>
      <c r="K500" s="3"/>
      <c r="L500" s="3"/>
      <c r="M500" s="20"/>
      <c r="N500" s="20"/>
      <c r="O500" s="20"/>
      <c r="P500" s="21"/>
      <c r="Q500" s="22"/>
      <c r="R500" s="22"/>
      <c r="S500" s="19"/>
      <c r="T500" s="19"/>
      <c r="U500" s="19"/>
      <c r="V500" s="19"/>
      <c r="W500" s="26"/>
      <c r="X500" s="28"/>
    </row>
    <row r="501">
      <c r="A501" s="15"/>
      <c r="B501" s="16"/>
      <c r="C501" s="15"/>
      <c r="D501" s="15"/>
      <c r="E501" s="15"/>
      <c r="F501" s="3"/>
      <c r="G501" s="18"/>
      <c r="H501" s="3"/>
      <c r="I501" s="19"/>
      <c r="J501" s="19"/>
      <c r="K501" s="3"/>
      <c r="L501" s="3"/>
      <c r="M501" s="20"/>
      <c r="N501" s="20"/>
      <c r="O501" s="20"/>
      <c r="P501" s="21"/>
      <c r="Q501" s="22"/>
      <c r="R501" s="22"/>
      <c r="S501" s="19"/>
      <c r="T501" s="19"/>
      <c r="U501" s="19"/>
      <c r="V501" s="19"/>
      <c r="W501" s="26"/>
      <c r="X501" s="28"/>
    </row>
    <row r="502">
      <c r="A502" s="15"/>
      <c r="B502" s="16"/>
      <c r="C502" s="15"/>
      <c r="D502" s="15"/>
      <c r="E502" s="15"/>
      <c r="F502" s="3"/>
      <c r="G502" s="18"/>
      <c r="H502" s="3"/>
      <c r="I502" s="19"/>
      <c r="J502" s="19"/>
      <c r="K502" s="3"/>
      <c r="L502" s="3"/>
      <c r="M502" s="20"/>
      <c r="N502" s="20"/>
      <c r="O502" s="20"/>
      <c r="P502" s="21"/>
      <c r="Q502" s="22"/>
      <c r="R502" s="22"/>
      <c r="S502" s="19"/>
      <c r="T502" s="19"/>
      <c r="U502" s="19"/>
      <c r="V502" s="19"/>
      <c r="W502" s="26"/>
      <c r="X502" s="28"/>
    </row>
    <row r="503">
      <c r="A503" s="15"/>
      <c r="B503" s="16"/>
      <c r="C503" s="15"/>
      <c r="D503" s="15"/>
      <c r="E503" s="15"/>
      <c r="F503" s="3"/>
      <c r="G503" s="18"/>
      <c r="H503" s="3"/>
      <c r="I503" s="19"/>
      <c r="J503" s="19"/>
      <c r="K503" s="3"/>
      <c r="L503" s="3"/>
      <c r="M503" s="20"/>
      <c r="N503" s="20"/>
      <c r="O503" s="20"/>
      <c r="P503" s="21"/>
      <c r="Q503" s="22"/>
      <c r="R503" s="22"/>
      <c r="S503" s="19"/>
      <c r="T503" s="19"/>
      <c r="U503" s="19"/>
      <c r="V503" s="19"/>
      <c r="W503" s="26"/>
      <c r="X503" s="28"/>
    </row>
    <row r="504">
      <c r="A504" s="15"/>
      <c r="B504" s="16"/>
      <c r="C504" s="15"/>
      <c r="D504" s="15"/>
      <c r="E504" s="15"/>
      <c r="F504" s="3"/>
      <c r="G504" s="18"/>
      <c r="H504" s="3"/>
      <c r="I504" s="19"/>
      <c r="J504" s="19"/>
      <c r="K504" s="3"/>
      <c r="L504" s="3"/>
      <c r="M504" s="20"/>
      <c r="N504" s="20"/>
      <c r="O504" s="20"/>
      <c r="P504" s="21"/>
      <c r="Q504" s="22"/>
      <c r="R504" s="22"/>
      <c r="S504" s="19"/>
      <c r="T504" s="19"/>
      <c r="U504" s="19"/>
      <c r="V504" s="19"/>
      <c r="W504" s="26"/>
      <c r="X504" s="28"/>
    </row>
    <row r="505">
      <c r="A505" s="15"/>
      <c r="B505" s="16"/>
      <c r="C505" s="15"/>
      <c r="D505" s="15"/>
      <c r="E505" s="15"/>
      <c r="F505" s="3"/>
      <c r="G505" s="18"/>
      <c r="H505" s="3"/>
      <c r="I505" s="19"/>
      <c r="J505" s="19"/>
      <c r="K505" s="3"/>
      <c r="L505" s="3"/>
      <c r="M505" s="20"/>
      <c r="N505" s="20"/>
      <c r="O505" s="20"/>
      <c r="P505" s="21"/>
      <c r="Q505" s="22"/>
      <c r="R505" s="22"/>
      <c r="S505" s="19"/>
      <c r="T505" s="19"/>
      <c r="U505" s="19"/>
      <c r="V505" s="19"/>
      <c r="W505" s="26"/>
      <c r="X505" s="28"/>
    </row>
    <row r="506">
      <c r="A506" s="15"/>
      <c r="B506" s="16"/>
      <c r="C506" s="15"/>
      <c r="D506" s="15"/>
      <c r="E506" s="15"/>
      <c r="F506" s="3"/>
      <c r="G506" s="18"/>
      <c r="H506" s="3"/>
      <c r="I506" s="19"/>
      <c r="J506" s="19"/>
      <c r="K506" s="3"/>
      <c r="L506" s="3"/>
      <c r="M506" s="20"/>
      <c r="N506" s="20"/>
      <c r="O506" s="20"/>
      <c r="P506" s="21"/>
      <c r="Q506" s="22"/>
      <c r="R506" s="22"/>
      <c r="S506" s="19"/>
      <c r="T506" s="19"/>
      <c r="U506" s="19"/>
      <c r="V506" s="19"/>
      <c r="W506" s="26"/>
      <c r="X506" s="28"/>
    </row>
    <row r="507">
      <c r="A507" s="15"/>
      <c r="B507" s="16"/>
      <c r="C507" s="15"/>
      <c r="D507" s="15"/>
      <c r="E507" s="15"/>
      <c r="F507" s="3"/>
      <c r="G507" s="18"/>
      <c r="H507" s="3"/>
      <c r="I507" s="19"/>
      <c r="J507" s="19"/>
      <c r="K507" s="3"/>
      <c r="L507" s="3"/>
      <c r="M507" s="20"/>
      <c r="N507" s="20"/>
      <c r="O507" s="20"/>
      <c r="P507" s="21"/>
      <c r="Q507" s="22"/>
      <c r="R507" s="22"/>
      <c r="S507" s="19"/>
      <c r="T507" s="19"/>
      <c r="U507" s="19"/>
      <c r="V507" s="19"/>
      <c r="W507" s="26"/>
      <c r="X507" s="28"/>
    </row>
    <row r="508">
      <c r="A508" s="15"/>
      <c r="B508" s="16"/>
      <c r="C508" s="15"/>
      <c r="D508" s="15"/>
      <c r="E508" s="15"/>
      <c r="F508" s="3"/>
      <c r="G508" s="18"/>
      <c r="H508" s="3"/>
      <c r="I508" s="19"/>
      <c r="J508" s="19"/>
      <c r="K508" s="3"/>
      <c r="L508" s="3"/>
      <c r="M508" s="20"/>
      <c r="N508" s="20"/>
      <c r="O508" s="20"/>
      <c r="P508" s="21"/>
      <c r="Q508" s="22"/>
      <c r="R508" s="22"/>
      <c r="S508" s="19"/>
      <c r="T508" s="19"/>
      <c r="U508" s="19"/>
      <c r="V508" s="19"/>
      <c r="W508" s="26"/>
      <c r="X508" s="28"/>
    </row>
    <row r="509">
      <c r="A509" s="15"/>
      <c r="B509" s="16"/>
      <c r="C509" s="15"/>
      <c r="D509" s="15"/>
      <c r="E509" s="15"/>
      <c r="F509" s="3"/>
      <c r="G509" s="18"/>
      <c r="H509" s="3"/>
      <c r="I509" s="19"/>
      <c r="J509" s="19"/>
      <c r="K509" s="3"/>
      <c r="L509" s="3"/>
      <c r="M509" s="20"/>
      <c r="N509" s="20"/>
      <c r="O509" s="20"/>
      <c r="P509" s="21"/>
      <c r="Q509" s="22"/>
      <c r="R509" s="22"/>
      <c r="S509" s="19"/>
      <c r="T509" s="19"/>
      <c r="U509" s="19"/>
      <c r="V509" s="19"/>
      <c r="W509" s="26"/>
      <c r="X509" s="28"/>
    </row>
    <row r="510">
      <c r="A510" s="15"/>
      <c r="B510" s="16"/>
      <c r="C510" s="15"/>
      <c r="D510" s="15"/>
      <c r="E510" s="15"/>
      <c r="F510" s="3"/>
      <c r="G510" s="18"/>
      <c r="H510" s="3"/>
      <c r="I510" s="19"/>
      <c r="J510" s="19"/>
      <c r="K510" s="3"/>
      <c r="L510" s="3"/>
      <c r="M510" s="20"/>
      <c r="N510" s="20"/>
      <c r="O510" s="20"/>
      <c r="P510" s="21"/>
      <c r="Q510" s="22"/>
      <c r="R510" s="22"/>
      <c r="S510" s="19"/>
      <c r="T510" s="19"/>
      <c r="U510" s="19"/>
      <c r="V510" s="19"/>
      <c r="W510" s="26"/>
      <c r="X510" s="28"/>
    </row>
    <row r="511">
      <c r="A511" s="15"/>
      <c r="B511" s="16"/>
      <c r="C511" s="15"/>
      <c r="D511" s="15"/>
      <c r="E511" s="15"/>
      <c r="F511" s="3"/>
      <c r="G511" s="18"/>
      <c r="H511" s="3"/>
      <c r="I511" s="19"/>
      <c r="J511" s="19"/>
      <c r="K511" s="3"/>
      <c r="L511" s="3"/>
      <c r="M511" s="20"/>
      <c r="N511" s="20"/>
      <c r="O511" s="20"/>
      <c r="P511" s="21"/>
      <c r="Q511" s="22"/>
      <c r="R511" s="22"/>
      <c r="S511" s="19"/>
      <c r="T511" s="19"/>
      <c r="U511" s="19"/>
      <c r="V511" s="19"/>
      <c r="W511" s="26"/>
      <c r="X511" s="28"/>
    </row>
    <row r="512">
      <c r="A512" s="15"/>
      <c r="B512" s="16"/>
      <c r="C512" s="15"/>
      <c r="D512" s="15"/>
      <c r="E512" s="15"/>
      <c r="F512" s="3"/>
      <c r="G512" s="18"/>
      <c r="H512" s="3"/>
      <c r="I512" s="19"/>
      <c r="J512" s="19"/>
      <c r="K512" s="3"/>
      <c r="L512" s="3"/>
      <c r="M512" s="20"/>
      <c r="N512" s="20"/>
      <c r="O512" s="20"/>
      <c r="P512" s="21"/>
      <c r="Q512" s="22"/>
      <c r="R512" s="22"/>
      <c r="S512" s="19"/>
      <c r="T512" s="19"/>
      <c r="U512" s="19"/>
      <c r="V512" s="19"/>
      <c r="W512" s="26"/>
      <c r="X512" s="28"/>
    </row>
    <row r="513">
      <c r="A513" s="15"/>
      <c r="B513" s="16"/>
      <c r="C513" s="15"/>
      <c r="D513" s="15"/>
      <c r="E513" s="15"/>
      <c r="F513" s="3"/>
      <c r="G513" s="18"/>
      <c r="H513" s="3"/>
      <c r="I513" s="19"/>
      <c r="J513" s="19"/>
      <c r="K513" s="3"/>
      <c r="L513" s="3"/>
      <c r="M513" s="20"/>
      <c r="N513" s="20"/>
      <c r="O513" s="20"/>
      <c r="P513" s="21"/>
      <c r="Q513" s="22"/>
      <c r="R513" s="22"/>
      <c r="S513" s="19"/>
      <c r="T513" s="19"/>
      <c r="U513" s="19"/>
      <c r="V513" s="19"/>
      <c r="W513" s="26"/>
      <c r="X513" s="28"/>
    </row>
    <row r="514">
      <c r="A514" s="15"/>
      <c r="B514" s="16"/>
      <c r="C514" s="15"/>
      <c r="D514" s="15"/>
      <c r="E514" s="15"/>
      <c r="F514" s="3"/>
      <c r="G514" s="18"/>
      <c r="H514" s="3"/>
      <c r="I514" s="19"/>
      <c r="J514" s="19"/>
      <c r="K514" s="3"/>
      <c r="L514" s="3"/>
      <c r="M514" s="20"/>
      <c r="N514" s="20"/>
      <c r="O514" s="20"/>
      <c r="P514" s="21"/>
      <c r="Q514" s="22"/>
      <c r="R514" s="22"/>
      <c r="S514" s="19"/>
      <c r="T514" s="19"/>
      <c r="U514" s="19"/>
      <c r="V514" s="19"/>
      <c r="W514" s="26"/>
      <c r="X514" s="28"/>
    </row>
    <row r="515">
      <c r="A515" s="15"/>
      <c r="B515" s="16"/>
      <c r="C515" s="15"/>
      <c r="D515" s="15"/>
      <c r="E515" s="15"/>
      <c r="F515" s="3"/>
      <c r="G515" s="18"/>
      <c r="H515" s="3"/>
      <c r="I515" s="19"/>
      <c r="J515" s="19"/>
      <c r="K515" s="3"/>
      <c r="L515" s="3"/>
      <c r="M515" s="20"/>
      <c r="N515" s="20"/>
      <c r="O515" s="20"/>
      <c r="P515" s="21"/>
      <c r="Q515" s="22"/>
      <c r="R515" s="22"/>
      <c r="S515" s="19"/>
      <c r="T515" s="19"/>
      <c r="U515" s="19"/>
      <c r="V515" s="19"/>
      <c r="W515" s="26"/>
      <c r="X515" s="28"/>
    </row>
    <row r="516">
      <c r="A516" s="15"/>
      <c r="B516" s="16"/>
      <c r="C516" s="15"/>
      <c r="D516" s="15"/>
      <c r="E516" s="15"/>
      <c r="F516" s="3"/>
      <c r="G516" s="18"/>
      <c r="H516" s="3"/>
      <c r="I516" s="19"/>
      <c r="J516" s="19"/>
      <c r="K516" s="3"/>
      <c r="L516" s="3"/>
      <c r="M516" s="20"/>
      <c r="N516" s="20"/>
      <c r="O516" s="20"/>
      <c r="P516" s="21"/>
      <c r="Q516" s="22"/>
      <c r="R516" s="22"/>
      <c r="S516" s="19"/>
      <c r="T516" s="19"/>
      <c r="U516" s="19"/>
      <c r="V516" s="19"/>
      <c r="W516" s="26"/>
      <c r="X516" s="28"/>
    </row>
    <row r="517">
      <c r="A517" s="15"/>
      <c r="B517" s="16"/>
      <c r="C517" s="15"/>
      <c r="D517" s="15"/>
      <c r="E517" s="15"/>
      <c r="F517" s="3"/>
      <c r="G517" s="18"/>
      <c r="H517" s="3"/>
      <c r="I517" s="19"/>
      <c r="J517" s="19"/>
      <c r="K517" s="3"/>
      <c r="L517" s="3"/>
      <c r="M517" s="20"/>
      <c r="N517" s="20"/>
      <c r="O517" s="20"/>
      <c r="P517" s="21"/>
      <c r="Q517" s="22"/>
      <c r="R517" s="22"/>
      <c r="S517" s="19"/>
      <c r="T517" s="19"/>
      <c r="U517" s="19"/>
      <c r="V517" s="19"/>
      <c r="W517" s="26"/>
      <c r="X517" s="28"/>
    </row>
    <row r="518">
      <c r="A518" s="15"/>
      <c r="B518" s="16"/>
      <c r="C518" s="15"/>
      <c r="D518" s="15"/>
      <c r="E518" s="15"/>
      <c r="F518" s="3"/>
      <c r="G518" s="18"/>
      <c r="H518" s="3"/>
      <c r="I518" s="19"/>
      <c r="J518" s="19"/>
      <c r="K518" s="3"/>
      <c r="L518" s="3"/>
      <c r="M518" s="20"/>
      <c r="N518" s="20"/>
      <c r="O518" s="20"/>
      <c r="P518" s="21"/>
      <c r="Q518" s="22"/>
      <c r="R518" s="22"/>
      <c r="S518" s="19"/>
      <c r="T518" s="19"/>
      <c r="U518" s="19"/>
      <c r="V518" s="19"/>
      <c r="W518" s="26"/>
      <c r="X518" s="28"/>
    </row>
    <row r="519">
      <c r="A519" s="15"/>
      <c r="B519" s="16"/>
      <c r="C519" s="15"/>
      <c r="D519" s="15"/>
      <c r="E519" s="15"/>
      <c r="F519" s="3"/>
      <c r="G519" s="18"/>
      <c r="H519" s="3"/>
      <c r="I519" s="19"/>
      <c r="J519" s="19"/>
      <c r="K519" s="3"/>
      <c r="L519" s="3"/>
      <c r="M519" s="20"/>
      <c r="N519" s="20"/>
      <c r="O519" s="20"/>
      <c r="P519" s="21"/>
      <c r="Q519" s="22"/>
      <c r="R519" s="22"/>
      <c r="S519" s="19"/>
      <c r="T519" s="19"/>
      <c r="U519" s="19"/>
      <c r="V519" s="19"/>
      <c r="W519" s="26"/>
      <c r="X519" s="28"/>
    </row>
    <row r="520">
      <c r="A520" s="15"/>
      <c r="B520" s="16"/>
      <c r="C520" s="15"/>
      <c r="D520" s="15"/>
      <c r="E520" s="15"/>
      <c r="F520" s="3"/>
      <c r="G520" s="18"/>
      <c r="H520" s="3"/>
      <c r="I520" s="19"/>
      <c r="J520" s="19"/>
      <c r="K520" s="3"/>
      <c r="L520" s="3"/>
      <c r="M520" s="20"/>
      <c r="N520" s="20"/>
      <c r="O520" s="20"/>
      <c r="P520" s="21"/>
      <c r="Q520" s="22"/>
      <c r="R520" s="22"/>
      <c r="S520" s="19"/>
      <c r="T520" s="19"/>
      <c r="U520" s="19"/>
      <c r="V520" s="19"/>
      <c r="W520" s="26"/>
      <c r="X520" s="28"/>
    </row>
    <row r="521">
      <c r="A521" s="15"/>
      <c r="B521" s="16"/>
      <c r="C521" s="15"/>
      <c r="D521" s="15"/>
      <c r="E521" s="15"/>
      <c r="F521" s="3"/>
      <c r="G521" s="18"/>
      <c r="H521" s="3"/>
      <c r="I521" s="19"/>
      <c r="J521" s="19"/>
      <c r="K521" s="3"/>
      <c r="L521" s="3"/>
      <c r="M521" s="20"/>
      <c r="N521" s="20"/>
      <c r="O521" s="20"/>
      <c r="P521" s="21"/>
      <c r="Q521" s="22"/>
      <c r="R521" s="22"/>
      <c r="S521" s="19"/>
      <c r="T521" s="19"/>
      <c r="U521" s="19"/>
      <c r="V521" s="19"/>
      <c r="W521" s="26"/>
      <c r="X521" s="28"/>
    </row>
    <row r="522">
      <c r="A522" s="15"/>
      <c r="B522" s="16"/>
      <c r="C522" s="15"/>
      <c r="D522" s="15"/>
      <c r="E522" s="15"/>
      <c r="F522" s="3"/>
      <c r="G522" s="18"/>
      <c r="H522" s="3"/>
      <c r="I522" s="19"/>
      <c r="J522" s="19"/>
      <c r="K522" s="3"/>
      <c r="L522" s="3"/>
      <c r="M522" s="20"/>
      <c r="N522" s="20"/>
      <c r="O522" s="20"/>
      <c r="P522" s="21"/>
      <c r="Q522" s="22"/>
      <c r="R522" s="22"/>
      <c r="S522" s="19"/>
      <c r="T522" s="19"/>
      <c r="U522" s="19"/>
      <c r="V522" s="19"/>
      <c r="W522" s="26"/>
      <c r="X522" s="28"/>
    </row>
    <row r="523">
      <c r="A523" s="15"/>
      <c r="B523" s="16"/>
      <c r="C523" s="15"/>
      <c r="D523" s="15"/>
      <c r="E523" s="15"/>
      <c r="F523" s="3"/>
      <c r="G523" s="18"/>
      <c r="H523" s="3"/>
      <c r="I523" s="19"/>
      <c r="J523" s="19"/>
      <c r="K523" s="3"/>
      <c r="L523" s="3"/>
      <c r="M523" s="20"/>
      <c r="N523" s="20"/>
      <c r="O523" s="20"/>
      <c r="P523" s="21"/>
      <c r="Q523" s="22"/>
      <c r="R523" s="22"/>
      <c r="S523" s="19"/>
      <c r="T523" s="19"/>
      <c r="U523" s="19"/>
      <c r="V523" s="19"/>
      <c r="W523" s="26"/>
      <c r="X523" s="28"/>
    </row>
    <row r="524">
      <c r="A524" s="15"/>
      <c r="B524" s="16"/>
      <c r="C524" s="15"/>
      <c r="D524" s="15"/>
      <c r="E524" s="15"/>
      <c r="F524" s="3"/>
      <c r="G524" s="18"/>
      <c r="H524" s="3"/>
      <c r="I524" s="19"/>
      <c r="J524" s="19"/>
      <c r="K524" s="3"/>
      <c r="L524" s="3"/>
      <c r="M524" s="20"/>
      <c r="N524" s="20"/>
      <c r="O524" s="20"/>
      <c r="P524" s="21"/>
      <c r="Q524" s="22"/>
      <c r="R524" s="22"/>
      <c r="S524" s="19"/>
      <c r="T524" s="19"/>
      <c r="U524" s="19"/>
      <c r="V524" s="19"/>
      <c r="W524" s="26"/>
      <c r="X524" s="28"/>
    </row>
    <row r="525">
      <c r="A525" s="15"/>
      <c r="B525" s="16"/>
      <c r="C525" s="15"/>
      <c r="D525" s="15"/>
      <c r="E525" s="15"/>
      <c r="F525" s="3"/>
      <c r="G525" s="18"/>
      <c r="H525" s="3"/>
      <c r="I525" s="19"/>
      <c r="J525" s="19"/>
      <c r="K525" s="3"/>
      <c r="L525" s="3"/>
      <c r="M525" s="20"/>
      <c r="N525" s="20"/>
      <c r="O525" s="20"/>
      <c r="P525" s="21"/>
      <c r="Q525" s="22"/>
      <c r="R525" s="22"/>
      <c r="S525" s="19"/>
      <c r="T525" s="19"/>
      <c r="U525" s="19"/>
      <c r="V525" s="19"/>
      <c r="W525" s="26"/>
      <c r="X525" s="28"/>
    </row>
    <row r="526">
      <c r="A526" s="15"/>
      <c r="B526" s="16"/>
      <c r="C526" s="15"/>
      <c r="D526" s="15"/>
      <c r="E526" s="15"/>
      <c r="F526" s="3"/>
      <c r="G526" s="18"/>
      <c r="H526" s="3"/>
      <c r="I526" s="19"/>
      <c r="J526" s="19"/>
      <c r="K526" s="3"/>
      <c r="L526" s="3"/>
      <c r="M526" s="20"/>
      <c r="N526" s="20"/>
      <c r="O526" s="20"/>
      <c r="P526" s="21"/>
      <c r="Q526" s="22"/>
      <c r="R526" s="22"/>
      <c r="S526" s="19"/>
      <c r="T526" s="19"/>
      <c r="U526" s="19"/>
      <c r="V526" s="19"/>
      <c r="W526" s="26"/>
      <c r="X526" s="28"/>
    </row>
    <row r="527">
      <c r="A527" s="15"/>
      <c r="B527" s="16"/>
      <c r="C527" s="15"/>
      <c r="D527" s="15"/>
      <c r="E527" s="15"/>
      <c r="F527" s="3"/>
      <c r="G527" s="18"/>
      <c r="H527" s="3"/>
      <c r="I527" s="19"/>
      <c r="J527" s="19"/>
      <c r="K527" s="3"/>
      <c r="L527" s="3"/>
      <c r="M527" s="20"/>
      <c r="N527" s="20"/>
      <c r="O527" s="20"/>
      <c r="P527" s="21"/>
      <c r="Q527" s="22"/>
      <c r="R527" s="22"/>
      <c r="S527" s="19"/>
      <c r="T527" s="19"/>
      <c r="U527" s="19"/>
      <c r="V527" s="19"/>
      <c r="W527" s="26"/>
      <c r="X527" s="28"/>
    </row>
    <row r="528">
      <c r="A528" s="15"/>
      <c r="B528" s="16"/>
      <c r="C528" s="15"/>
      <c r="D528" s="15"/>
      <c r="E528" s="15"/>
      <c r="F528" s="3"/>
      <c r="G528" s="18"/>
      <c r="H528" s="3"/>
      <c r="I528" s="19"/>
      <c r="J528" s="19"/>
      <c r="K528" s="3"/>
      <c r="L528" s="3"/>
      <c r="M528" s="20"/>
      <c r="N528" s="20"/>
      <c r="O528" s="20"/>
      <c r="P528" s="21"/>
      <c r="Q528" s="22"/>
      <c r="R528" s="22"/>
      <c r="S528" s="19"/>
      <c r="T528" s="19"/>
      <c r="U528" s="19"/>
      <c r="V528" s="19"/>
      <c r="W528" s="26"/>
      <c r="X528" s="28"/>
    </row>
    <row r="529">
      <c r="A529" s="15"/>
      <c r="B529" s="16"/>
      <c r="C529" s="15"/>
      <c r="D529" s="15"/>
      <c r="E529" s="15"/>
      <c r="F529" s="3"/>
      <c r="G529" s="18"/>
      <c r="H529" s="3"/>
      <c r="I529" s="19"/>
      <c r="J529" s="19"/>
      <c r="K529" s="3"/>
      <c r="L529" s="3"/>
      <c r="M529" s="20"/>
      <c r="N529" s="20"/>
      <c r="O529" s="20"/>
      <c r="P529" s="21"/>
      <c r="Q529" s="22"/>
      <c r="R529" s="22"/>
      <c r="S529" s="19"/>
      <c r="T529" s="19"/>
      <c r="U529" s="19"/>
      <c r="V529" s="19"/>
      <c r="W529" s="26"/>
      <c r="X529" s="28"/>
    </row>
    <row r="530">
      <c r="A530" s="15"/>
      <c r="B530" s="16"/>
      <c r="C530" s="15"/>
      <c r="D530" s="15"/>
      <c r="E530" s="15"/>
      <c r="F530" s="3"/>
      <c r="G530" s="18"/>
      <c r="H530" s="3"/>
      <c r="I530" s="19"/>
      <c r="J530" s="19"/>
      <c r="K530" s="3"/>
      <c r="L530" s="3"/>
      <c r="M530" s="20"/>
      <c r="N530" s="20"/>
      <c r="O530" s="20"/>
      <c r="P530" s="21"/>
      <c r="Q530" s="22"/>
      <c r="R530" s="22"/>
      <c r="S530" s="19"/>
      <c r="T530" s="19"/>
      <c r="U530" s="19"/>
      <c r="V530" s="19"/>
      <c r="W530" s="26"/>
      <c r="X530" s="28"/>
    </row>
    <row r="531">
      <c r="A531" s="15"/>
      <c r="B531" s="16"/>
      <c r="C531" s="15"/>
      <c r="D531" s="15"/>
      <c r="E531" s="15"/>
      <c r="F531" s="3"/>
      <c r="G531" s="18"/>
      <c r="H531" s="3"/>
      <c r="I531" s="19"/>
      <c r="J531" s="19"/>
      <c r="K531" s="3"/>
      <c r="L531" s="3"/>
      <c r="M531" s="20"/>
      <c r="N531" s="20"/>
      <c r="O531" s="20"/>
      <c r="P531" s="21"/>
      <c r="Q531" s="22"/>
      <c r="R531" s="22"/>
      <c r="S531" s="19"/>
      <c r="T531" s="19"/>
      <c r="U531" s="19"/>
      <c r="V531" s="19"/>
      <c r="W531" s="26"/>
      <c r="X531" s="28"/>
    </row>
    <row r="532">
      <c r="A532" s="15"/>
      <c r="B532" s="16"/>
      <c r="C532" s="15"/>
      <c r="D532" s="15"/>
      <c r="E532" s="15"/>
      <c r="F532" s="3"/>
      <c r="G532" s="18"/>
      <c r="H532" s="3"/>
      <c r="I532" s="19"/>
      <c r="J532" s="19"/>
      <c r="K532" s="3"/>
      <c r="L532" s="3"/>
      <c r="M532" s="20"/>
      <c r="N532" s="20"/>
      <c r="O532" s="20"/>
      <c r="P532" s="21"/>
      <c r="Q532" s="22"/>
      <c r="R532" s="22"/>
      <c r="S532" s="19"/>
      <c r="T532" s="19"/>
      <c r="U532" s="19"/>
      <c r="V532" s="19"/>
      <c r="W532" s="26"/>
      <c r="X532" s="28"/>
    </row>
    <row r="533">
      <c r="A533" s="15"/>
      <c r="B533" s="16"/>
      <c r="C533" s="15"/>
      <c r="D533" s="15"/>
      <c r="E533" s="15"/>
      <c r="F533" s="3"/>
      <c r="G533" s="18"/>
      <c r="H533" s="3"/>
      <c r="I533" s="19"/>
      <c r="J533" s="19"/>
      <c r="K533" s="3"/>
      <c r="L533" s="3"/>
      <c r="M533" s="20"/>
      <c r="N533" s="20"/>
      <c r="O533" s="20"/>
      <c r="P533" s="21"/>
      <c r="Q533" s="22"/>
      <c r="R533" s="22"/>
      <c r="S533" s="19"/>
      <c r="T533" s="19"/>
      <c r="U533" s="19"/>
      <c r="V533" s="19"/>
      <c r="W533" s="26"/>
      <c r="X533" s="28"/>
    </row>
    <row r="534">
      <c r="A534" s="15"/>
      <c r="B534" s="16"/>
      <c r="C534" s="15"/>
      <c r="D534" s="15"/>
      <c r="E534" s="15"/>
      <c r="F534" s="3"/>
      <c r="G534" s="18"/>
      <c r="H534" s="3"/>
      <c r="I534" s="19"/>
      <c r="J534" s="19"/>
      <c r="K534" s="3"/>
      <c r="L534" s="3"/>
      <c r="M534" s="20"/>
      <c r="N534" s="20"/>
      <c r="O534" s="20"/>
      <c r="P534" s="21"/>
      <c r="Q534" s="22"/>
      <c r="R534" s="22"/>
      <c r="S534" s="19"/>
      <c r="T534" s="19"/>
      <c r="U534" s="19"/>
      <c r="V534" s="19"/>
      <c r="W534" s="26"/>
      <c r="X534" s="28"/>
    </row>
    <row r="535">
      <c r="A535" s="15"/>
      <c r="B535" s="16"/>
      <c r="C535" s="15"/>
      <c r="D535" s="15"/>
      <c r="E535" s="15"/>
      <c r="F535" s="3"/>
      <c r="G535" s="18"/>
      <c r="H535" s="3"/>
      <c r="I535" s="19"/>
      <c r="J535" s="19"/>
      <c r="K535" s="3"/>
      <c r="L535" s="3"/>
      <c r="M535" s="20"/>
      <c r="N535" s="20"/>
      <c r="O535" s="20"/>
      <c r="P535" s="21"/>
      <c r="Q535" s="22"/>
      <c r="R535" s="22"/>
      <c r="S535" s="19"/>
      <c r="T535" s="19"/>
      <c r="U535" s="19"/>
      <c r="V535" s="19"/>
      <c r="W535" s="26"/>
      <c r="X535" s="28"/>
    </row>
    <row r="536">
      <c r="A536" s="15"/>
      <c r="B536" s="16"/>
      <c r="C536" s="15"/>
      <c r="D536" s="15"/>
      <c r="E536" s="15"/>
      <c r="F536" s="3"/>
      <c r="G536" s="18"/>
      <c r="H536" s="3"/>
      <c r="I536" s="19"/>
      <c r="J536" s="19"/>
      <c r="K536" s="3"/>
      <c r="L536" s="3"/>
      <c r="M536" s="20"/>
      <c r="N536" s="20"/>
      <c r="O536" s="20"/>
      <c r="P536" s="21"/>
      <c r="Q536" s="22"/>
      <c r="R536" s="22"/>
      <c r="S536" s="19"/>
      <c r="T536" s="19"/>
      <c r="U536" s="19"/>
      <c r="V536" s="19"/>
      <c r="W536" s="26"/>
      <c r="X536" s="28"/>
    </row>
    <row r="537">
      <c r="A537" s="15"/>
      <c r="B537" s="16"/>
      <c r="C537" s="15"/>
      <c r="D537" s="15"/>
      <c r="E537" s="15"/>
      <c r="F537" s="3"/>
      <c r="G537" s="18"/>
      <c r="H537" s="3"/>
      <c r="I537" s="19"/>
      <c r="J537" s="19"/>
      <c r="K537" s="3"/>
      <c r="L537" s="3"/>
      <c r="M537" s="20"/>
      <c r="N537" s="20"/>
      <c r="O537" s="20"/>
      <c r="P537" s="21"/>
      <c r="Q537" s="22"/>
      <c r="R537" s="22"/>
      <c r="S537" s="19"/>
      <c r="T537" s="19"/>
      <c r="U537" s="19"/>
      <c r="V537" s="19"/>
      <c r="W537" s="26"/>
      <c r="X537" s="28"/>
    </row>
    <row r="538">
      <c r="A538" s="15"/>
      <c r="B538" s="16"/>
      <c r="C538" s="15"/>
      <c r="D538" s="15"/>
      <c r="E538" s="15"/>
      <c r="F538" s="3"/>
      <c r="G538" s="18"/>
      <c r="H538" s="3"/>
      <c r="I538" s="19"/>
      <c r="J538" s="19"/>
      <c r="K538" s="3"/>
      <c r="L538" s="3"/>
      <c r="M538" s="20"/>
      <c r="N538" s="20"/>
      <c r="O538" s="20"/>
      <c r="P538" s="21"/>
      <c r="Q538" s="22"/>
      <c r="R538" s="22"/>
      <c r="S538" s="19"/>
      <c r="T538" s="19"/>
      <c r="U538" s="19"/>
      <c r="V538" s="19"/>
      <c r="W538" s="26"/>
      <c r="X538" s="28"/>
    </row>
    <row r="539">
      <c r="A539" s="15"/>
      <c r="B539" s="16"/>
      <c r="C539" s="15"/>
      <c r="D539" s="15"/>
      <c r="E539" s="15"/>
      <c r="F539" s="3"/>
      <c r="G539" s="18"/>
      <c r="H539" s="3"/>
      <c r="I539" s="19"/>
      <c r="J539" s="19"/>
      <c r="K539" s="3"/>
      <c r="L539" s="3"/>
      <c r="M539" s="20"/>
      <c r="N539" s="20"/>
      <c r="O539" s="20"/>
      <c r="P539" s="21"/>
      <c r="Q539" s="22"/>
      <c r="R539" s="22"/>
      <c r="S539" s="19"/>
      <c r="T539" s="19"/>
      <c r="U539" s="19"/>
      <c r="V539" s="19"/>
      <c r="W539" s="26"/>
      <c r="X539" s="28"/>
    </row>
    <row r="540">
      <c r="A540" s="15"/>
      <c r="B540" s="16"/>
      <c r="C540" s="15"/>
      <c r="D540" s="15"/>
      <c r="E540" s="15"/>
      <c r="F540" s="3"/>
      <c r="G540" s="18"/>
      <c r="H540" s="3"/>
      <c r="I540" s="19"/>
      <c r="J540" s="19"/>
      <c r="K540" s="3"/>
      <c r="L540" s="3"/>
      <c r="M540" s="20"/>
      <c r="N540" s="20"/>
      <c r="O540" s="20"/>
      <c r="P540" s="21"/>
      <c r="Q540" s="22"/>
      <c r="R540" s="22"/>
      <c r="S540" s="19"/>
      <c r="T540" s="19"/>
      <c r="U540" s="19"/>
      <c r="V540" s="19"/>
      <c r="W540" s="26"/>
      <c r="X540" s="28"/>
    </row>
    <row r="541">
      <c r="A541" s="15"/>
      <c r="B541" s="16"/>
      <c r="C541" s="15"/>
      <c r="D541" s="15"/>
      <c r="E541" s="15"/>
      <c r="F541" s="3"/>
      <c r="G541" s="18"/>
      <c r="H541" s="3"/>
      <c r="I541" s="19"/>
      <c r="J541" s="19"/>
      <c r="K541" s="3"/>
      <c r="L541" s="3"/>
      <c r="M541" s="20"/>
      <c r="N541" s="20"/>
      <c r="O541" s="20"/>
      <c r="P541" s="21"/>
      <c r="Q541" s="22"/>
      <c r="R541" s="22"/>
      <c r="S541" s="19"/>
      <c r="T541" s="19"/>
      <c r="U541" s="19"/>
      <c r="V541" s="19"/>
      <c r="W541" s="26"/>
      <c r="X541" s="28"/>
    </row>
    <row r="542">
      <c r="A542" s="15"/>
      <c r="B542" s="16"/>
      <c r="C542" s="15"/>
      <c r="D542" s="15"/>
      <c r="E542" s="15"/>
      <c r="F542" s="3"/>
      <c r="G542" s="18"/>
      <c r="H542" s="3"/>
      <c r="I542" s="19"/>
      <c r="J542" s="19"/>
      <c r="K542" s="3"/>
      <c r="L542" s="3"/>
      <c r="M542" s="20"/>
      <c r="N542" s="20"/>
      <c r="O542" s="20"/>
      <c r="P542" s="21"/>
      <c r="Q542" s="22"/>
      <c r="R542" s="22"/>
      <c r="S542" s="19"/>
      <c r="T542" s="19"/>
      <c r="U542" s="19"/>
      <c r="V542" s="19"/>
      <c r="W542" s="26"/>
      <c r="X542" s="28"/>
    </row>
    <row r="543">
      <c r="A543" s="15"/>
      <c r="B543" s="16"/>
      <c r="C543" s="15"/>
      <c r="D543" s="15"/>
      <c r="E543" s="15"/>
      <c r="F543" s="3"/>
      <c r="G543" s="18"/>
      <c r="H543" s="3"/>
      <c r="I543" s="19"/>
      <c r="J543" s="19"/>
      <c r="K543" s="3"/>
      <c r="L543" s="3"/>
      <c r="M543" s="20"/>
      <c r="N543" s="20"/>
      <c r="O543" s="20"/>
      <c r="P543" s="21"/>
      <c r="Q543" s="22"/>
      <c r="R543" s="22"/>
      <c r="S543" s="19"/>
      <c r="T543" s="19"/>
      <c r="U543" s="19"/>
      <c r="V543" s="19"/>
      <c r="W543" s="26"/>
      <c r="X543" s="28"/>
    </row>
    <row r="544">
      <c r="A544" s="15"/>
      <c r="B544" s="16"/>
      <c r="C544" s="15"/>
      <c r="D544" s="15"/>
      <c r="E544" s="15"/>
      <c r="F544" s="3"/>
      <c r="G544" s="18"/>
      <c r="H544" s="3"/>
      <c r="I544" s="19"/>
      <c r="J544" s="19"/>
      <c r="K544" s="3"/>
      <c r="L544" s="3"/>
      <c r="M544" s="20"/>
      <c r="N544" s="20"/>
      <c r="O544" s="20"/>
      <c r="P544" s="21"/>
      <c r="Q544" s="22"/>
      <c r="R544" s="22"/>
      <c r="S544" s="19"/>
      <c r="T544" s="19"/>
      <c r="U544" s="19"/>
      <c r="V544" s="19"/>
      <c r="W544" s="26"/>
      <c r="X544" s="28"/>
    </row>
    <row r="545">
      <c r="A545" s="15"/>
      <c r="B545" s="16"/>
      <c r="C545" s="15"/>
      <c r="D545" s="15"/>
      <c r="E545" s="15"/>
      <c r="F545" s="3"/>
      <c r="G545" s="18"/>
      <c r="H545" s="3"/>
      <c r="I545" s="19"/>
      <c r="J545" s="19"/>
      <c r="K545" s="3"/>
      <c r="L545" s="3"/>
      <c r="M545" s="20"/>
      <c r="N545" s="20"/>
      <c r="O545" s="20"/>
      <c r="P545" s="21"/>
      <c r="Q545" s="22"/>
      <c r="R545" s="22"/>
      <c r="S545" s="19"/>
      <c r="T545" s="19"/>
      <c r="U545" s="19"/>
      <c r="V545" s="19"/>
      <c r="W545" s="26"/>
      <c r="X545" s="28"/>
    </row>
    <row r="546">
      <c r="A546" s="15"/>
      <c r="B546" s="16"/>
      <c r="C546" s="15"/>
      <c r="D546" s="15"/>
      <c r="E546" s="15"/>
      <c r="F546" s="3"/>
      <c r="G546" s="18"/>
      <c r="H546" s="3"/>
      <c r="I546" s="19"/>
      <c r="J546" s="19"/>
      <c r="K546" s="3"/>
      <c r="L546" s="3"/>
      <c r="M546" s="20"/>
      <c r="N546" s="20"/>
      <c r="O546" s="20"/>
      <c r="P546" s="21"/>
      <c r="Q546" s="22"/>
      <c r="R546" s="22"/>
      <c r="S546" s="19"/>
      <c r="T546" s="19"/>
      <c r="U546" s="19"/>
      <c r="V546" s="19"/>
      <c r="W546" s="26"/>
      <c r="X546" s="28"/>
    </row>
    <row r="547">
      <c r="A547" s="15"/>
      <c r="B547" s="16"/>
      <c r="C547" s="15"/>
      <c r="D547" s="15"/>
      <c r="E547" s="15"/>
      <c r="F547" s="3"/>
      <c r="G547" s="18"/>
      <c r="H547" s="3"/>
      <c r="I547" s="19"/>
      <c r="J547" s="19"/>
      <c r="K547" s="3"/>
      <c r="L547" s="3"/>
      <c r="M547" s="20"/>
      <c r="N547" s="20"/>
      <c r="O547" s="20"/>
      <c r="P547" s="21"/>
      <c r="Q547" s="22"/>
      <c r="R547" s="22"/>
      <c r="S547" s="19"/>
      <c r="T547" s="19"/>
      <c r="U547" s="19"/>
      <c r="V547" s="19"/>
      <c r="W547" s="26"/>
      <c r="X547" s="28"/>
    </row>
    <row r="548">
      <c r="A548" s="15"/>
      <c r="B548" s="16"/>
      <c r="C548" s="15"/>
      <c r="D548" s="15"/>
      <c r="E548" s="15"/>
      <c r="F548" s="3"/>
      <c r="G548" s="18"/>
      <c r="H548" s="3"/>
      <c r="I548" s="19"/>
      <c r="J548" s="19"/>
      <c r="K548" s="3"/>
      <c r="L548" s="3"/>
      <c r="M548" s="20"/>
      <c r="N548" s="20"/>
      <c r="O548" s="20"/>
      <c r="P548" s="21"/>
      <c r="Q548" s="22"/>
      <c r="R548" s="22"/>
      <c r="S548" s="19"/>
      <c r="T548" s="19"/>
      <c r="U548" s="19"/>
      <c r="V548" s="19"/>
      <c r="W548" s="26"/>
      <c r="X548" s="28"/>
    </row>
    <row r="549">
      <c r="A549" s="15"/>
      <c r="B549" s="16"/>
      <c r="C549" s="15"/>
      <c r="D549" s="15"/>
      <c r="E549" s="15"/>
      <c r="F549" s="3"/>
      <c r="G549" s="18"/>
      <c r="H549" s="3"/>
      <c r="I549" s="19"/>
      <c r="J549" s="19"/>
      <c r="K549" s="3"/>
      <c r="L549" s="3"/>
      <c r="M549" s="20"/>
      <c r="N549" s="20"/>
      <c r="O549" s="20"/>
      <c r="P549" s="21"/>
      <c r="Q549" s="22"/>
      <c r="R549" s="22"/>
      <c r="S549" s="19"/>
      <c r="T549" s="19"/>
      <c r="U549" s="19"/>
      <c r="V549" s="19"/>
      <c r="W549" s="26"/>
      <c r="X549" s="28"/>
    </row>
    <row r="550">
      <c r="A550" s="15"/>
      <c r="B550" s="16"/>
      <c r="C550" s="15"/>
      <c r="D550" s="15"/>
      <c r="E550" s="15"/>
      <c r="F550" s="3"/>
      <c r="G550" s="18"/>
      <c r="H550" s="3"/>
      <c r="I550" s="19"/>
      <c r="J550" s="19"/>
      <c r="K550" s="3"/>
      <c r="L550" s="3"/>
      <c r="M550" s="20"/>
      <c r="N550" s="20"/>
      <c r="O550" s="20"/>
      <c r="P550" s="21"/>
      <c r="Q550" s="22"/>
      <c r="R550" s="22"/>
      <c r="S550" s="19"/>
      <c r="T550" s="19"/>
      <c r="U550" s="19"/>
      <c r="V550" s="19"/>
      <c r="W550" s="26"/>
      <c r="X550" s="28"/>
    </row>
    <row r="551">
      <c r="A551" s="15"/>
      <c r="B551" s="16"/>
      <c r="C551" s="15"/>
      <c r="D551" s="15"/>
      <c r="E551" s="15"/>
      <c r="F551" s="3"/>
      <c r="G551" s="18"/>
      <c r="H551" s="3"/>
      <c r="I551" s="19"/>
      <c r="J551" s="19"/>
      <c r="K551" s="3"/>
      <c r="L551" s="3"/>
      <c r="M551" s="20"/>
      <c r="N551" s="20"/>
      <c r="O551" s="20"/>
      <c r="P551" s="21"/>
      <c r="Q551" s="22"/>
      <c r="R551" s="22"/>
      <c r="S551" s="19"/>
      <c r="T551" s="19"/>
      <c r="U551" s="19"/>
      <c r="V551" s="19"/>
      <c r="W551" s="26"/>
      <c r="X551" s="28"/>
    </row>
    <row r="552">
      <c r="A552" s="15"/>
      <c r="B552" s="16"/>
      <c r="C552" s="15"/>
      <c r="D552" s="15"/>
      <c r="E552" s="15"/>
      <c r="F552" s="3"/>
      <c r="G552" s="18"/>
      <c r="H552" s="3"/>
      <c r="I552" s="19"/>
      <c r="J552" s="19"/>
      <c r="K552" s="3"/>
      <c r="L552" s="3"/>
      <c r="M552" s="20"/>
      <c r="N552" s="20"/>
      <c r="O552" s="20"/>
      <c r="P552" s="21"/>
      <c r="Q552" s="22"/>
      <c r="R552" s="22"/>
      <c r="S552" s="19"/>
      <c r="T552" s="19"/>
      <c r="U552" s="19"/>
      <c r="V552" s="19"/>
      <c r="W552" s="26"/>
      <c r="X552" s="28"/>
    </row>
    <row r="553">
      <c r="A553" s="15"/>
      <c r="B553" s="16"/>
      <c r="C553" s="15"/>
      <c r="D553" s="15"/>
      <c r="E553" s="15"/>
      <c r="F553" s="3"/>
      <c r="G553" s="18"/>
      <c r="H553" s="3"/>
      <c r="I553" s="19"/>
      <c r="J553" s="19"/>
      <c r="K553" s="3"/>
      <c r="L553" s="3"/>
      <c r="M553" s="20"/>
      <c r="N553" s="20"/>
      <c r="O553" s="20"/>
      <c r="P553" s="21"/>
      <c r="Q553" s="22"/>
      <c r="R553" s="22"/>
      <c r="S553" s="19"/>
      <c r="T553" s="19"/>
      <c r="U553" s="19"/>
      <c r="V553" s="19"/>
      <c r="W553" s="26"/>
      <c r="X553" s="28"/>
    </row>
    <row r="554">
      <c r="A554" s="15"/>
      <c r="B554" s="16"/>
      <c r="C554" s="15"/>
      <c r="D554" s="15"/>
      <c r="E554" s="15"/>
      <c r="F554" s="3"/>
      <c r="G554" s="18"/>
      <c r="H554" s="3"/>
      <c r="I554" s="19"/>
      <c r="J554" s="19"/>
      <c r="K554" s="3"/>
      <c r="L554" s="3"/>
      <c r="M554" s="20"/>
      <c r="N554" s="20"/>
      <c r="O554" s="20"/>
      <c r="P554" s="21"/>
      <c r="Q554" s="22"/>
      <c r="R554" s="22"/>
      <c r="S554" s="19"/>
      <c r="T554" s="19"/>
      <c r="U554" s="19"/>
      <c r="V554" s="19"/>
      <c r="W554" s="26"/>
      <c r="X554" s="28"/>
    </row>
    <row r="555">
      <c r="A555" s="15"/>
      <c r="B555" s="16"/>
      <c r="C555" s="15"/>
      <c r="D555" s="15"/>
      <c r="E555" s="15"/>
      <c r="F555" s="3"/>
      <c r="G555" s="18"/>
      <c r="H555" s="3"/>
      <c r="I555" s="19"/>
      <c r="J555" s="19"/>
      <c r="K555" s="3"/>
      <c r="L555" s="3"/>
      <c r="M555" s="20"/>
      <c r="N555" s="20"/>
      <c r="O555" s="20"/>
      <c r="P555" s="21"/>
      <c r="Q555" s="22"/>
      <c r="R555" s="22"/>
      <c r="S555" s="19"/>
      <c r="T555" s="19"/>
      <c r="U555" s="19"/>
      <c r="V555" s="19"/>
      <c r="W555" s="26"/>
      <c r="X555" s="28"/>
    </row>
    <row r="556">
      <c r="A556" s="15"/>
      <c r="B556" s="16"/>
      <c r="C556" s="15"/>
      <c r="D556" s="15"/>
      <c r="E556" s="15"/>
      <c r="F556" s="3"/>
      <c r="G556" s="18"/>
      <c r="H556" s="3"/>
      <c r="I556" s="19"/>
      <c r="J556" s="19"/>
      <c r="K556" s="3"/>
      <c r="L556" s="3"/>
      <c r="M556" s="20"/>
      <c r="N556" s="20"/>
      <c r="O556" s="20"/>
      <c r="P556" s="21"/>
      <c r="Q556" s="22"/>
      <c r="R556" s="22"/>
      <c r="S556" s="19"/>
      <c r="T556" s="19"/>
      <c r="U556" s="19"/>
      <c r="V556" s="19"/>
      <c r="W556" s="26"/>
      <c r="X556" s="28"/>
    </row>
    <row r="557">
      <c r="A557" s="15"/>
      <c r="B557" s="16"/>
      <c r="C557" s="15"/>
      <c r="D557" s="15"/>
      <c r="E557" s="15"/>
      <c r="F557" s="3"/>
      <c r="G557" s="18"/>
      <c r="H557" s="3"/>
      <c r="I557" s="19"/>
      <c r="J557" s="19"/>
      <c r="K557" s="3"/>
      <c r="L557" s="3"/>
      <c r="M557" s="20"/>
      <c r="N557" s="20"/>
      <c r="O557" s="20"/>
      <c r="P557" s="21"/>
      <c r="Q557" s="22"/>
      <c r="R557" s="22"/>
      <c r="S557" s="19"/>
      <c r="T557" s="19"/>
      <c r="U557" s="19"/>
      <c r="V557" s="19"/>
      <c r="W557" s="26"/>
      <c r="X557" s="28"/>
    </row>
    <row r="558">
      <c r="A558" s="15"/>
      <c r="B558" s="16"/>
      <c r="C558" s="15"/>
      <c r="D558" s="15"/>
      <c r="E558" s="15"/>
      <c r="F558" s="3"/>
      <c r="G558" s="18"/>
      <c r="H558" s="3"/>
      <c r="I558" s="19"/>
      <c r="J558" s="19"/>
      <c r="K558" s="3"/>
      <c r="L558" s="3"/>
      <c r="M558" s="20"/>
      <c r="N558" s="20"/>
      <c r="O558" s="20"/>
      <c r="P558" s="21"/>
      <c r="Q558" s="22"/>
      <c r="R558" s="22"/>
      <c r="S558" s="19"/>
      <c r="T558" s="19"/>
      <c r="U558" s="19"/>
      <c r="V558" s="19"/>
      <c r="W558" s="26"/>
      <c r="X558" s="28"/>
    </row>
    <row r="559">
      <c r="A559" s="15"/>
      <c r="B559" s="16"/>
      <c r="C559" s="15"/>
      <c r="D559" s="15"/>
      <c r="E559" s="15"/>
      <c r="F559" s="3"/>
      <c r="G559" s="18"/>
      <c r="H559" s="3"/>
      <c r="I559" s="19"/>
      <c r="J559" s="19"/>
      <c r="K559" s="3"/>
      <c r="L559" s="3"/>
      <c r="M559" s="20"/>
      <c r="N559" s="20"/>
      <c r="O559" s="20"/>
      <c r="P559" s="21"/>
      <c r="Q559" s="22"/>
      <c r="R559" s="22"/>
      <c r="S559" s="19"/>
      <c r="T559" s="19"/>
      <c r="U559" s="19"/>
      <c r="V559" s="19"/>
      <c r="W559" s="26"/>
      <c r="X559" s="28"/>
    </row>
    <row r="560">
      <c r="A560" s="15"/>
      <c r="B560" s="16"/>
      <c r="C560" s="15"/>
      <c r="D560" s="15"/>
      <c r="E560" s="15"/>
      <c r="F560" s="3"/>
      <c r="G560" s="18"/>
      <c r="H560" s="3"/>
      <c r="I560" s="19"/>
      <c r="J560" s="19"/>
      <c r="K560" s="3"/>
      <c r="L560" s="3"/>
      <c r="M560" s="20"/>
      <c r="N560" s="20"/>
      <c r="O560" s="20"/>
      <c r="P560" s="21"/>
      <c r="Q560" s="22"/>
      <c r="R560" s="22"/>
      <c r="S560" s="19"/>
      <c r="T560" s="19"/>
      <c r="U560" s="19"/>
      <c r="V560" s="19"/>
      <c r="W560" s="26"/>
      <c r="X560" s="28"/>
    </row>
    <row r="561">
      <c r="A561" s="15"/>
      <c r="B561" s="16"/>
      <c r="C561" s="15"/>
      <c r="D561" s="15"/>
      <c r="E561" s="15"/>
      <c r="F561" s="3"/>
      <c r="G561" s="18"/>
      <c r="H561" s="3"/>
      <c r="I561" s="19"/>
      <c r="J561" s="19"/>
      <c r="K561" s="3"/>
      <c r="L561" s="3"/>
      <c r="M561" s="20"/>
      <c r="N561" s="20"/>
      <c r="O561" s="20"/>
      <c r="P561" s="21"/>
      <c r="Q561" s="22"/>
      <c r="R561" s="22"/>
      <c r="S561" s="19"/>
      <c r="T561" s="19"/>
      <c r="U561" s="19"/>
      <c r="V561" s="19"/>
      <c r="W561" s="26"/>
      <c r="X561" s="28"/>
    </row>
    <row r="562">
      <c r="A562" s="15"/>
      <c r="B562" s="16"/>
      <c r="C562" s="15"/>
      <c r="D562" s="15"/>
      <c r="E562" s="15"/>
      <c r="F562" s="3"/>
      <c r="G562" s="18"/>
      <c r="H562" s="3"/>
      <c r="I562" s="19"/>
      <c r="J562" s="19"/>
      <c r="K562" s="3"/>
      <c r="L562" s="3"/>
      <c r="M562" s="20"/>
      <c r="N562" s="20"/>
      <c r="O562" s="20"/>
      <c r="P562" s="21"/>
      <c r="Q562" s="22"/>
      <c r="R562" s="22"/>
      <c r="S562" s="19"/>
      <c r="T562" s="19"/>
      <c r="U562" s="19"/>
      <c r="V562" s="19"/>
      <c r="W562" s="26"/>
      <c r="X562" s="28"/>
    </row>
    <row r="563">
      <c r="A563" s="15"/>
      <c r="B563" s="16"/>
      <c r="C563" s="15"/>
      <c r="D563" s="15"/>
      <c r="E563" s="15"/>
      <c r="F563" s="3"/>
      <c r="G563" s="18"/>
      <c r="H563" s="3"/>
      <c r="I563" s="19"/>
      <c r="J563" s="19"/>
      <c r="K563" s="3"/>
      <c r="L563" s="3"/>
      <c r="M563" s="20"/>
      <c r="N563" s="20"/>
      <c r="O563" s="20"/>
      <c r="P563" s="21"/>
      <c r="Q563" s="22"/>
      <c r="R563" s="22"/>
      <c r="S563" s="19"/>
      <c r="T563" s="19"/>
      <c r="U563" s="19"/>
      <c r="V563" s="19"/>
      <c r="W563" s="26"/>
      <c r="X563" s="28"/>
    </row>
    <row r="564">
      <c r="A564" s="15"/>
      <c r="B564" s="16"/>
      <c r="C564" s="15"/>
      <c r="D564" s="15"/>
      <c r="E564" s="15"/>
      <c r="F564" s="3"/>
      <c r="G564" s="18"/>
      <c r="H564" s="3"/>
      <c r="I564" s="19"/>
      <c r="J564" s="19"/>
      <c r="K564" s="3"/>
      <c r="L564" s="3"/>
      <c r="M564" s="20"/>
      <c r="N564" s="20"/>
      <c r="O564" s="20"/>
      <c r="P564" s="21"/>
      <c r="Q564" s="22"/>
      <c r="R564" s="22"/>
      <c r="S564" s="19"/>
      <c r="T564" s="19"/>
      <c r="U564" s="19"/>
      <c r="V564" s="19"/>
      <c r="W564" s="26"/>
      <c r="X564" s="28"/>
    </row>
    <row r="565">
      <c r="A565" s="15"/>
      <c r="B565" s="16"/>
      <c r="C565" s="15"/>
      <c r="D565" s="15"/>
      <c r="E565" s="15"/>
      <c r="F565" s="3"/>
      <c r="G565" s="18"/>
      <c r="H565" s="3"/>
      <c r="I565" s="19"/>
      <c r="J565" s="19"/>
      <c r="K565" s="3"/>
      <c r="L565" s="3"/>
      <c r="M565" s="20"/>
      <c r="N565" s="20"/>
      <c r="O565" s="20"/>
      <c r="P565" s="21"/>
      <c r="Q565" s="22"/>
      <c r="R565" s="22"/>
      <c r="S565" s="19"/>
      <c r="T565" s="19"/>
      <c r="U565" s="19"/>
      <c r="V565" s="19"/>
      <c r="W565" s="26"/>
      <c r="X565" s="28"/>
    </row>
    <row r="566">
      <c r="A566" s="15"/>
      <c r="B566" s="16"/>
      <c r="C566" s="15"/>
      <c r="D566" s="15"/>
      <c r="E566" s="15"/>
      <c r="F566" s="3"/>
      <c r="G566" s="18"/>
      <c r="H566" s="3"/>
      <c r="I566" s="19"/>
      <c r="J566" s="19"/>
      <c r="K566" s="3"/>
      <c r="L566" s="3"/>
      <c r="M566" s="20"/>
      <c r="N566" s="20"/>
      <c r="O566" s="20"/>
      <c r="P566" s="21"/>
      <c r="Q566" s="22"/>
      <c r="R566" s="22"/>
      <c r="S566" s="19"/>
      <c r="T566" s="19"/>
      <c r="U566" s="19"/>
      <c r="V566" s="19"/>
      <c r="W566" s="26"/>
      <c r="X566" s="28"/>
    </row>
    <row r="567">
      <c r="A567" s="15"/>
      <c r="B567" s="16"/>
      <c r="C567" s="15"/>
      <c r="D567" s="15"/>
      <c r="E567" s="15"/>
      <c r="F567" s="3"/>
      <c r="G567" s="18"/>
      <c r="H567" s="3"/>
      <c r="I567" s="19"/>
      <c r="J567" s="19"/>
      <c r="K567" s="3"/>
      <c r="L567" s="3"/>
      <c r="M567" s="20"/>
      <c r="N567" s="20"/>
      <c r="O567" s="20"/>
      <c r="P567" s="21"/>
      <c r="Q567" s="22"/>
      <c r="R567" s="22"/>
      <c r="S567" s="19"/>
      <c r="T567" s="19"/>
      <c r="U567" s="19"/>
      <c r="V567" s="19"/>
      <c r="W567" s="26"/>
      <c r="X567" s="28"/>
    </row>
    <row r="568">
      <c r="A568" s="15"/>
      <c r="B568" s="16"/>
      <c r="C568" s="15"/>
      <c r="D568" s="15"/>
      <c r="E568" s="15"/>
      <c r="F568" s="3"/>
      <c r="G568" s="18"/>
      <c r="H568" s="3"/>
      <c r="I568" s="19"/>
      <c r="J568" s="19"/>
      <c r="K568" s="3"/>
      <c r="L568" s="3"/>
      <c r="M568" s="20"/>
      <c r="N568" s="20"/>
      <c r="O568" s="20"/>
      <c r="P568" s="21"/>
      <c r="Q568" s="22"/>
      <c r="R568" s="22"/>
      <c r="S568" s="19"/>
      <c r="T568" s="19"/>
      <c r="U568" s="19"/>
      <c r="V568" s="19"/>
      <c r="W568" s="26"/>
      <c r="X568" s="28"/>
    </row>
    <row r="569">
      <c r="A569" s="15"/>
      <c r="B569" s="16"/>
      <c r="C569" s="15"/>
      <c r="D569" s="15"/>
      <c r="E569" s="15"/>
      <c r="F569" s="3"/>
      <c r="G569" s="18"/>
      <c r="H569" s="3"/>
      <c r="I569" s="19"/>
      <c r="J569" s="19"/>
      <c r="K569" s="3"/>
      <c r="L569" s="3"/>
      <c r="M569" s="20"/>
      <c r="N569" s="20"/>
      <c r="O569" s="20"/>
      <c r="P569" s="21"/>
      <c r="Q569" s="22"/>
      <c r="R569" s="22"/>
      <c r="S569" s="19"/>
      <c r="T569" s="19"/>
      <c r="U569" s="19"/>
      <c r="V569" s="19"/>
      <c r="W569" s="26"/>
      <c r="X569" s="28"/>
    </row>
    <row r="570">
      <c r="A570" s="15"/>
      <c r="B570" s="16"/>
      <c r="C570" s="15"/>
      <c r="D570" s="15"/>
      <c r="E570" s="15"/>
      <c r="F570" s="3"/>
      <c r="G570" s="18"/>
      <c r="H570" s="3"/>
      <c r="I570" s="19"/>
      <c r="J570" s="19"/>
      <c r="K570" s="3"/>
      <c r="L570" s="3"/>
      <c r="M570" s="20"/>
      <c r="N570" s="20"/>
      <c r="O570" s="20"/>
      <c r="P570" s="21"/>
      <c r="Q570" s="22"/>
      <c r="R570" s="22"/>
      <c r="S570" s="19"/>
      <c r="T570" s="19"/>
      <c r="U570" s="19"/>
      <c r="V570" s="19"/>
      <c r="W570" s="26"/>
      <c r="X570" s="28"/>
    </row>
    <row r="571">
      <c r="A571" s="15"/>
      <c r="B571" s="16"/>
      <c r="C571" s="15"/>
      <c r="D571" s="15"/>
      <c r="E571" s="15"/>
      <c r="F571" s="3"/>
      <c r="G571" s="18"/>
      <c r="H571" s="3"/>
      <c r="I571" s="19"/>
      <c r="J571" s="19"/>
      <c r="K571" s="3"/>
      <c r="L571" s="3"/>
      <c r="M571" s="20"/>
      <c r="N571" s="20"/>
      <c r="O571" s="20"/>
      <c r="P571" s="21"/>
      <c r="Q571" s="22"/>
      <c r="R571" s="22"/>
      <c r="S571" s="19"/>
      <c r="T571" s="19"/>
      <c r="U571" s="19"/>
      <c r="V571" s="19"/>
      <c r="W571" s="26"/>
      <c r="X571" s="28"/>
    </row>
    <row r="572">
      <c r="A572" s="15"/>
      <c r="B572" s="16"/>
      <c r="C572" s="15"/>
      <c r="D572" s="15"/>
      <c r="E572" s="15"/>
      <c r="F572" s="3"/>
      <c r="G572" s="18"/>
      <c r="H572" s="3"/>
      <c r="I572" s="19"/>
      <c r="J572" s="19"/>
      <c r="K572" s="3"/>
      <c r="L572" s="3"/>
      <c r="M572" s="20"/>
      <c r="N572" s="20"/>
      <c r="O572" s="20"/>
      <c r="P572" s="21"/>
      <c r="Q572" s="22"/>
      <c r="R572" s="22"/>
      <c r="S572" s="19"/>
      <c r="T572" s="19"/>
      <c r="U572" s="19"/>
      <c r="V572" s="19"/>
      <c r="W572" s="26"/>
      <c r="X572" s="28"/>
    </row>
    <row r="573">
      <c r="A573" s="15"/>
      <c r="B573" s="16"/>
      <c r="C573" s="15"/>
      <c r="D573" s="15"/>
      <c r="E573" s="15"/>
      <c r="F573" s="3"/>
      <c r="G573" s="18"/>
      <c r="H573" s="3"/>
      <c r="I573" s="19"/>
      <c r="J573" s="19"/>
      <c r="K573" s="3"/>
      <c r="L573" s="3"/>
      <c r="M573" s="20"/>
      <c r="N573" s="20"/>
      <c r="O573" s="20"/>
      <c r="P573" s="21"/>
      <c r="Q573" s="22"/>
      <c r="R573" s="22"/>
      <c r="S573" s="19"/>
      <c r="T573" s="19"/>
      <c r="U573" s="19"/>
      <c r="V573" s="19"/>
      <c r="W573" s="26"/>
      <c r="X573" s="28"/>
    </row>
    <row r="574">
      <c r="A574" s="15"/>
      <c r="B574" s="16"/>
      <c r="C574" s="15"/>
      <c r="D574" s="15"/>
      <c r="E574" s="15"/>
      <c r="F574" s="3"/>
      <c r="G574" s="18"/>
      <c r="H574" s="3"/>
      <c r="I574" s="19"/>
      <c r="J574" s="19"/>
      <c r="K574" s="3"/>
      <c r="L574" s="3"/>
      <c r="M574" s="20"/>
      <c r="N574" s="20"/>
      <c r="O574" s="20"/>
      <c r="P574" s="21"/>
      <c r="Q574" s="22"/>
      <c r="R574" s="22"/>
      <c r="S574" s="19"/>
      <c r="T574" s="19"/>
      <c r="U574" s="19"/>
      <c r="V574" s="19"/>
      <c r="W574" s="26"/>
      <c r="X574" s="28"/>
    </row>
    <row r="575">
      <c r="A575" s="15"/>
      <c r="B575" s="16"/>
      <c r="C575" s="15"/>
      <c r="D575" s="15"/>
      <c r="E575" s="15"/>
      <c r="F575" s="3"/>
      <c r="G575" s="18"/>
      <c r="H575" s="3"/>
      <c r="I575" s="19"/>
      <c r="J575" s="19"/>
      <c r="K575" s="3"/>
      <c r="L575" s="3"/>
      <c r="M575" s="20"/>
      <c r="N575" s="20"/>
      <c r="O575" s="20"/>
      <c r="P575" s="21"/>
      <c r="Q575" s="22"/>
      <c r="R575" s="22"/>
      <c r="S575" s="19"/>
      <c r="T575" s="19"/>
      <c r="U575" s="19"/>
      <c r="V575" s="19"/>
      <c r="W575" s="26"/>
      <c r="X575" s="28"/>
    </row>
    <row r="576">
      <c r="A576" s="15"/>
      <c r="B576" s="16"/>
      <c r="C576" s="15"/>
      <c r="D576" s="15"/>
      <c r="E576" s="15"/>
      <c r="F576" s="3"/>
      <c r="G576" s="18"/>
      <c r="H576" s="3"/>
      <c r="I576" s="19"/>
      <c r="J576" s="19"/>
      <c r="K576" s="3"/>
      <c r="L576" s="3"/>
      <c r="M576" s="20"/>
      <c r="N576" s="20"/>
      <c r="O576" s="20"/>
      <c r="P576" s="21"/>
      <c r="Q576" s="22"/>
      <c r="R576" s="22"/>
      <c r="S576" s="19"/>
      <c r="T576" s="19"/>
      <c r="U576" s="19"/>
      <c r="V576" s="19"/>
      <c r="W576" s="26"/>
      <c r="X576" s="28"/>
    </row>
    <row r="577">
      <c r="A577" s="15"/>
      <c r="B577" s="16"/>
      <c r="C577" s="15"/>
      <c r="D577" s="15"/>
      <c r="E577" s="15"/>
      <c r="F577" s="3"/>
      <c r="G577" s="18"/>
      <c r="H577" s="3"/>
      <c r="I577" s="19"/>
      <c r="J577" s="19"/>
      <c r="K577" s="3"/>
      <c r="L577" s="3"/>
      <c r="M577" s="20"/>
      <c r="N577" s="20"/>
      <c r="O577" s="20"/>
      <c r="P577" s="21"/>
      <c r="Q577" s="22"/>
      <c r="R577" s="22"/>
      <c r="S577" s="19"/>
      <c r="T577" s="19"/>
      <c r="U577" s="19"/>
      <c r="V577" s="19"/>
      <c r="W577" s="26"/>
      <c r="X577" s="28"/>
    </row>
    <row r="578">
      <c r="A578" s="15"/>
      <c r="B578" s="16"/>
      <c r="C578" s="15"/>
      <c r="D578" s="15"/>
      <c r="E578" s="15"/>
      <c r="F578" s="3"/>
      <c r="G578" s="18"/>
      <c r="H578" s="3"/>
      <c r="I578" s="19"/>
      <c r="J578" s="19"/>
      <c r="K578" s="3"/>
      <c r="L578" s="3"/>
      <c r="M578" s="20"/>
      <c r="N578" s="20"/>
      <c r="O578" s="20"/>
      <c r="P578" s="21"/>
      <c r="Q578" s="22"/>
      <c r="R578" s="22"/>
      <c r="S578" s="19"/>
      <c r="T578" s="19"/>
      <c r="U578" s="19"/>
      <c r="V578" s="19"/>
      <c r="W578" s="26"/>
      <c r="X578" s="28"/>
    </row>
    <row r="579">
      <c r="A579" s="15"/>
      <c r="B579" s="16"/>
      <c r="C579" s="15"/>
      <c r="D579" s="15"/>
      <c r="E579" s="15"/>
      <c r="F579" s="3"/>
      <c r="G579" s="18"/>
      <c r="H579" s="3"/>
      <c r="I579" s="19"/>
      <c r="J579" s="19"/>
      <c r="K579" s="3"/>
      <c r="L579" s="3"/>
      <c r="M579" s="20"/>
      <c r="N579" s="20"/>
      <c r="O579" s="20"/>
      <c r="P579" s="21"/>
      <c r="Q579" s="22"/>
      <c r="R579" s="22"/>
      <c r="S579" s="19"/>
      <c r="T579" s="19"/>
      <c r="U579" s="19"/>
      <c r="V579" s="19"/>
      <c r="W579" s="26"/>
      <c r="X579" s="28"/>
    </row>
    <row r="580">
      <c r="A580" s="15"/>
      <c r="B580" s="16"/>
      <c r="C580" s="15"/>
      <c r="D580" s="15"/>
      <c r="E580" s="15"/>
      <c r="F580" s="3"/>
      <c r="G580" s="18"/>
      <c r="H580" s="3"/>
      <c r="I580" s="19"/>
      <c r="J580" s="19"/>
      <c r="K580" s="3"/>
      <c r="L580" s="3"/>
      <c r="M580" s="20"/>
      <c r="N580" s="20"/>
      <c r="O580" s="20"/>
      <c r="P580" s="21"/>
      <c r="Q580" s="22"/>
      <c r="R580" s="22"/>
      <c r="S580" s="19"/>
      <c r="T580" s="19"/>
      <c r="U580" s="19"/>
      <c r="V580" s="19"/>
      <c r="W580" s="26"/>
      <c r="X580" s="28"/>
    </row>
    <row r="581">
      <c r="A581" s="15"/>
      <c r="B581" s="16"/>
      <c r="C581" s="15"/>
      <c r="D581" s="15"/>
      <c r="E581" s="15"/>
      <c r="F581" s="3"/>
      <c r="G581" s="18"/>
      <c r="H581" s="3"/>
      <c r="I581" s="19"/>
      <c r="J581" s="19"/>
      <c r="K581" s="3"/>
      <c r="L581" s="3"/>
      <c r="M581" s="20"/>
      <c r="N581" s="20"/>
      <c r="O581" s="20"/>
      <c r="P581" s="21"/>
      <c r="Q581" s="22"/>
      <c r="R581" s="22"/>
      <c r="S581" s="19"/>
      <c r="T581" s="19"/>
      <c r="U581" s="19"/>
      <c r="V581" s="19"/>
      <c r="W581" s="26"/>
      <c r="X581" s="28"/>
    </row>
    <row r="582">
      <c r="A582" s="15"/>
      <c r="B582" s="16"/>
      <c r="C582" s="15"/>
      <c r="D582" s="15"/>
      <c r="E582" s="15"/>
      <c r="F582" s="3"/>
      <c r="G582" s="18"/>
      <c r="H582" s="3"/>
      <c r="I582" s="19"/>
      <c r="J582" s="19"/>
      <c r="K582" s="3"/>
      <c r="L582" s="3"/>
      <c r="M582" s="20"/>
      <c r="N582" s="20"/>
      <c r="O582" s="20"/>
      <c r="P582" s="21"/>
      <c r="Q582" s="22"/>
      <c r="R582" s="22"/>
      <c r="S582" s="19"/>
      <c r="T582" s="19"/>
      <c r="U582" s="19"/>
      <c r="V582" s="19"/>
      <c r="W582" s="26"/>
      <c r="X582" s="28"/>
    </row>
    <row r="583">
      <c r="A583" s="15"/>
      <c r="B583" s="16"/>
      <c r="C583" s="15"/>
      <c r="D583" s="15"/>
      <c r="E583" s="15"/>
      <c r="F583" s="3"/>
      <c r="G583" s="18"/>
      <c r="H583" s="3"/>
      <c r="I583" s="19"/>
      <c r="J583" s="19"/>
      <c r="K583" s="3"/>
      <c r="L583" s="3"/>
      <c r="M583" s="20"/>
      <c r="N583" s="20"/>
      <c r="O583" s="20"/>
      <c r="P583" s="21"/>
      <c r="Q583" s="22"/>
      <c r="R583" s="22"/>
      <c r="S583" s="19"/>
      <c r="T583" s="19"/>
      <c r="U583" s="19"/>
      <c r="V583" s="19"/>
      <c r="W583" s="26"/>
      <c r="X583" s="28"/>
    </row>
    <row r="584">
      <c r="A584" s="15"/>
      <c r="B584" s="16"/>
      <c r="C584" s="15"/>
      <c r="D584" s="15"/>
      <c r="E584" s="15"/>
      <c r="F584" s="3"/>
      <c r="G584" s="18"/>
      <c r="H584" s="3"/>
      <c r="I584" s="19"/>
      <c r="J584" s="19"/>
      <c r="K584" s="3"/>
      <c r="L584" s="3"/>
      <c r="M584" s="20"/>
      <c r="N584" s="20"/>
      <c r="O584" s="20"/>
      <c r="P584" s="21"/>
      <c r="Q584" s="22"/>
      <c r="R584" s="22"/>
      <c r="S584" s="19"/>
      <c r="T584" s="19"/>
      <c r="U584" s="19"/>
      <c r="V584" s="19"/>
      <c r="W584" s="26"/>
      <c r="X584" s="28"/>
    </row>
    <row r="585">
      <c r="A585" s="15"/>
      <c r="B585" s="16"/>
      <c r="C585" s="15"/>
      <c r="D585" s="15"/>
      <c r="E585" s="15"/>
      <c r="F585" s="3"/>
      <c r="G585" s="18"/>
      <c r="H585" s="3"/>
      <c r="I585" s="19"/>
      <c r="J585" s="19"/>
      <c r="K585" s="3"/>
      <c r="L585" s="3"/>
      <c r="M585" s="20"/>
      <c r="N585" s="20"/>
      <c r="O585" s="20"/>
      <c r="P585" s="21"/>
      <c r="Q585" s="22"/>
      <c r="R585" s="22"/>
      <c r="S585" s="19"/>
      <c r="T585" s="19"/>
      <c r="U585" s="19"/>
      <c r="V585" s="19"/>
      <c r="W585" s="26"/>
      <c r="X585" s="28"/>
    </row>
    <row r="586">
      <c r="A586" s="15"/>
      <c r="B586" s="16"/>
      <c r="C586" s="15"/>
      <c r="D586" s="15"/>
      <c r="E586" s="15"/>
      <c r="F586" s="3"/>
      <c r="G586" s="18"/>
      <c r="H586" s="3"/>
      <c r="I586" s="19"/>
      <c r="J586" s="19"/>
      <c r="K586" s="3"/>
      <c r="L586" s="3"/>
      <c r="M586" s="20"/>
      <c r="N586" s="20"/>
      <c r="O586" s="20"/>
      <c r="P586" s="21"/>
      <c r="Q586" s="22"/>
      <c r="R586" s="22"/>
      <c r="S586" s="19"/>
      <c r="T586" s="19"/>
      <c r="U586" s="19"/>
      <c r="V586" s="19"/>
      <c r="W586" s="26"/>
      <c r="X586" s="28"/>
    </row>
    <row r="587">
      <c r="A587" s="15"/>
      <c r="B587" s="16"/>
      <c r="C587" s="15"/>
      <c r="D587" s="15"/>
      <c r="E587" s="15"/>
      <c r="F587" s="3"/>
      <c r="G587" s="18"/>
      <c r="H587" s="3"/>
      <c r="I587" s="19"/>
      <c r="J587" s="19"/>
      <c r="K587" s="3"/>
      <c r="L587" s="3"/>
      <c r="M587" s="20"/>
      <c r="N587" s="20"/>
      <c r="O587" s="20"/>
      <c r="P587" s="21"/>
      <c r="Q587" s="22"/>
      <c r="R587" s="22"/>
      <c r="S587" s="19"/>
      <c r="T587" s="19"/>
      <c r="U587" s="19"/>
      <c r="V587" s="19"/>
      <c r="W587" s="26"/>
      <c r="X587" s="28"/>
    </row>
    <row r="588">
      <c r="A588" s="15"/>
      <c r="B588" s="16"/>
      <c r="C588" s="15"/>
      <c r="D588" s="15"/>
      <c r="E588" s="15"/>
      <c r="F588" s="3"/>
      <c r="G588" s="18"/>
      <c r="H588" s="3"/>
      <c r="I588" s="19"/>
      <c r="J588" s="19"/>
      <c r="K588" s="3"/>
      <c r="L588" s="3"/>
      <c r="M588" s="20"/>
      <c r="N588" s="20"/>
      <c r="O588" s="20"/>
      <c r="P588" s="21"/>
      <c r="Q588" s="22"/>
      <c r="R588" s="22"/>
      <c r="S588" s="19"/>
      <c r="T588" s="19"/>
      <c r="U588" s="19"/>
      <c r="V588" s="19"/>
      <c r="W588" s="26"/>
      <c r="X588" s="28"/>
    </row>
    <row r="589">
      <c r="A589" s="15"/>
      <c r="B589" s="16"/>
      <c r="C589" s="15"/>
      <c r="D589" s="15"/>
      <c r="E589" s="15"/>
      <c r="F589" s="3"/>
      <c r="G589" s="18"/>
      <c r="H589" s="3"/>
      <c r="I589" s="19"/>
      <c r="J589" s="19"/>
      <c r="K589" s="3"/>
      <c r="L589" s="3"/>
      <c r="M589" s="20"/>
      <c r="N589" s="20"/>
      <c r="O589" s="20"/>
      <c r="P589" s="21"/>
      <c r="Q589" s="22"/>
      <c r="R589" s="22"/>
      <c r="S589" s="19"/>
      <c r="T589" s="19"/>
      <c r="U589" s="19"/>
      <c r="V589" s="19"/>
      <c r="W589" s="26"/>
      <c r="X589" s="28"/>
    </row>
    <row r="590">
      <c r="A590" s="15"/>
      <c r="B590" s="16"/>
      <c r="C590" s="15"/>
      <c r="D590" s="15"/>
      <c r="E590" s="15"/>
      <c r="F590" s="3"/>
      <c r="G590" s="18"/>
      <c r="H590" s="3"/>
      <c r="I590" s="19"/>
      <c r="J590" s="19"/>
      <c r="K590" s="3"/>
      <c r="L590" s="3"/>
      <c r="M590" s="20"/>
      <c r="N590" s="20"/>
      <c r="O590" s="20"/>
      <c r="P590" s="21"/>
      <c r="Q590" s="22"/>
      <c r="R590" s="22"/>
      <c r="S590" s="19"/>
      <c r="T590" s="19"/>
      <c r="U590" s="19"/>
      <c r="V590" s="19"/>
      <c r="W590" s="26"/>
      <c r="X590" s="28"/>
    </row>
    <row r="591">
      <c r="A591" s="15"/>
      <c r="B591" s="16"/>
      <c r="C591" s="15"/>
      <c r="D591" s="15"/>
      <c r="E591" s="15"/>
      <c r="F591" s="3"/>
      <c r="G591" s="18"/>
      <c r="H591" s="3"/>
      <c r="I591" s="19"/>
      <c r="J591" s="19"/>
      <c r="K591" s="3"/>
      <c r="L591" s="3"/>
      <c r="M591" s="20"/>
      <c r="N591" s="20"/>
      <c r="O591" s="20"/>
      <c r="P591" s="21"/>
      <c r="Q591" s="22"/>
      <c r="R591" s="22"/>
      <c r="S591" s="19"/>
      <c r="T591" s="19"/>
      <c r="U591" s="19"/>
      <c r="V591" s="19"/>
      <c r="W591" s="26"/>
      <c r="X591" s="28"/>
    </row>
    <row r="592">
      <c r="A592" s="15"/>
      <c r="B592" s="16"/>
      <c r="C592" s="15"/>
      <c r="D592" s="15"/>
      <c r="E592" s="15"/>
      <c r="F592" s="3"/>
      <c r="G592" s="18"/>
      <c r="H592" s="3"/>
      <c r="I592" s="19"/>
      <c r="J592" s="19"/>
      <c r="K592" s="3"/>
      <c r="L592" s="3"/>
      <c r="M592" s="20"/>
      <c r="N592" s="20"/>
      <c r="O592" s="20"/>
      <c r="P592" s="21"/>
      <c r="Q592" s="22"/>
      <c r="R592" s="22"/>
      <c r="S592" s="19"/>
      <c r="T592" s="19"/>
      <c r="U592" s="19"/>
      <c r="V592" s="19"/>
      <c r="W592" s="26"/>
      <c r="X592" s="28"/>
    </row>
    <row r="593">
      <c r="A593" s="15"/>
      <c r="B593" s="16"/>
      <c r="C593" s="15"/>
      <c r="D593" s="15"/>
      <c r="E593" s="15"/>
      <c r="F593" s="3"/>
      <c r="G593" s="18"/>
      <c r="H593" s="3"/>
      <c r="I593" s="19"/>
      <c r="J593" s="19"/>
      <c r="K593" s="3"/>
      <c r="L593" s="3"/>
      <c r="M593" s="20"/>
      <c r="N593" s="20"/>
      <c r="O593" s="20"/>
      <c r="P593" s="21"/>
      <c r="Q593" s="22"/>
      <c r="R593" s="22"/>
      <c r="S593" s="19"/>
      <c r="T593" s="19"/>
      <c r="U593" s="19"/>
      <c r="V593" s="19"/>
      <c r="W593" s="26"/>
      <c r="X593" s="28"/>
    </row>
    <row r="594">
      <c r="A594" s="15"/>
      <c r="B594" s="16"/>
      <c r="C594" s="15"/>
      <c r="D594" s="15"/>
      <c r="E594" s="15"/>
      <c r="F594" s="3"/>
      <c r="G594" s="18"/>
      <c r="H594" s="3"/>
      <c r="I594" s="19"/>
      <c r="J594" s="19"/>
      <c r="K594" s="3"/>
      <c r="L594" s="3"/>
      <c r="M594" s="20"/>
      <c r="N594" s="20"/>
      <c r="O594" s="20"/>
      <c r="P594" s="21"/>
      <c r="Q594" s="22"/>
      <c r="R594" s="22"/>
      <c r="S594" s="19"/>
      <c r="T594" s="19"/>
      <c r="U594" s="19"/>
      <c r="V594" s="19"/>
      <c r="W594" s="26"/>
      <c r="X594" s="28"/>
    </row>
    <row r="595">
      <c r="A595" s="15"/>
      <c r="B595" s="16"/>
      <c r="C595" s="15"/>
      <c r="D595" s="15"/>
      <c r="E595" s="15"/>
      <c r="F595" s="3"/>
      <c r="G595" s="18"/>
      <c r="H595" s="3"/>
      <c r="I595" s="19"/>
      <c r="J595" s="19"/>
      <c r="K595" s="3"/>
      <c r="L595" s="3"/>
      <c r="M595" s="20"/>
      <c r="N595" s="20"/>
      <c r="O595" s="20"/>
      <c r="P595" s="21"/>
      <c r="Q595" s="22"/>
      <c r="R595" s="22"/>
      <c r="S595" s="19"/>
      <c r="T595" s="19"/>
      <c r="U595" s="19"/>
      <c r="V595" s="19"/>
      <c r="W595" s="26"/>
      <c r="X595" s="28"/>
    </row>
    <row r="596">
      <c r="A596" s="15"/>
      <c r="B596" s="16"/>
      <c r="C596" s="15"/>
      <c r="D596" s="15"/>
      <c r="E596" s="15"/>
      <c r="F596" s="3"/>
      <c r="G596" s="18"/>
      <c r="H596" s="3"/>
      <c r="I596" s="19"/>
      <c r="J596" s="19"/>
      <c r="K596" s="3"/>
      <c r="L596" s="3"/>
      <c r="M596" s="20"/>
      <c r="N596" s="20"/>
      <c r="O596" s="20"/>
      <c r="P596" s="21"/>
      <c r="Q596" s="22"/>
      <c r="R596" s="22"/>
      <c r="S596" s="19"/>
      <c r="T596" s="19"/>
      <c r="U596" s="19"/>
      <c r="V596" s="19"/>
      <c r="W596" s="26"/>
      <c r="X596" s="28"/>
    </row>
    <row r="597">
      <c r="A597" s="15"/>
      <c r="B597" s="16"/>
      <c r="C597" s="15"/>
      <c r="D597" s="15"/>
      <c r="E597" s="15"/>
      <c r="F597" s="3"/>
      <c r="G597" s="18"/>
      <c r="H597" s="3"/>
      <c r="I597" s="19"/>
      <c r="J597" s="19"/>
      <c r="K597" s="3"/>
      <c r="L597" s="3"/>
      <c r="M597" s="20"/>
      <c r="N597" s="20"/>
      <c r="O597" s="20"/>
      <c r="P597" s="21"/>
      <c r="Q597" s="22"/>
      <c r="R597" s="22"/>
      <c r="S597" s="19"/>
      <c r="T597" s="19"/>
      <c r="U597" s="19"/>
      <c r="V597" s="19"/>
      <c r="W597" s="26"/>
      <c r="X597" s="28"/>
    </row>
    <row r="598">
      <c r="A598" s="15"/>
      <c r="B598" s="16"/>
      <c r="C598" s="15"/>
      <c r="D598" s="15"/>
      <c r="E598" s="15"/>
      <c r="F598" s="3"/>
      <c r="G598" s="18"/>
      <c r="H598" s="3"/>
      <c r="I598" s="19"/>
      <c r="J598" s="19"/>
      <c r="K598" s="3"/>
      <c r="L598" s="3"/>
      <c r="M598" s="20"/>
      <c r="N598" s="20"/>
      <c r="O598" s="20"/>
      <c r="P598" s="21"/>
      <c r="Q598" s="22"/>
      <c r="R598" s="22"/>
      <c r="S598" s="19"/>
      <c r="T598" s="19"/>
      <c r="U598" s="19"/>
      <c r="V598" s="19"/>
      <c r="W598" s="26"/>
      <c r="X598" s="28"/>
    </row>
    <row r="599">
      <c r="A599" s="15"/>
      <c r="B599" s="16"/>
      <c r="C599" s="15"/>
      <c r="D599" s="15"/>
      <c r="E599" s="15"/>
      <c r="F599" s="3"/>
      <c r="G599" s="18"/>
      <c r="H599" s="3"/>
      <c r="I599" s="19"/>
      <c r="J599" s="19"/>
      <c r="K599" s="3"/>
      <c r="L599" s="3"/>
      <c r="M599" s="20"/>
      <c r="N599" s="20"/>
      <c r="O599" s="20"/>
      <c r="P599" s="21"/>
      <c r="Q599" s="22"/>
      <c r="R599" s="22"/>
      <c r="S599" s="19"/>
      <c r="T599" s="19"/>
      <c r="U599" s="19"/>
      <c r="V599" s="19"/>
      <c r="W599" s="26"/>
      <c r="X599" s="28"/>
    </row>
    <row r="600">
      <c r="A600" s="15"/>
      <c r="B600" s="16"/>
      <c r="C600" s="15"/>
      <c r="D600" s="15"/>
      <c r="E600" s="15"/>
      <c r="F600" s="3"/>
      <c r="G600" s="18"/>
      <c r="H600" s="3"/>
      <c r="I600" s="19"/>
      <c r="J600" s="19"/>
      <c r="K600" s="3"/>
      <c r="L600" s="3"/>
      <c r="M600" s="20"/>
      <c r="N600" s="20"/>
      <c r="O600" s="20"/>
      <c r="P600" s="21"/>
      <c r="Q600" s="22"/>
      <c r="R600" s="22"/>
      <c r="S600" s="19"/>
      <c r="T600" s="19"/>
      <c r="U600" s="19"/>
      <c r="V600" s="19"/>
      <c r="W600" s="26"/>
      <c r="X600" s="28"/>
    </row>
    <row r="601">
      <c r="A601" s="15"/>
      <c r="B601" s="16"/>
      <c r="C601" s="15"/>
      <c r="D601" s="15"/>
      <c r="E601" s="15"/>
      <c r="F601" s="3"/>
      <c r="G601" s="18"/>
      <c r="H601" s="3"/>
      <c r="I601" s="19"/>
      <c r="J601" s="19"/>
      <c r="K601" s="3"/>
      <c r="L601" s="3"/>
      <c r="M601" s="20"/>
      <c r="N601" s="20"/>
      <c r="O601" s="20"/>
      <c r="P601" s="21"/>
      <c r="Q601" s="22"/>
      <c r="R601" s="22"/>
      <c r="S601" s="19"/>
      <c r="T601" s="19"/>
      <c r="U601" s="19"/>
      <c r="V601" s="19"/>
      <c r="W601" s="26"/>
      <c r="X601" s="28"/>
    </row>
    <row r="602">
      <c r="A602" s="15"/>
      <c r="B602" s="16"/>
      <c r="C602" s="15"/>
      <c r="D602" s="15"/>
      <c r="E602" s="15"/>
      <c r="F602" s="3"/>
      <c r="G602" s="18"/>
      <c r="H602" s="3"/>
      <c r="I602" s="19"/>
      <c r="J602" s="19"/>
      <c r="K602" s="3"/>
      <c r="L602" s="3"/>
      <c r="M602" s="20"/>
      <c r="N602" s="20"/>
      <c r="O602" s="20"/>
      <c r="P602" s="21"/>
      <c r="Q602" s="22"/>
      <c r="R602" s="22"/>
      <c r="S602" s="19"/>
      <c r="T602" s="19"/>
      <c r="U602" s="19"/>
      <c r="V602" s="19"/>
      <c r="W602" s="26"/>
      <c r="X602" s="28"/>
    </row>
    <row r="603">
      <c r="A603" s="15"/>
      <c r="B603" s="16"/>
      <c r="C603" s="15"/>
      <c r="D603" s="15"/>
      <c r="E603" s="15"/>
      <c r="F603" s="3"/>
      <c r="G603" s="18"/>
      <c r="H603" s="3"/>
      <c r="I603" s="19"/>
      <c r="J603" s="19"/>
      <c r="K603" s="3"/>
      <c r="L603" s="3"/>
      <c r="M603" s="20"/>
      <c r="N603" s="20"/>
      <c r="O603" s="20"/>
      <c r="P603" s="21"/>
      <c r="Q603" s="22"/>
      <c r="R603" s="22"/>
      <c r="S603" s="19"/>
      <c r="T603" s="19"/>
      <c r="U603" s="19"/>
      <c r="V603" s="19"/>
      <c r="W603" s="26"/>
      <c r="X603" s="28"/>
    </row>
    <row r="604">
      <c r="A604" s="15"/>
      <c r="B604" s="16"/>
      <c r="C604" s="15"/>
      <c r="D604" s="15"/>
      <c r="E604" s="15"/>
      <c r="F604" s="3"/>
      <c r="G604" s="18"/>
      <c r="H604" s="3"/>
      <c r="I604" s="19"/>
      <c r="J604" s="19"/>
      <c r="K604" s="3"/>
      <c r="L604" s="3"/>
      <c r="M604" s="20"/>
      <c r="N604" s="20"/>
      <c r="O604" s="20"/>
      <c r="P604" s="21"/>
      <c r="Q604" s="22"/>
      <c r="R604" s="22"/>
      <c r="S604" s="19"/>
      <c r="T604" s="19"/>
      <c r="U604" s="19"/>
      <c r="V604" s="19"/>
      <c r="W604" s="26"/>
      <c r="X604" s="28"/>
    </row>
    <row r="605">
      <c r="A605" s="15"/>
      <c r="B605" s="16"/>
      <c r="C605" s="15"/>
      <c r="D605" s="15"/>
      <c r="E605" s="15"/>
      <c r="F605" s="3"/>
      <c r="G605" s="18"/>
      <c r="H605" s="3"/>
      <c r="I605" s="19"/>
      <c r="J605" s="19"/>
      <c r="K605" s="3"/>
      <c r="L605" s="3"/>
      <c r="M605" s="20"/>
      <c r="N605" s="20"/>
      <c r="O605" s="20"/>
      <c r="P605" s="21"/>
      <c r="Q605" s="22"/>
      <c r="R605" s="22"/>
      <c r="S605" s="19"/>
      <c r="T605" s="19"/>
      <c r="U605" s="19"/>
      <c r="V605" s="19"/>
      <c r="W605" s="26"/>
      <c r="X605" s="28"/>
    </row>
    <row r="606">
      <c r="A606" s="15"/>
      <c r="B606" s="16"/>
      <c r="C606" s="15"/>
      <c r="D606" s="15"/>
      <c r="E606" s="15"/>
      <c r="F606" s="3"/>
      <c r="G606" s="18"/>
      <c r="H606" s="3"/>
      <c r="I606" s="19"/>
      <c r="J606" s="19"/>
      <c r="K606" s="3"/>
      <c r="L606" s="3"/>
      <c r="M606" s="20"/>
      <c r="N606" s="20"/>
      <c r="O606" s="20"/>
      <c r="P606" s="21"/>
      <c r="Q606" s="22"/>
      <c r="R606" s="22"/>
      <c r="S606" s="19"/>
      <c r="T606" s="19"/>
      <c r="U606" s="19"/>
      <c r="V606" s="19"/>
      <c r="W606" s="26"/>
      <c r="X606" s="28"/>
    </row>
    <row r="607">
      <c r="A607" s="15"/>
      <c r="B607" s="16"/>
      <c r="C607" s="15"/>
      <c r="D607" s="15"/>
      <c r="E607" s="15"/>
      <c r="F607" s="3"/>
      <c r="G607" s="18"/>
      <c r="H607" s="3"/>
      <c r="I607" s="19"/>
      <c r="J607" s="19"/>
      <c r="K607" s="3"/>
      <c r="L607" s="3"/>
      <c r="M607" s="20"/>
      <c r="N607" s="20"/>
      <c r="O607" s="20"/>
      <c r="P607" s="21"/>
      <c r="Q607" s="22"/>
      <c r="R607" s="22"/>
      <c r="S607" s="19"/>
      <c r="T607" s="19"/>
      <c r="U607" s="19"/>
      <c r="V607" s="19"/>
      <c r="W607" s="26"/>
      <c r="X607" s="28"/>
    </row>
    <row r="608">
      <c r="A608" s="15"/>
      <c r="B608" s="16"/>
      <c r="C608" s="15"/>
      <c r="D608" s="15"/>
      <c r="E608" s="15"/>
      <c r="F608" s="3"/>
      <c r="G608" s="18"/>
      <c r="H608" s="3"/>
      <c r="I608" s="19"/>
      <c r="J608" s="19"/>
      <c r="K608" s="3"/>
      <c r="L608" s="3"/>
      <c r="M608" s="20"/>
      <c r="N608" s="20"/>
      <c r="O608" s="20"/>
      <c r="P608" s="21"/>
      <c r="Q608" s="22"/>
      <c r="R608" s="22"/>
      <c r="S608" s="19"/>
      <c r="T608" s="19"/>
      <c r="U608" s="19"/>
      <c r="V608" s="19"/>
      <c r="W608" s="26"/>
      <c r="X608" s="28"/>
    </row>
    <row r="609">
      <c r="A609" s="15"/>
      <c r="B609" s="16"/>
      <c r="C609" s="15"/>
      <c r="D609" s="15"/>
      <c r="E609" s="15"/>
      <c r="F609" s="3"/>
      <c r="G609" s="18"/>
      <c r="H609" s="3"/>
      <c r="I609" s="19"/>
      <c r="J609" s="19"/>
      <c r="K609" s="3"/>
      <c r="L609" s="3"/>
      <c r="M609" s="20"/>
      <c r="N609" s="20"/>
      <c r="O609" s="20"/>
      <c r="P609" s="21"/>
      <c r="Q609" s="22"/>
      <c r="R609" s="22"/>
      <c r="S609" s="19"/>
      <c r="T609" s="19"/>
      <c r="U609" s="19"/>
      <c r="V609" s="19"/>
      <c r="W609" s="26"/>
      <c r="X609" s="28"/>
    </row>
    <row r="610">
      <c r="A610" s="15"/>
      <c r="B610" s="16"/>
      <c r="C610" s="15"/>
      <c r="D610" s="15"/>
      <c r="E610" s="15"/>
      <c r="F610" s="3"/>
      <c r="G610" s="18"/>
      <c r="H610" s="3"/>
      <c r="I610" s="19"/>
      <c r="J610" s="19"/>
      <c r="K610" s="3"/>
      <c r="L610" s="3"/>
      <c r="M610" s="20"/>
      <c r="N610" s="20"/>
      <c r="O610" s="20"/>
      <c r="P610" s="21"/>
      <c r="Q610" s="22"/>
      <c r="R610" s="22"/>
      <c r="S610" s="19"/>
      <c r="T610" s="19"/>
      <c r="U610" s="19"/>
      <c r="V610" s="19"/>
      <c r="W610" s="26"/>
      <c r="X610" s="28"/>
    </row>
    <row r="611">
      <c r="A611" s="15"/>
      <c r="B611" s="16"/>
      <c r="C611" s="15"/>
      <c r="D611" s="15"/>
      <c r="E611" s="15"/>
      <c r="F611" s="3"/>
      <c r="G611" s="18"/>
      <c r="H611" s="3"/>
      <c r="I611" s="19"/>
      <c r="J611" s="19"/>
      <c r="K611" s="3"/>
      <c r="L611" s="3"/>
      <c r="M611" s="20"/>
      <c r="N611" s="20"/>
      <c r="O611" s="20"/>
      <c r="P611" s="21"/>
      <c r="Q611" s="22"/>
      <c r="R611" s="22"/>
      <c r="S611" s="19"/>
      <c r="T611" s="19"/>
      <c r="U611" s="19"/>
      <c r="V611" s="19"/>
      <c r="W611" s="26"/>
      <c r="X611" s="28"/>
    </row>
    <row r="612">
      <c r="A612" s="15"/>
      <c r="B612" s="16"/>
      <c r="C612" s="15"/>
      <c r="D612" s="15"/>
      <c r="E612" s="15"/>
      <c r="F612" s="3"/>
      <c r="G612" s="18"/>
      <c r="H612" s="3"/>
      <c r="I612" s="19"/>
      <c r="J612" s="19"/>
      <c r="K612" s="3"/>
      <c r="L612" s="3"/>
      <c r="M612" s="20"/>
      <c r="N612" s="20"/>
      <c r="O612" s="20"/>
      <c r="P612" s="21"/>
      <c r="Q612" s="22"/>
      <c r="R612" s="22"/>
      <c r="S612" s="19"/>
      <c r="T612" s="19"/>
      <c r="U612" s="19"/>
      <c r="V612" s="19"/>
      <c r="W612" s="26"/>
      <c r="X612" s="28"/>
    </row>
    <row r="613">
      <c r="A613" s="15"/>
      <c r="B613" s="16"/>
      <c r="C613" s="15"/>
      <c r="D613" s="15"/>
      <c r="E613" s="15"/>
      <c r="F613" s="3"/>
      <c r="G613" s="18"/>
      <c r="H613" s="3"/>
      <c r="I613" s="19"/>
      <c r="J613" s="19"/>
      <c r="K613" s="3"/>
      <c r="L613" s="3"/>
      <c r="M613" s="20"/>
      <c r="N613" s="20"/>
      <c r="O613" s="20"/>
      <c r="P613" s="21"/>
      <c r="Q613" s="22"/>
      <c r="R613" s="22"/>
      <c r="S613" s="19"/>
      <c r="T613" s="19"/>
      <c r="U613" s="19"/>
      <c r="V613" s="19"/>
      <c r="W613" s="26"/>
      <c r="X613" s="28"/>
    </row>
    <row r="614">
      <c r="A614" s="15"/>
      <c r="B614" s="16"/>
      <c r="C614" s="15"/>
      <c r="D614" s="15"/>
      <c r="E614" s="15"/>
      <c r="F614" s="3"/>
      <c r="G614" s="18"/>
      <c r="H614" s="3"/>
      <c r="I614" s="19"/>
      <c r="J614" s="19"/>
      <c r="K614" s="3"/>
      <c r="L614" s="3"/>
      <c r="M614" s="20"/>
      <c r="N614" s="20"/>
      <c r="O614" s="20"/>
      <c r="P614" s="21"/>
      <c r="Q614" s="22"/>
      <c r="R614" s="22"/>
      <c r="S614" s="19"/>
      <c r="T614" s="19"/>
      <c r="U614" s="19"/>
      <c r="V614" s="19"/>
      <c r="W614" s="26"/>
      <c r="X614" s="28"/>
    </row>
    <row r="615">
      <c r="A615" s="15"/>
      <c r="B615" s="16"/>
      <c r="C615" s="15"/>
      <c r="D615" s="15"/>
      <c r="E615" s="15"/>
      <c r="F615" s="3"/>
      <c r="G615" s="18"/>
      <c r="H615" s="3"/>
      <c r="I615" s="19"/>
      <c r="J615" s="19"/>
      <c r="K615" s="3"/>
      <c r="L615" s="3"/>
      <c r="M615" s="20"/>
      <c r="N615" s="20"/>
      <c r="O615" s="20"/>
      <c r="P615" s="21"/>
      <c r="Q615" s="22"/>
      <c r="R615" s="22"/>
      <c r="S615" s="19"/>
      <c r="T615" s="19"/>
      <c r="U615" s="19"/>
      <c r="V615" s="19"/>
      <c r="W615" s="26"/>
      <c r="X615" s="28"/>
    </row>
    <row r="616">
      <c r="A616" s="15"/>
      <c r="B616" s="16"/>
      <c r="C616" s="15"/>
      <c r="D616" s="15"/>
      <c r="E616" s="15"/>
      <c r="F616" s="3"/>
      <c r="G616" s="18"/>
      <c r="H616" s="3"/>
      <c r="I616" s="19"/>
      <c r="J616" s="19"/>
      <c r="K616" s="3"/>
      <c r="L616" s="3"/>
      <c r="M616" s="20"/>
      <c r="N616" s="20"/>
      <c r="O616" s="20"/>
      <c r="P616" s="21"/>
      <c r="Q616" s="22"/>
      <c r="R616" s="22"/>
      <c r="S616" s="19"/>
      <c r="T616" s="19"/>
      <c r="U616" s="19"/>
      <c r="V616" s="19"/>
      <c r="W616" s="26"/>
      <c r="X616" s="28"/>
    </row>
    <row r="617">
      <c r="A617" s="15"/>
      <c r="B617" s="16"/>
      <c r="C617" s="15"/>
      <c r="D617" s="15"/>
      <c r="E617" s="15"/>
      <c r="F617" s="3"/>
      <c r="G617" s="18"/>
      <c r="H617" s="3"/>
      <c r="I617" s="19"/>
      <c r="J617" s="19"/>
      <c r="K617" s="3"/>
      <c r="L617" s="3"/>
      <c r="M617" s="20"/>
      <c r="N617" s="20"/>
      <c r="O617" s="20"/>
      <c r="P617" s="21"/>
      <c r="Q617" s="22"/>
      <c r="R617" s="22"/>
      <c r="S617" s="19"/>
      <c r="T617" s="19"/>
      <c r="U617" s="19"/>
      <c r="V617" s="19"/>
      <c r="W617" s="26"/>
      <c r="X617" s="28"/>
    </row>
    <row r="618">
      <c r="A618" s="15"/>
      <c r="B618" s="16"/>
      <c r="C618" s="15"/>
      <c r="D618" s="15"/>
      <c r="E618" s="15"/>
      <c r="F618" s="3"/>
      <c r="G618" s="18"/>
      <c r="H618" s="3"/>
      <c r="I618" s="19"/>
      <c r="J618" s="19"/>
      <c r="K618" s="3"/>
      <c r="L618" s="3"/>
      <c r="M618" s="20"/>
      <c r="N618" s="20"/>
      <c r="O618" s="20"/>
      <c r="P618" s="21"/>
      <c r="Q618" s="22"/>
      <c r="R618" s="22"/>
      <c r="S618" s="19"/>
      <c r="T618" s="19"/>
      <c r="U618" s="19"/>
      <c r="V618" s="19"/>
      <c r="W618" s="26"/>
      <c r="X618" s="28"/>
    </row>
    <row r="619">
      <c r="A619" s="15"/>
      <c r="B619" s="16"/>
      <c r="C619" s="15"/>
      <c r="D619" s="15"/>
      <c r="E619" s="15"/>
      <c r="F619" s="3"/>
      <c r="G619" s="18"/>
      <c r="H619" s="3"/>
      <c r="I619" s="19"/>
      <c r="J619" s="19"/>
      <c r="K619" s="3"/>
      <c r="L619" s="3"/>
      <c r="M619" s="20"/>
      <c r="N619" s="20"/>
      <c r="O619" s="20"/>
      <c r="P619" s="21"/>
      <c r="Q619" s="22"/>
      <c r="R619" s="22"/>
      <c r="S619" s="19"/>
      <c r="T619" s="19"/>
      <c r="U619" s="19"/>
      <c r="V619" s="19"/>
      <c r="W619" s="26"/>
      <c r="X619" s="28"/>
    </row>
    <row r="620">
      <c r="A620" s="15"/>
      <c r="B620" s="16"/>
      <c r="C620" s="15"/>
      <c r="D620" s="15"/>
      <c r="E620" s="15"/>
      <c r="F620" s="3"/>
      <c r="G620" s="18"/>
      <c r="H620" s="3"/>
      <c r="I620" s="19"/>
      <c r="J620" s="19"/>
      <c r="K620" s="3"/>
      <c r="L620" s="3"/>
      <c r="M620" s="20"/>
      <c r="N620" s="20"/>
      <c r="O620" s="20"/>
      <c r="P620" s="21"/>
      <c r="Q620" s="22"/>
      <c r="R620" s="22"/>
      <c r="S620" s="19"/>
      <c r="T620" s="19"/>
      <c r="U620" s="19"/>
      <c r="V620" s="19"/>
      <c r="W620" s="26"/>
      <c r="X620" s="28"/>
    </row>
    <row r="621">
      <c r="A621" s="15"/>
      <c r="B621" s="16"/>
      <c r="C621" s="15"/>
      <c r="D621" s="15"/>
      <c r="E621" s="15"/>
      <c r="F621" s="3"/>
      <c r="G621" s="18"/>
      <c r="H621" s="3"/>
      <c r="I621" s="19"/>
      <c r="J621" s="19"/>
      <c r="K621" s="3"/>
      <c r="L621" s="3"/>
      <c r="M621" s="20"/>
      <c r="N621" s="20"/>
      <c r="O621" s="20"/>
      <c r="P621" s="21"/>
      <c r="Q621" s="22"/>
      <c r="R621" s="22"/>
      <c r="S621" s="19"/>
      <c r="T621" s="19"/>
      <c r="U621" s="19"/>
      <c r="V621" s="19"/>
      <c r="W621" s="26"/>
      <c r="X621" s="28"/>
    </row>
    <row r="622">
      <c r="A622" s="15"/>
      <c r="B622" s="16"/>
      <c r="C622" s="15"/>
      <c r="D622" s="15"/>
      <c r="E622" s="15"/>
      <c r="F622" s="3"/>
      <c r="G622" s="18"/>
      <c r="H622" s="3"/>
      <c r="I622" s="19"/>
      <c r="J622" s="19"/>
      <c r="K622" s="3"/>
      <c r="L622" s="3"/>
      <c r="M622" s="20"/>
      <c r="N622" s="20"/>
      <c r="O622" s="20"/>
      <c r="P622" s="21"/>
      <c r="Q622" s="22"/>
      <c r="R622" s="22"/>
      <c r="S622" s="19"/>
      <c r="T622" s="19"/>
      <c r="U622" s="19"/>
      <c r="V622" s="19"/>
      <c r="W622" s="26"/>
      <c r="X622" s="28"/>
    </row>
    <row r="623">
      <c r="A623" s="15"/>
      <c r="B623" s="16"/>
      <c r="C623" s="15"/>
      <c r="D623" s="15"/>
      <c r="E623" s="15"/>
      <c r="F623" s="3"/>
      <c r="G623" s="18"/>
      <c r="H623" s="3"/>
      <c r="I623" s="19"/>
      <c r="J623" s="19"/>
      <c r="K623" s="3"/>
      <c r="L623" s="3"/>
      <c r="M623" s="20"/>
      <c r="N623" s="20"/>
      <c r="O623" s="20"/>
      <c r="P623" s="21"/>
      <c r="Q623" s="22"/>
      <c r="R623" s="22"/>
      <c r="S623" s="19"/>
      <c r="T623" s="19"/>
      <c r="U623" s="19"/>
      <c r="V623" s="19"/>
      <c r="W623" s="26"/>
      <c r="X623" s="28"/>
    </row>
    <row r="624">
      <c r="A624" s="15"/>
      <c r="B624" s="16"/>
      <c r="C624" s="15"/>
      <c r="D624" s="15"/>
      <c r="E624" s="15"/>
      <c r="F624" s="3"/>
      <c r="G624" s="18"/>
      <c r="H624" s="3"/>
      <c r="I624" s="19"/>
      <c r="J624" s="19"/>
      <c r="K624" s="3"/>
      <c r="L624" s="3"/>
      <c r="M624" s="20"/>
      <c r="N624" s="20"/>
      <c r="O624" s="20"/>
      <c r="P624" s="21"/>
      <c r="Q624" s="22"/>
      <c r="R624" s="22"/>
      <c r="S624" s="19"/>
      <c r="T624" s="19"/>
      <c r="U624" s="19"/>
      <c r="V624" s="19"/>
      <c r="W624" s="26"/>
      <c r="X624" s="28"/>
    </row>
    <row r="625">
      <c r="A625" s="15"/>
      <c r="B625" s="16"/>
      <c r="C625" s="15"/>
      <c r="D625" s="15"/>
      <c r="E625" s="15"/>
      <c r="F625" s="3"/>
      <c r="G625" s="18"/>
      <c r="H625" s="3"/>
      <c r="I625" s="19"/>
      <c r="J625" s="19"/>
      <c r="K625" s="3"/>
      <c r="L625" s="3"/>
      <c r="M625" s="20"/>
      <c r="N625" s="20"/>
      <c r="O625" s="20"/>
      <c r="P625" s="21"/>
      <c r="Q625" s="22"/>
      <c r="R625" s="22"/>
      <c r="S625" s="19"/>
      <c r="T625" s="19"/>
      <c r="U625" s="19"/>
      <c r="V625" s="19"/>
      <c r="W625" s="26"/>
      <c r="X625" s="28"/>
    </row>
    <row r="626">
      <c r="A626" s="15"/>
      <c r="B626" s="16"/>
      <c r="C626" s="15"/>
      <c r="D626" s="15"/>
      <c r="E626" s="15"/>
      <c r="F626" s="3"/>
      <c r="G626" s="18"/>
      <c r="H626" s="3"/>
      <c r="I626" s="19"/>
      <c r="J626" s="19"/>
      <c r="K626" s="3"/>
      <c r="L626" s="3"/>
      <c r="M626" s="20"/>
      <c r="N626" s="20"/>
      <c r="O626" s="20"/>
      <c r="P626" s="21"/>
      <c r="Q626" s="22"/>
      <c r="R626" s="22"/>
      <c r="S626" s="19"/>
      <c r="T626" s="19"/>
      <c r="U626" s="19"/>
      <c r="V626" s="19"/>
      <c r="W626" s="26"/>
      <c r="X626" s="28"/>
    </row>
    <row r="627">
      <c r="A627" s="15"/>
      <c r="B627" s="16"/>
      <c r="C627" s="15"/>
      <c r="D627" s="15"/>
      <c r="E627" s="15"/>
      <c r="F627" s="3"/>
      <c r="G627" s="18"/>
      <c r="H627" s="3"/>
      <c r="I627" s="19"/>
      <c r="J627" s="19"/>
      <c r="K627" s="3"/>
      <c r="L627" s="3"/>
      <c r="M627" s="20"/>
      <c r="N627" s="20"/>
      <c r="O627" s="20"/>
      <c r="P627" s="21"/>
      <c r="Q627" s="22"/>
      <c r="R627" s="22"/>
      <c r="S627" s="19"/>
      <c r="T627" s="19"/>
      <c r="U627" s="19"/>
      <c r="V627" s="19"/>
      <c r="W627" s="26"/>
      <c r="X627" s="28"/>
    </row>
    <row r="628">
      <c r="A628" s="15"/>
      <c r="B628" s="16"/>
      <c r="C628" s="15"/>
      <c r="D628" s="15"/>
      <c r="E628" s="15"/>
      <c r="F628" s="3"/>
      <c r="G628" s="18"/>
      <c r="H628" s="3"/>
      <c r="I628" s="19"/>
      <c r="J628" s="19"/>
      <c r="K628" s="3"/>
      <c r="L628" s="3"/>
      <c r="M628" s="20"/>
      <c r="N628" s="20"/>
      <c r="O628" s="20"/>
      <c r="P628" s="21"/>
      <c r="Q628" s="22"/>
      <c r="R628" s="22"/>
      <c r="S628" s="19"/>
      <c r="T628" s="19"/>
      <c r="U628" s="19"/>
      <c r="V628" s="19"/>
      <c r="W628" s="26"/>
      <c r="X628" s="28"/>
    </row>
    <row r="629">
      <c r="A629" s="15"/>
      <c r="B629" s="16"/>
      <c r="C629" s="15"/>
      <c r="D629" s="15"/>
      <c r="E629" s="15"/>
      <c r="F629" s="3"/>
      <c r="G629" s="18"/>
      <c r="H629" s="3"/>
      <c r="I629" s="19"/>
      <c r="J629" s="19"/>
      <c r="K629" s="3"/>
      <c r="L629" s="3"/>
      <c r="M629" s="20"/>
      <c r="N629" s="20"/>
      <c r="O629" s="20"/>
      <c r="P629" s="21"/>
      <c r="Q629" s="22"/>
      <c r="R629" s="22"/>
      <c r="S629" s="19"/>
      <c r="T629" s="19"/>
      <c r="U629" s="19"/>
      <c r="V629" s="19"/>
      <c r="W629" s="26"/>
      <c r="X629" s="28"/>
    </row>
    <row r="630">
      <c r="A630" s="15"/>
      <c r="B630" s="16"/>
      <c r="C630" s="15"/>
      <c r="D630" s="15"/>
      <c r="E630" s="15"/>
      <c r="F630" s="3"/>
      <c r="G630" s="18"/>
      <c r="H630" s="3"/>
      <c r="I630" s="19"/>
      <c r="J630" s="19"/>
      <c r="K630" s="3"/>
      <c r="L630" s="3"/>
      <c r="M630" s="20"/>
      <c r="N630" s="20"/>
      <c r="O630" s="20"/>
      <c r="P630" s="21"/>
      <c r="Q630" s="22"/>
      <c r="R630" s="22"/>
      <c r="S630" s="19"/>
      <c r="T630" s="19"/>
      <c r="U630" s="19"/>
      <c r="V630" s="19"/>
      <c r="W630" s="26"/>
      <c r="X630" s="28"/>
    </row>
    <row r="631">
      <c r="A631" s="15"/>
      <c r="B631" s="16"/>
      <c r="C631" s="15"/>
      <c r="D631" s="15"/>
      <c r="E631" s="15"/>
      <c r="F631" s="3"/>
      <c r="G631" s="18"/>
      <c r="H631" s="3"/>
      <c r="I631" s="19"/>
      <c r="J631" s="19"/>
      <c r="K631" s="3"/>
      <c r="L631" s="3"/>
      <c r="M631" s="20"/>
      <c r="N631" s="20"/>
      <c r="O631" s="20"/>
      <c r="P631" s="21"/>
      <c r="Q631" s="22"/>
      <c r="R631" s="22"/>
      <c r="S631" s="19"/>
      <c r="T631" s="19"/>
      <c r="U631" s="19"/>
      <c r="V631" s="19"/>
      <c r="W631" s="26"/>
      <c r="X631" s="28"/>
    </row>
    <row r="632">
      <c r="A632" s="15"/>
      <c r="B632" s="16"/>
      <c r="C632" s="15"/>
      <c r="D632" s="15"/>
      <c r="E632" s="15"/>
      <c r="F632" s="3"/>
      <c r="G632" s="18"/>
      <c r="H632" s="3"/>
      <c r="I632" s="19"/>
      <c r="J632" s="19"/>
      <c r="K632" s="3"/>
      <c r="L632" s="3"/>
      <c r="M632" s="20"/>
      <c r="N632" s="20"/>
      <c r="O632" s="20"/>
      <c r="P632" s="21"/>
      <c r="Q632" s="22"/>
      <c r="R632" s="22"/>
      <c r="S632" s="19"/>
      <c r="T632" s="19"/>
      <c r="U632" s="19"/>
      <c r="V632" s="19"/>
      <c r="W632" s="26"/>
      <c r="X632" s="28"/>
    </row>
    <row r="633">
      <c r="A633" s="15"/>
      <c r="B633" s="16"/>
      <c r="C633" s="15"/>
      <c r="D633" s="15"/>
      <c r="E633" s="15"/>
      <c r="F633" s="3"/>
      <c r="G633" s="18"/>
      <c r="H633" s="3"/>
      <c r="I633" s="19"/>
      <c r="J633" s="19"/>
      <c r="K633" s="3"/>
      <c r="L633" s="3"/>
      <c r="M633" s="20"/>
      <c r="N633" s="20"/>
      <c r="O633" s="20"/>
      <c r="P633" s="21"/>
      <c r="Q633" s="22"/>
      <c r="R633" s="22"/>
      <c r="S633" s="19"/>
      <c r="T633" s="19"/>
      <c r="U633" s="19"/>
      <c r="V633" s="19"/>
      <c r="W633" s="26"/>
      <c r="X633" s="28"/>
    </row>
    <row r="634">
      <c r="A634" s="15"/>
      <c r="B634" s="16"/>
      <c r="C634" s="15"/>
      <c r="D634" s="15"/>
      <c r="E634" s="15"/>
      <c r="F634" s="3"/>
      <c r="G634" s="18"/>
      <c r="H634" s="3"/>
      <c r="I634" s="19"/>
      <c r="J634" s="19"/>
      <c r="K634" s="3"/>
      <c r="L634" s="3"/>
      <c r="M634" s="20"/>
      <c r="N634" s="20"/>
      <c r="O634" s="20"/>
      <c r="P634" s="21"/>
      <c r="Q634" s="22"/>
      <c r="R634" s="22"/>
      <c r="S634" s="19"/>
      <c r="T634" s="19"/>
      <c r="U634" s="19"/>
      <c r="V634" s="19"/>
      <c r="W634" s="26"/>
      <c r="X634" s="28"/>
    </row>
    <row r="635">
      <c r="A635" s="15"/>
      <c r="B635" s="16"/>
      <c r="C635" s="15"/>
      <c r="D635" s="15"/>
      <c r="E635" s="15"/>
      <c r="F635" s="3"/>
      <c r="G635" s="18"/>
      <c r="H635" s="3"/>
      <c r="I635" s="19"/>
      <c r="J635" s="19"/>
      <c r="K635" s="3"/>
      <c r="L635" s="3"/>
      <c r="M635" s="20"/>
      <c r="N635" s="20"/>
      <c r="O635" s="20"/>
      <c r="P635" s="21"/>
      <c r="Q635" s="22"/>
      <c r="R635" s="22"/>
      <c r="S635" s="19"/>
      <c r="T635" s="19"/>
      <c r="U635" s="19"/>
      <c r="V635" s="19"/>
      <c r="W635" s="26"/>
      <c r="X635" s="28"/>
    </row>
    <row r="636">
      <c r="A636" s="15"/>
      <c r="B636" s="16"/>
      <c r="C636" s="15"/>
      <c r="D636" s="15"/>
      <c r="E636" s="15"/>
      <c r="F636" s="3"/>
      <c r="G636" s="18"/>
      <c r="H636" s="3"/>
      <c r="I636" s="19"/>
      <c r="J636" s="19"/>
      <c r="K636" s="3"/>
      <c r="L636" s="3"/>
      <c r="M636" s="20"/>
      <c r="N636" s="20"/>
      <c r="O636" s="20"/>
      <c r="P636" s="21"/>
      <c r="Q636" s="22"/>
      <c r="R636" s="22"/>
      <c r="S636" s="19"/>
      <c r="T636" s="19"/>
      <c r="U636" s="19"/>
      <c r="V636" s="19"/>
      <c r="W636" s="26"/>
      <c r="X636" s="28"/>
    </row>
    <row r="637">
      <c r="A637" s="15"/>
      <c r="B637" s="16"/>
      <c r="C637" s="15"/>
      <c r="D637" s="15"/>
      <c r="E637" s="15"/>
      <c r="F637" s="3"/>
      <c r="G637" s="18"/>
      <c r="H637" s="3"/>
      <c r="I637" s="19"/>
      <c r="J637" s="19"/>
      <c r="K637" s="3"/>
      <c r="L637" s="3"/>
      <c r="M637" s="20"/>
      <c r="N637" s="20"/>
      <c r="O637" s="20"/>
      <c r="P637" s="21"/>
      <c r="Q637" s="22"/>
      <c r="R637" s="22"/>
      <c r="S637" s="19"/>
      <c r="T637" s="19"/>
      <c r="U637" s="19"/>
      <c r="V637" s="19"/>
      <c r="W637" s="26"/>
      <c r="X637" s="28"/>
    </row>
    <row r="638">
      <c r="A638" s="15"/>
      <c r="B638" s="16"/>
      <c r="C638" s="15"/>
      <c r="D638" s="15"/>
      <c r="E638" s="15"/>
      <c r="F638" s="3"/>
      <c r="G638" s="18"/>
      <c r="H638" s="3"/>
      <c r="I638" s="19"/>
      <c r="J638" s="19"/>
      <c r="K638" s="3"/>
      <c r="L638" s="3"/>
      <c r="M638" s="20"/>
      <c r="N638" s="20"/>
      <c r="O638" s="20"/>
      <c r="P638" s="21"/>
      <c r="Q638" s="22"/>
      <c r="R638" s="22"/>
      <c r="S638" s="19"/>
      <c r="T638" s="19"/>
      <c r="U638" s="19"/>
      <c r="V638" s="19"/>
      <c r="W638" s="26"/>
      <c r="X638" s="28"/>
    </row>
    <row r="639">
      <c r="A639" s="15"/>
      <c r="B639" s="16"/>
      <c r="C639" s="15"/>
      <c r="D639" s="15"/>
      <c r="E639" s="15"/>
      <c r="F639" s="3"/>
      <c r="G639" s="18"/>
      <c r="H639" s="3"/>
      <c r="I639" s="19"/>
      <c r="J639" s="19"/>
      <c r="K639" s="3"/>
      <c r="L639" s="3"/>
      <c r="M639" s="20"/>
      <c r="N639" s="20"/>
      <c r="O639" s="20"/>
      <c r="P639" s="21"/>
      <c r="Q639" s="22"/>
      <c r="R639" s="22"/>
      <c r="S639" s="19"/>
      <c r="T639" s="19"/>
      <c r="U639" s="19"/>
      <c r="V639" s="19"/>
      <c r="W639" s="26"/>
      <c r="X639" s="28"/>
    </row>
    <row r="640">
      <c r="A640" s="15"/>
      <c r="B640" s="16"/>
      <c r="C640" s="15"/>
      <c r="D640" s="15"/>
      <c r="E640" s="15"/>
      <c r="F640" s="3"/>
      <c r="G640" s="18"/>
      <c r="H640" s="3"/>
      <c r="I640" s="19"/>
      <c r="J640" s="19"/>
      <c r="K640" s="3"/>
      <c r="L640" s="3"/>
      <c r="M640" s="20"/>
      <c r="N640" s="20"/>
      <c r="O640" s="20"/>
      <c r="P640" s="21"/>
      <c r="Q640" s="22"/>
      <c r="R640" s="22"/>
      <c r="S640" s="19"/>
      <c r="T640" s="19"/>
      <c r="U640" s="19"/>
      <c r="V640" s="19"/>
      <c r="W640" s="26"/>
      <c r="X640" s="28"/>
    </row>
    <row r="641">
      <c r="A641" s="15"/>
      <c r="B641" s="16"/>
      <c r="C641" s="15"/>
      <c r="D641" s="15"/>
      <c r="E641" s="15"/>
      <c r="F641" s="3"/>
      <c r="G641" s="18"/>
      <c r="H641" s="3"/>
      <c r="I641" s="19"/>
      <c r="J641" s="19"/>
      <c r="K641" s="3"/>
      <c r="L641" s="3"/>
      <c r="M641" s="20"/>
      <c r="N641" s="20"/>
      <c r="O641" s="20"/>
      <c r="P641" s="21"/>
      <c r="Q641" s="22"/>
      <c r="R641" s="22"/>
      <c r="S641" s="19"/>
      <c r="T641" s="19"/>
      <c r="U641" s="19"/>
      <c r="V641" s="19"/>
      <c r="W641" s="26"/>
      <c r="X641" s="28"/>
    </row>
    <row r="642">
      <c r="A642" s="15"/>
      <c r="B642" s="16"/>
      <c r="C642" s="15"/>
      <c r="D642" s="15"/>
      <c r="E642" s="15"/>
      <c r="F642" s="3"/>
      <c r="G642" s="18"/>
      <c r="H642" s="3"/>
      <c r="I642" s="19"/>
      <c r="J642" s="19"/>
      <c r="K642" s="3"/>
      <c r="L642" s="3"/>
      <c r="M642" s="20"/>
      <c r="N642" s="20"/>
      <c r="O642" s="20"/>
      <c r="P642" s="21"/>
      <c r="Q642" s="22"/>
      <c r="R642" s="22"/>
      <c r="S642" s="19"/>
      <c r="T642" s="19"/>
      <c r="U642" s="19"/>
      <c r="V642" s="19"/>
      <c r="W642" s="26"/>
      <c r="X642" s="28"/>
    </row>
    <row r="643">
      <c r="A643" s="15"/>
      <c r="B643" s="16"/>
      <c r="C643" s="15"/>
      <c r="D643" s="15"/>
      <c r="E643" s="15"/>
      <c r="F643" s="3"/>
      <c r="G643" s="18"/>
      <c r="H643" s="3"/>
      <c r="I643" s="19"/>
      <c r="J643" s="19"/>
      <c r="K643" s="3"/>
      <c r="L643" s="3"/>
      <c r="M643" s="20"/>
      <c r="N643" s="20"/>
      <c r="O643" s="20"/>
      <c r="P643" s="21"/>
      <c r="Q643" s="22"/>
      <c r="R643" s="22"/>
      <c r="S643" s="19"/>
      <c r="T643" s="19"/>
      <c r="U643" s="19"/>
      <c r="V643" s="19"/>
      <c r="W643" s="26"/>
      <c r="X643" s="28"/>
    </row>
    <row r="644">
      <c r="A644" s="15"/>
      <c r="B644" s="16"/>
      <c r="C644" s="15"/>
      <c r="D644" s="15"/>
      <c r="E644" s="15"/>
      <c r="F644" s="3"/>
      <c r="G644" s="18"/>
      <c r="H644" s="3"/>
      <c r="I644" s="19"/>
      <c r="J644" s="19"/>
      <c r="K644" s="3"/>
      <c r="L644" s="3"/>
      <c r="M644" s="20"/>
      <c r="N644" s="20"/>
      <c r="O644" s="20"/>
      <c r="P644" s="21"/>
      <c r="Q644" s="22"/>
      <c r="R644" s="22"/>
      <c r="S644" s="19"/>
      <c r="T644" s="19"/>
      <c r="U644" s="19"/>
      <c r="V644" s="19"/>
      <c r="W644" s="26"/>
      <c r="X644" s="28"/>
    </row>
    <row r="645">
      <c r="A645" s="15"/>
      <c r="B645" s="16"/>
      <c r="C645" s="15"/>
      <c r="D645" s="15"/>
      <c r="E645" s="15"/>
      <c r="F645" s="3"/>
      <c r="G645" s="18"/>
      <c r="H645" s="3"/>
      <c r="I645" s="19"/>
      <c r="J645" s="19"/>
      <c r="K645" s="3"/>
      <c r="L645" s="3"/>
      <c r="M645" s="20"/>
      <c r="N645" s="20"/>
      <c r="O645" s="20"/>
      <c r="P645" s="21"/>
      <c r="Q645" s="22"/>
      <c r="R645" s="22"/>
      <c r="S645" s="19"/>
      <c r="T645" s="19"/>
      <c r="U645" s="19"/>
      <c r="V645" s="19"/>
      <c r="W645" s="26"/>
      <c r="X645" s="28"/>
    </row>
    <row r="646">
      <c r="A646" s="15"/>
      <c r="B646" s="16"/>
      <c r="C646" s="15"/>
      <c r="D646" s="15"/>
      <c r="E646" s="15"/>
      <c r="F646" s="3"/>
      <c r="G646" s="18"/>
      <c r="H646" s="3"/>
      <c r="I646" s="19"/>
      <c r="J646" s="19"/>
      <c r="K646" s="3"/>
      <c r="L646" s="3"/>
      <c r="M646" s="20"/>
      <c r="N646" s="20"/>
      <c r="O646" s="20"/>
      <c r="P646" s="21"/>
      <c r="Q646" s="22"/>
      <c r="R646" s="22"/>
      <c r="S646" s="19"/>
      <c r="T646" s="19"/>
      <c r="U646" s="19"/>
      <c r="V646" s="19"/>
      <c r="W646" s="26"/>
      <c r="X646" s="28"/>
    </row>
    <row r="647">
      <c r="A647" s="15"/>
      <c r="B647" s="16"/>
      <c r="C647" s="15"/>
      <c r="D647" s="15"/>
      <c r="E647" s="15"/>
      <c r="F647" s="3"/>
      <c r="G647" s="18"/>
      <c r="H647" s="3"/>
      <c r="I647" s="19"/>
      <c r="J647" s="19"/>
      <c r="K647" s="3"/>
      <c r="L647" s="3"/>
      <c r="M647" s="20"/>
      <c r="N647" s="20"/>
      <c r="O647" s="20"/>
      <c r="P647" s="21"/>
      <c r="Q647" s="22"/>
      <c r="R647" s="22"/>
      <c r="S647" s="19"/>
      <c r="T647" s="19"/>
      <c r="U647" s="19"/>
      <c r="V647" s="19"/>
      <c r="W647" s="26"/>
      <c r="X647" s="28"/>
    </row>
    <row r="648">
      <c r="A648" s="15"/>
      <c r="B648" s="16"/>
      <c r="C648" s="15"/>
      <c r="D648" s="15"/>
      <c r="E648" s="15"/>
      <c r="F648" s="3"/>
      <c r="G648" s="18"/>
      <c r="H648" s="3"/>
      <c r="I648" s="19"/>
      <c r="J648" s="19"/>
      <c r="K648" s="3"/>
      <c r="L648" s="3"/>
      <c r="M648" s="20"/>
      <c r="N648" s="20"/>
      <c r="O648" s="20"/>
      <c r="P648" s="21"/>
      <c r="Q648" s="22"/>
      <c r="R648" s="22"/>
      <c r="S648" s="19"/>
      <c r="T648" s="19"/>
      <c r="U648" s="19"/>
      <c r="V648" s="19"/>
      <c r="W648" s="26"/>
      <c r="X648" s="28"/>
    </row>
    <row r="649">
      <c r="A649" s="15"/>
      <c r="B649" s="16"/>
      <c r="C649" s="15"/>
      <c r="D649" s="15"/>
      <c r="E649" s="15"/>
      <c r="F649" s="3"/>
      <c r="G649" s="18"/>
      <c r="H649" s="3"/>
      <c r="I649" s="19"/>
      <c r="J649" s="19"/>
      <c r="K649" s="3"/>
      <c r="L649" s="3"/>
      <c r="M649" s="20"/>
      <c r="N649" s="20"/>
      <c r="O649" s="20"/>
      <c r="P649" s="21"/>
      <c r="Q649" s="22"/>
      <c r="R649" s="22"/>
      <c r="S649" s="19"/>
      <c r="T649" s="19"/>
      <c r="U649" s="19"/>
      <c r="V649" s="19"/>
      <c r="W649" s="26"/>
      <c r="X649" s="28"/>
    </row>
    <row r="650">
      <c r="A650" s="15"/>
      <c r="B650" s="16"/>
      <c r="C650" s="15"/>
      <c r="D650" s="15"/>
      <c r="E650" s="15"/>
      <c r="F650" s="3"/>
      <c r="G650" s="18"/>
      <c r="H650" s="3"/>
      <c r="I650" s="19"/>
      <c r="J650" s="19"/>
      <c r="K650" s="3"/>
      <c r="L650" s="3"/>
      <c r="M650" s="20"/>
      <c r="N650" s="20"/>
      <c r="O650" s="20"/>
      <c r="P650" s="21"/>
      <c r="Q650" s="22"/>
      <c r="R650" s="22"/>
      <c r="S650" s="19"/>
      <c r="T650" s="19"/>
      <c r="U650" s="19"/>
      <c r="V650" s="19"/>
      <c r="W650" s="26"/>
      <c r="X650" s="28"/>
    </row>
    <row r="651">
      <c r="A651" s="15"/>
      <c r="B651" s="16"/>
      <c r="C651" s="15"/>
      <c r="D651" s="15"/>
      <c r="E651" s="15"/>
      <c r="F651" s="3"/>
      <c r="G651" s="18"/>
      <c r="H651" s="3"/>
      <c r="I651" s="19"/>
      <c r="J651" s="19"/>
      <c r="K651" s="3"/>
      <c r="L651" s="3"/>
      <c r="M651" s="20"/>
      <c r="N651" s="20"/>
      <c r="O651" s="20"/>
      <c r="P651" s="21"/>
      <c r="Q651" s="22"/>
      <c r="R651" s="22"/>
      <c r="S651" s="19"/>
      <c r="T651" s="19"/>
      <c r="U651" s="19"/>
      <c r="V651" s="19"/>
      <c r="W651" s="26"/>
      <c r="X651" s="28"/>
    </row>
    <row r="652">
      <c r="A652" s="15"/>
      <c r="B652" s="16"/>
      <c r="C652" s="15"/>
      <c r="D652" s="15"/>
      <c r="E652" s="15"/>
      <c r="F652" s="3"/>
      <c r="G652" s="18"/>
      <c r="H652" s="3"/>
      <c r="I652" s="19"/>
      <c r="J652" s="19"/>
      <c r="K652" s="3"/>
      <c r="L652" s="3"/>
      <c r="M652" s="20"/>
      <c r="N652" s="20"/>
      <c r="O652" s="20"/>
      <c r="P652" s="21"/>
      <c r="Q652" s="22"/>
      <c r="R652" s="22"/>
      <c r="S652" s="19"/>
      <c r="T652" s="19"/>
      <c r="U652" s="19"/>
      <c r="V652" s="19"/>
      <c r="W652" s="26"/>
      <c r="X652" s="28"/>
    </row>
    <row r="653">
      <c r="A653" s="15"/>
      <c r="B653" s="16"/>
      <c r="C653" s="15"/>
      <c r="D653" s="15"/>
      <c r="E653" s="15"/>
      <c r="F653" s="3"/>
      <c r="G653" s="18"/>
      <c r="H653" s="3"/>
      <c r="I653" s="19"/>
      <c r="J653" s="19"/>
      <c r="K653" s="3"/>
      <c r="L653" s="3"/>
      <c r="M653" s="20"/>
      <c r="N653" s="20"/>
      <c r="O653" s="20"/>
      <c r="P653" s="21"/>
      <c r="Q653" s="22"/>
      <c r="R653" s="22"/>
      <c r="S653" s="19"/>
      <c r="T653" s="19"/>
      <c r="U653" s="19"/>
      <c r="V653" s="19"/>
      <c r="W653" s="26"/>
      <c r="X653" s="28"/>
    </row>
    <row r="654">
      <c r="A654" s="15"/>
      <c r="B654" s="16"/>
      <c r="C654" s="15"/>
      <c r="D654" s="15"/>
      <c r="E654" s="15"/>
      <c r="F654" s="3"/>
      <c r="G654" s="18"/>
      <c r="H654" s="3"/>
      <c r="I654" s="19"/>
      <c r="J654" s="19"/>
      <c r="K654" s="3"/>
      <c r="L654" s="3"/>
      <c r="M654" s="20"/>
      <c r="N654" s="20"/>
      <c r="O654" s="20"/>
      <c r="P654" s="21"/>
      <c r="Q654" s="22"/>
      <c r="R654" s="22"/>
      <c r="S654" s="19"/>
      <c r="T654" s="19"/>
      <c r="U654" s="19"/>
      <c r="V654" s="19"/>
      <c r="W654" s="26"/>
      <c r="X654" s="28"/>
    </row>
    <row r="655">
      <c r="A655" s="15"/>
      <c r="B655" s="16"/>
      <c r="C655" s="15"/>
      <c r="D655" s="15"/>
      <c r="E655" s="15"/>
      <c r="F655" s="3"/>
      <c r="G655" s="18"/>
      <c r="H655" s="3"/>
      <c r="I655" s="19"/>
      <c r="J655" s="19"/>
      <c r="K655" s="3"/>
      <c r="L655" s="3"/>
      <c r="M655" s="20"/>
      <c r="N655" s="20"/>
      <c r="O655" s="20"/>
      <c r="P655" s="21"/>
      <c r="Q655" s="22"/>
      <c r="R655" s="22"/>
      <c r="S655" s="19"/>
      <c r="T655" s="19"/>
      <c r="U655" s="19"/>
      <c r="V655" s="19"/>
      <c r="W655" s="26"/>
      <c r="X655" s="28"/>
    </row>
    <row r="656">
      <c r="A656" s="15"/>
      <c r="B656" s="16"/>
      <c r="C656" s="15"/>
      <c r="D656" s="15"/>
      <c r="E656" s="15"/>
      <c r="F656" s="3"/>
      <c r="G656" s="18"/>
      <c r="H656" s="3"/>
      <c r="I656" s="19"/>
      <c r="J656" s="19"/>
      <c r="K656" s="3"/>
      <c r="L656" s="3"/>
      <c r="M656" s="20"/>
      <c r="N656" s="20"/>
      <c r="O656" s="20"/>
      <c r="P656" s="21"/>
      <c r="Q656" s="22"/>
      <c r="R656" s="22"/>
      <c r="S656" s="19"/>
      <c r="T656" s="19"/>
      <c r="U656" s="19"/>
      <c r="V656" s="19"/>
      <c r="W656" s="26"/>
      <c r="X656" s="28"/>
    </row>
    <row r="657">
      <c r="A657" s="15"/>
      <c r="B657" s="16"/>
      <c r="C657" s="15"/>
      <c r="D657" s="15"/>
      <c r="E657" s="15"/>
      <c r="F657" s="3"/>
      <c r="G657" s="18"/>
      <c r="H657" s="3"/>
      <c r="I657" s="19"/>
      <c r="J657" s="19"/>
      <c r="K657" s="3"/>
      <c r="L657" s="3"/>
      <c r="M657" s="20"/>
      <c r="N657" s="20"/>
      <c r="O657" s="20"/>
      <c r="P657" s="21"/>
      <c r="Q657" s="22"/>
      <c r="R657" s="22"/>
      <c r="S657" s="19"/>
      <c r="T657" s="19"/>
      <c r="U657" s="19"/>
      <c r="V657" s="19"/>
      <c r="W657" s="26"/>
      <c r="X657" s="28"/>
    </row>
    <row r="658">
      <c r="A658" s="15"/>
      <c r="B658" s="16"/>
      <c r="C658" s="15"/>
      <c r="D658" s="15"/>
      <c r="E658" s="15"/>
      <c r="F658" s="3"/>
      <c r="G658" s="18"/>
      <c r="H658" s="3"/>
      <c r="I658" s="19"/>
      <c r="J658" s="19"/>
      <c r="K658" s="3"/>
      <c r="L658" s="3"/>
      <c r="M658" s="20"/>
      <c r="N658" s="20"/>
      <c r="O658" s="20"/>
      <c r="P658" s="21"/>
      <c r="Q658" s="22"/>
      <c r="R658" s="22"/>
      <c r="S658" s="19"/>
      <c r="T658" s="19"/>
      <c r="U658" s="19"/>
      <c r="V658" s="19"/>
      <c r="W658" s="26"/>
      <c r="X658" s="28"/>
    </row>
    <row r="659">
      <c r="A659" s="15"/>
      <c r="B659" s="16"/>
      <c r="C659" s="15"/>
      <c r="D659" s="15"/>
      <c r="E659" s="15"/>
      <c r="F659" s="3"/>
      <c r="G659" s="18"/>
      <c r="H659" s="3"/>
      <c r="I659" s="19"/>
      <c r="J659" s="19"/>
      <c r="K659" s="3"/>
      <c r="L659" s="3"/>
      <c r="M659" s="20"/>
      <c r="N659" s="20"/>
      <c r="O659" s="20"/>
      <c r="P659" s="21"/>
      <c r="Q659" s="22"/>
      <c r="R659" s="22"/>
      <c r="S659" s="19"/>
      <c r="T659" s="19"/>
      <c r="U659" s="19"/>
      <c r="V659" s="19"/>
      <c r="W659" s="26"/>
      <c r="X659" s="28"/>
    </row>
    <row r="660">
      <c r="A660" s="15"/>
      <c r="B660" s="16"/>
      <c r="C660" s="15"/>
      <c r="D660" s="15"/>
      <c r="E660" s="15"/>
      <c r="F660" s="3"/>
      <c r="G660" s="18"/>
      <c r="H660" s="3"/>
      <c r="I660" s="19"/>
      <c r="J660" s="19"/>
      <c r="K660" s="3"/>
      <c r="L660" s="3"/>
      <c r="M660" s="20"/>
      <c r="N660" s="20"/>
      <c r="O660" s="20"/>
      <c r="P660" s="21"/>
      <c r="Q660" s="22"/>
      <c r="R660" s="22"/>
      <c r="S660" s="19"/>
      <c r="T660" s="19"/>
      <c r="U660" s="19"/>
      <c r="V660" s="19"/>
      <c r="W660" s="26"/>
      <c r="X660" s="28"/>
    </row>
    <row r="661">
      <c r="A661" s="15"/>
      <c r="B661" s="16"/>
      <c r="C661" s="15"/>
      <c r="D661" s="15"/>
      <c r="E661" s="15"/>
      <c r="F661" s="3"/>
      <c r="G661" s="18"/>
      <c r="H661" s="3"/>
      <c r="I661" s="19"/>
      <c r="J661" s="19"/>
      <c r="K661" s="3"/>
      <c r="L661" s="3"/>
      <c r="M661" s="20"/>
      <c r="N661" s="20"/>
      <c r="O661" s="20"/>
      <c r="P661" s="21"/>
      <c r="Q661" s="22"/>
      <c r="R661" s="22"/>
      <c r="S661" s="19"/>
      <c r="T661" s="19"/>
      <c r="U661" s="19"/>
      <c r="V661" s="19"/>
      <c r="W661" s="26"/>
      <c r="X661" s="28"/>
    </row>
    <row r="662">
      <c r="A662" s="15"/>
      <c r="B662" s="16"/>
      <c r="C662" s="15"/>
      <c r="D662" s="15"/>
      <c r="E662" s="15"/>
      <c r="F662" s="3"/>
      <c r="G662" s="18"/>
      <c r="H662" s="3"/>
      <c r="I662" s="19"/>
      <c r="J662" s="19"/>
      <c r="K662" s="3"/>
      <c r="L662" s="3"/>
      <c r="M662" s="20"/>
      <c r="N662" s="20"/>
      <c r="O662" s="20"/>
      <c r="P662" s="21"/>
      <c r="Q662" s="22"/>
      <c r="R662" s="22"/>
      <c r="S662" s="19"/>
      <c r="T662" s="19"/>
      <c r="U662" s="19"/>
      <c r="V662" s="19"/>
      <c r="W662" s="26"/>
      <c r="X662" s="28"/>
    </row>
    <row r="663">
      <c r="A663" s="15"/>
      <c r="B663" s="16"/>
      <c r="C663" s="15"/>
      <c r="D663" s="15"/>
      <c r="E663" s="15"/>
      <c r="F663" s="3"/>
      <c r="G663" s="18"/>
      <c r="H663" s="3"/>
      <c r="I663" s="19"/>
      <c r="J663" s="19"/>
      <c r="K663" s="3"/>
      <c r="L663" s="3"/>
      <c r="M663" s="20"/>
      <c r="N663" s="20"/>
      <c r="O663" s="20"/>
      <c r="P663" s="21"/>
      <c r="Q663" s="22"/>
      <c r="R663" s="22"/>
      <c r="S663" s="19"/>
      <c r="T663" s="19"/>
      <c r="U663" s="19"/>
      <c r="V663" s="19"/>
      <c r="W663" s="26"/>
      <c r="X663" s="28"/>
    </row>
    <row r="664">
      <c r="A664" s="15"/>
      <c r="B664" s="16"/>
      <c r="C664" s="15"/>
      <c r="D664" s="15"/>
      <c r="E664" s="15"/>
      <c r="F664" s="3"/>
      <c r="G664" s="18"/>
      <c r="H664" s="3"/>
      <c r="I664" s="19"/>
      <c r="J664" s="19"/>
      <c r="K664" s="3"/>
      <c r="L664" s="3"/>
      <c r="M664" s="20"/>
      <c r="N664" s="20"/>
      <c r="O664" s="20"/>
      <c r="P664" s="21"/>
      <c r="Q664" s="22"/>
      <c r="R664" s="22"/>
      <c r="S664" s="19"/>
      <c r="T664" s="19"/>
      <c r="U664" s="19"/>
      <c r="V664" s="19"/>
      <c r="W664" s="26"/>
      <c r="X664" s="28"/>
    </row>
    <row r="665">
      <c r="A665" s="15"/>
      <c r="B665" s="16"/>
      <c r="C665" s="15"/>
      <c r="D665" s="15"/>
      <c r="E665" s="15"/>
      <c r="F665" s="3"/>
      <c r="G665" s="18"/>
      <c r="H665" s="3"/>
      <c r="I665" s="19"/>
      <c r="J665" s="19"/>
      <c r="K665" s="3"/>
      <c r="L665" s="3"/>
      <c r="M665" s="20"/>
      <c r="N665" s="20"/>
      <c r="O665" s="20"/>
      <c r="P665" s="21"/>
      <c r="Q665" s="22"/>
      <c r="R665" s="22"/>
      <c r="S665" s="19"/>
      <c r="T665" s="19"/>
      <c r="U665" s="19"/>
      <c r="V665" s="19"/>
      <c r="W665" s="26"/>
      <c r="X665" s="28"/>
    </row>
    <row r="666">
      <c r="A666" s="15"/>
      <c r="B666" s="16"/>
      <c r="C666" s="15"/>
      <c r="D666" s="15"/>
      <c r="E666" s="15"/>
      <c r="F666" s="3"/>
      <c r="G666" s="18"/>
      <c r="H666" s="3"/>
      <c r="I666" s="19"/>
      <c r="J666" s="19"/>
      <c r="K666" s="3"/>
      <c r="L666" s="3"/>
      <c r="M666" s="20"/>
      <c r="N666" s="20"/>
      <c r="O666" s="20"/>
      <c r="P666" s="21"/>
      <c r="Q666" s="22"/>
      <c r="R666" s="22"/>
      <c r="S666" s="19"/>
      <c r="T666" s="19"/>
      <c r="U666" s="19"/>
      <c r="V666" s="19"/>
      <c r="W666" s="26"/>
      <c r="X666" s="28"/>
    </row>
    <row r="667">
      <c r="A667" s="15"/>
      <c r="B667" s="16"/>
      <c r="C667" s="15"/>
      <c r="D667" s="15"/>
      <c r="E667" s="15"/>
      <c r="F667" s="3"/>
      <c r="G667" s="18"/>
      <c r="H667" s="3"/>
      <c r="I667" s="19"/>
      <c r="J667" s="19"/>
      <c r="K667" s="3"/>
      <c r="L667" s="3"/>
      <c r="M667" s="20"/>
      <c r="N667" s="20"/>
      <c r="O667" s="20"/>
      <c r="P667" s="21"/>
      <c r="Q667" s="22"/>
      <c r="R667" s="22"/>
      <c r="S667" s="19"/>
      <c r="T667" s="19"/>
      <c r="U667" s="19"/>
      <c r="V667" s="19"/>
      <c r="W667" s="26"/>
      <c r="X667" s="28"/>
    </row>
    <row r="668">
      <c r="A668" s="15"/>
      <c r="B668" s="16"/>
      <c r="C668" s="15"/>
      <c r="D668" s="15"/>
      <c r="E668" s="15"/>
      <c r="F668" s="3"/>
      <c r="G668" s="18"/>
      <c r="H668" s="3"/>
      <c r="I668" s="19"/>
      <c r="J668" s="19"/>
      <c r="K668" s="3"/>
      <c r="L668" s="3"/>
      <c r="M668" s="20"/>
      <c r="N668" s="20"/>
      <c r="O668" s="20"/>
      <c r="P668" s="21"/>
      <c r="Q668" s="22"/>
      <c r="R668" s="22"/>
      <c r="S668" s="19"/>
      <c r="T668" s="19"/>
      <c r="U668" s="19"/>
      <c r="V668" s="19"/>
      <c r="W668" s="26"/>
      <c r="X668" s="28"/>
    </row>
    <row r="669">
      <c r="A669" s="15"/>
      <c r="B669" s="16"/>
      <c r="C669" s="15"/>
      <c r="D669" s="15"/>
      <c r="E669" s="15"/>
      <c r="F669" s="3"/>
      <c r="G669" s="18"/>
      <c r="H669" s="3"/>
      <c r="I669" s="19"/>
      <c r="J669" s="19"/>
      <c r="K669" s="3"/>
      <c r="L669" s="3"/>
      <c r="M669" s="20"/>
      <c r="N669" s="20"/>
      <c r="O669" s="20"/>
      <c r="P669" s="21"/>
      <c r="Q669" s="22"/>
      <c r="R669" s="22"/>
      <c r="S669" s="19"/>
      <c r="T669" s="19"/>
      <c r="U669" s="19"/>
      <c r="V669" s="19"/>
      <c r="W669" s="26"/>
      <c r="X669" s="28"/>
    </row>
    <row r="670">
      <c r="A670" s="15"/>
      <c r="B670" s="16"/>
      <c r="C670" s="15"/>
      <c r="D670" s="15"/>
      <c r="E670" s="15"/>
      <c r="F670" s="3"/>
      <c r="G670" s="18"/>
      <c r="H670" s="3"/>
      <c r="I670" s="19"/>
      <c r="J670" s="19"/>
      <c r="K670" s="3"/>
      <c r="L670" s="3"/>
      <c r="M670" s="20"/>
      <c r="N670" s="20"/>
      <c r="O670" s="20"/>
      <c r="P670" s="21"/>
      <c r="Q670" s="22"/>
      <c r="R670" s="22"/>
      <c r="S670" s="19"/>
      <c r="T670" s="19"/>
      <c r="U670" s="19"/>
      <c r="V670" s="19"/>
      <c r="W670" s="26"/>
      <c r="X670" s="28"/>
    </row>
    <row r="671">
      <c r="A671" s="15"/>
      <c r="B671" s="16"/>
      <c r="C671" s="15"/>
      <c r="D671" s="15"/>
      <c r="E671" s="15"/>
      <c r="F671" s="3"/>
      <c r="G671" s="18"/>
      <c r="H671" s="3"/>
      <c r="I671" s="19"/>
      <c r="J671" s="19"/>
      <c r="K671" s="3"/>
      <c r="L671" s="3"/>
      <c r="M671" s="20"/>
      <c r="N671" s="20"/>
      <c r="O671" s="20"/>
      <c r="P671" s="21"/>
      <c r="Q671" s="22"/>
      <c r="R671" s="22"/>
      <c r="S671" s="19"/>
      <c r="T671" s="19"/>
      <c r="U671" s="19"/>
      <c r="V671" s="19"/>
      <c r="W671" s="26"/>
      <c r="X671" s="28"/>
    </row>
    <row r="672">
      <c r="A672" s="15"/>
      <c r="B672" s="16"/>
      <c r="C672" s="15"/>
      <c r="D672" s="15"/>
      <c r="E672" s="15"/>
      <c r="F672" s="3"/>
      <c r="G672" s="18"/>
      <c r="H672" s="3"/>
      <c r="I672" s="19"/>
      <c r="J672" s="19"/>
      <c r="K672" s="3"/>
      <c r="L672" s="3"/>
      <c r="M672" s="20"/>
      <c r="N672" s="20"/>
      <c r="O672" s="20"/>
      <c r="P672" s="21"/>
      <c r="Q672" s="22"/>
      <c r="R672" s="22"/>
      <c r="S672" s="19"/>
      <c r="T672" s="19"/>
      <c r="U672" s="19"/>
      <c r="V672" s="19"/>
      <c r="W672" s="26"/>
      <c r="X672" s="28"/>
    </row>
    <row r="673">
      <c r="A673" s="15"/>
      <c r="B673" s="16"/>
      <c r="C673" s="15"/>
      <c r="D673" s="15"/>
      <c r="E673" s="15"/>
      <c r="F673" s="3"/>
      <c r="G673" s="18"/>
      <c r="H673" s="3"/>
      <c r="I673" s="19"/>
      <c r="J673" s="19"/>
      <c r="K673" s="3"/>
      <c r="L673" s="3"/>
      <c r="M673" s="20"/>
      <c r="N673" s="20"/>
      <c r="O673" s="20"/>
      <c r="P673" s="21"/>
      <c r="Q673" s="22"/>
      <c r="R673" s="22"/>
      <c r="S673" s="19"/>
      <c r="T673" s="19"/>
      <c r="U673" s="19"/>
      <c r="V673" s="19"/>
      <c r="W673" s="26"/>
      <c r="X673" s="28"/>
    </row>
    <row r="674">
      <c r="A674" s="15"/>
      <c r="B674" s="16"/>
      <c r="C674" s="15"/>
      <c r="D674" s="15"/>
      <c r="E674" s="15"/>
      <c r="F674" s="3"/>
      <c r="G674" s="18"/>
      <c r="H674" s="3"/>
      <c r="I674" s="19"/>
      <c r="J674" s="19"/>
      <c r="K674" s="3"/>
      <c r="L674" s="3"/>
      <c r="M674" s="20"/>
      <c r="N674" s="20"/>
      <c r="O674" s="20"/>
      <c r="P674" s="21"/>
      <c r="Q674" s="22"/>
      <c r="R674" s="22"/>
      <c r="S674" s="19"/>
      <c r="T674" s="19"/>
      <c r="U674" s="19"/>
      <c r="V674" s="19"/>
      <c r="W674" s="26"/>
      <c r="X674" s="28"/>
    </row>
    <row r="675">
      <c r="A675" s="15"/>
      <c r="B675" s="16"/>
      <c r="C675" s="15"/>
      <c r="D675" s="15"/>
      <c r="E675" s="15"/>
      <c r="F675" s="3"/>
      <c r="G675" s="18"/>
      <c r="H675" s="3"/>
      <c r="I675" s="19"/>
      <c r="J675" s="19"/>
      <c r="K675" s="3"/>
      <c r="L675" s="3"/>
      <c r="M675" s="20"/>
      <c r="N675" s="20"/>
      <c r="O675" s="20"/>
      <c r="P675" s="21"/>
      <c r="Q675" s="22"/>
      <c r="R675" s="22"/>
      <c r="S675" s="19"/>
      <c r="T675" s="19"/>
      <c r="U675" s="19"/>
      <c r="V675" s="19"/>
      <c r="W675" s="26"/>
      <c r="X675" s="28"/>
    </row>
    <row r="676">
      <c r="A676" s="15"/>
      <c r="B676" s="16"/>
      <c r="C676" s="15"/>
      <c r="D676" s="15"/>
      <c r="E676" s="15"/>
      <c r="F676" s="3"/>
      <c r="G676" s="18"/>
      <c r="H676" s="3"/>
      <c r="I676" s="19"/>
      <c r="J676" s="19"/>
      <c r="K676" s="3"/>
      <c r="L676" s="3"/>
      <c r="M676" s="20"/>
      <c r="N676" s="20"/>
      <c r="O676" s="20"/>
      <c r="P676" s="21"/>
      <c r="Q676" s="22"/>
      <c r="R676" s="22"/>
      <c r="S676" s="19"/>
      <c r="T676" s="19"/>
      <c r="U676" s="19"/>
      <c r="V676" s="19"/>
      <c r="W676" s="26"/>
      <c r="X676" s="28"/>
    </row>
    <row r="677">
      <c r="A677" s="15"/>
      <c r="B677" s="16"/>
      <c r="C677" s="15"/>
      <c r="D677" s="15"/>
      <c r="E677" s="15"/>
      <c r="F677" s="3"/>
      <c r="G677" s="18"/>
      <c r="H677" s="3"/>
      <c r="I677" s="19"/>
      <c r="J677" s="19"/>
      <c r="K677" s="3"/>
      <c r="L677" s="3"/>
      <c r="M677" s="20"/>
      <c r="N677" s="20"/>
      <c r="O677" s="20"/>
      <c r="P677" s="21"/>
      <c r="Q677" s="22"/>
      <c r="R677" s="22"/>
      <c r="S677" s="19"/>
      <c r="T677" s="19"/>
      <c r="U677" s="19"/>
      <c r="V677" s="19"/>
      <c r="W677" s="26"/>
      <c r="X677" s="28"/>
    </row>
    <row r="678">
      <c r="A678" s="15"/>
      <c r="B678" s="16"/>
      <c r="C678" s="15"/>
      <c r="D678" s="15"/>
      <c r="E678" s="15"/>
      <c r="F678" s="3"/>
      <c r="G678" s="18"/>
      <c r="H678" s="3"/>
      <c r="I678" s="19"/>
      <c r="J678" s="19"/>
      <c r="K678" s="3"/>
      <c r="L678" s="3"/>
      <c r="M678" s="20"/>
      <c r="N678" s="20"/>
      <c r="O678" s="20"/>
      <c r="P678" s="21"/>
      <c r="Q678" s="22"/>
      <c r="R678" s="22"/>
      <c r="S678" s="19"/>
      <c r="T678" s="19"/>
      <c r="U678" s="19"/>
      <c r="V678" s="19"/>
      <c r="W678" s="26"/>
      <c r="X678" s="28"/>
    </row>
    <row r="679">
      <c r="A679" s="15"/>
      <c r="B679" s="16"/>
      <c r="C679" s="15"/>
      <c r="D679" s="15"/>
      <c r="E679" s="15"/>
      <c r="F679" s="3"/>
      <c r="G679" s="18"/>
      <c r="H679" s="3"/>
      <c r="I679" s="19"/>
      <c r="J679" s="19"/>
      <c r="K679" s="3"/>
      <c r="L679" s="3"/>
      <c r="M679" s="20"/>
      <c r="N679" s="20"/>
      <c r="O679" s="20"/>
      <c r="P679" s="21"/>
      <c r="Q679" s="22"/>
      <c r="R679" s="22"/>
      <c r="S679" s="19"/>
      <c r="T679" s="19"/>
      <c r="U679" s="19"/>
      <c r="V679" s="19"/>
      <c r="W679" s="26"/>
      <c r="X679" s="28"/>
    </row>
    <row r="680">
      <c r="A680" s="15"/>
      <c r="B680" s="16"/>
      <c r="C680" s="15"/>
      <c r="D680" s="15"/>
      <c r="E680" s="15"/>
      <c r="F680" s="3"/>
      <c r="G680" s="18"/>
      <c r="H680" s="3"/>
      <c r="I680" s="19"/>
      <c r="J680" s="19"/>
      <c r="K680" s="3"/>
      <c r="L680" s="3"/>
      <c r="M680" s="20"/>
      <c r="N680" s="20"/>
      <c r="O680" s="20"/>
      <c r="P680" s="21"/>
      <c r="Q680" s="22"/>
      <c r="R680" s="22"/>
      <c r="S680" s="19"/>
      <c r="T680" s="19"/>
      <c r="U680" s="19"/>
      <c r="V680" s="19"/>
      <c r="W680" s="26"/>
      <c r="X680" s="28"/>
    </row>
    <row r="681">
      <c r="A681" s="15"/>
      <c r="B681" s="16"/>
      <c r="C681" s="15"/>
      <c r="D681" s="15"/>
      <c r="E681" s="15"/>
      <c r="F681" s="3"/>
      <c r="G681" s="18"/>
      <c r="H681" s="3"/>
      <c r="I681" s="19"/>
      <c r="J681" s="19"/>
      <c r="K681" s="3"/>
      <c r="L681" s="3"/>
      <c r="M681" s="20"/>
      <c r="N681" s="20"/>
      <c r="O681" s="20"/>
      <c r="P681" s="21"/>
      <c r="Q681" s="22"/>
      <c r="R681" s="22"/>
      <c r="S681" s="19"/>
      <c r="T681" s="19"/>
      <c r="U681" s="19"/>
      <c r="V681" s="19"/>
      <c r="W681" s="26"/>
      <c r="X681" s="28"/>
    </row>
    <row r="682">
      <c r="A682" s="15"/>
      <c r="B682" s="16"/>
      <c r="C682" s="15"/>
      <c r="D682" s="15"/>
      <c r="E682" s="15"/>
      <c r="F682" s="3"/>
      <c r="G682" s="18"/>
      <c r="H682" s="3"/>
      <c r="I682" s="19"/>
      <c r="J682" s="19"/>
      <c r="K682" s="3"/>
      <c r="L682" s="3"/>
      <c r="M682" s="20"/>
      <c r="N682" s="20"/>
      <c r="O682" s="20"/>
      <c r="P682" s="21"/>
      <c r="Q682" s="22"/>
      <c r="R682" s="22"/>
      <c r="S682" s="19"/>
      <c r="T682" s="19"/>
      <c r="U682" s="19"/>
      <c r="V682" s="19"/>
      <c r="W682" s="26"/>
      <c r="X682" s="28"/>
    </row>
    <row r="683">
      <c r="A683" s="15"/>
      <c r="B683" s="16"/>
      <c r="C683" s="15"/>
      <c r="D683" s="15"/>
      <c r="E683" s="15"/>
      <c r="F683" s="3"/>
      <c r="G683" s="18"/>
      <c r="H683" s="3"/>
      <c r="I683" s="19"/>
      <c r="J683" s="19"/>
      <c r="K683" s="3"/>
      <c r="L683" s="3"/>
      <c r="M683" s="20"/>
      <c r="N683" s="20"/>
      <c r="O683" s="20"/>
      <c r="P683" s="21"/>
      <c r="Q683" s="22"/>
      <c r="R683" s="22"/>
      <c r="S683" s="19"/>
      <c r="T683" s="19"/>
      <c r="U683" s="19"/>
      <c r="V683" s="19"/>
      <c r="W683" s="26"/>
      <c r="X683" s="28"/>
    </row>
    <row r="684">
      <c r="A684" s="15"/>
      <c r="B684" s="16"/>
      <c r="C684" s="15"/>
      <c r="D684" s="15"/>
      <c r="E684" s="15"/>
      <c r="F684" s="3"/>
      <c r="G684" s="18"/>
      <c r="H684" s="3"/>
      <c r="I684" s="19"/>
      <c r="J684" s="19"/>
      <c r="K684" s="3"/>
      <c r="L684" s="3"/>
      <c r="M684" s="20"/>
      <c r="N684" s="20"/>
      <c r="O684" s="20"/>
      <c r="P684" s="21"/>
      <c r="Q684" s="22"/>
      <c r="R684" s="22"/>
      <c r="S684" s="19"/>
      <c r="T684" s="19"/>
      <c r="U684" s="19"/>
      <c r="V684" s="19"/>
      <c r="W684" s="26"/>
      <c r="X684" s="28"/>
    </row>
    <row r="685">
      <c r="A685" s="15"/>
      <c r="B685" s="16"/>
      <c r="C685" s="15"/>
      <c r="D685" s="15"/>
      <c r="E685" s="15"/>
      <c r="F685" s="3"/>
      <c r="G685" s="18"/>
      <c r="H685" s="3"/>
      <c r="I685" s="19"/>
      <c r="J685" s="19"/>
      <c r="K685" s="3"/>
      <c r="L685" s="3"/>
      <c r="M685" s="20"/>
      <c r="N685" s="20"/>
      <c r="O685" s="20"/>
      <c r="P685" s="21"/>
      <c r="Q685" s="22"/>
      <c r="R685" s="22"/>
      <c r="S685" s="19"/>
      <c r="T685" s="19"/>
      <c r="U685" s="19"/>
      <c r="V685" s="19"/>
      <c r="W685" s="26"/>
      <c r="X685" s="28"/>
    </row>
    <row r="686">
      <c r="A686" s="15"/>
      <c r="B686" s="16"/>
      <c r="C686" s="15"/>
      <c r="D686" s="15"/>
      <c r="E686" s="15"/>
      <c r="F686" s="3"/>
      <c r="G686" s="18"/>
      <c r="H686" s="3"/>
      <c r="I686" s="19"/>
      <c r="J686" s="19"/>
      <c r="K686" s="3"/>
      <c r="L686" s="3"/>
      <c r="M686" s="20"/>
      <c r="N686" s="20"/>
      <c r="O686" s="20"/>
      <c r="P686" s="21"/>
      <c r="Q686" s="22"/>
      <c r="R686" s="22"/>
      <c r="S686" s="19"/>
      <c r="T686" s="19"/>
      <c r="U686" s="19"/>
      <c r="V686" s="19"/>
      <c r="W686" s="26"/>
      <c r="X686" s="28"/>
    </row>
    <row r="687">
      <c r="A687" s="15"/>
      <c r="B687" s="16"/>
      <c r="C687" s="15"/>
      <c r="D687" s="15"/>
      <c r="E687" s="15"/>
      <c r="F687" s="3"/>
      <c r="G687" s="18"/>
      <c r="H687" s="3"/>
      <c r="I687" s="19"/>
      <c r="J687" s="19"/>
      <c r="K687" s="3"/>
      <c r="L687" s="3"/>
      <c r="M687" s="20"/>
      <c r="N687" s="20"/>
      <c r="O687" s="20"/>
      <c r="P687" s="21"/>
      <c r="Q687" s="22"/>
      <c r="R687" s="22"/>
      <c r="S687" s="19"/>
      <c r="T687" s="19"/>
      <c r="U687" s="19"/>
      <c r="V687" s="19"/>
      <c r="W687" s="26"/>
      <c r="X687" s="28"/>
    </row>
    <row r="688">
      <c r="A688" s="15"/>
      <c r="B688" s="16"/>
      <c r="C688" s="15"/>
      <c r="D688" s="15"/>
      <c r="E688" s="15"/>
      <c r="F688" s="3"/>
      <c r="G688" s="18"/>
      <c r="H688" s="3"/>
      <c r="I688" s="19"/>
      <c r="J688" s="19"/>
      <c r="K688" s="3"/>
      <c r="L688" s="3"/>
      <c r="M688" s="20"/>
      <c r="N688" s="20"/>
      <c r="O688" s="20"/>
      <c r="P688" s="21"/>
      <c r="Q688" s="22"/>
      <c r="R688" s="22"/>
      <c r="S688" s="19"/>
      <c r="T688" s="19"/>
      <c r="U688" s="19"/>
      <c r="V688" s="19"/>
      <c r="W688" s="26"/>
      <c r="X688" s="28"/>
    </row>
    <row r="689">
      <c r="A689" s="15"/>
      <c r="B689" s="16"/>
      <c r="C689" s="15"/>
      <c r="D689" s="15"/>
      <c r="E689" s="15"/>
      <c r="F689" s="3"/>
      <c r="G689" s="18"/>
      <c r="H689" s="3"/>
      <c r="I689" s="19"/>
      <c r="J689" s="19"/>
      <c r="K689" s="3"/>
      <c r="L689" s="3"/>
      <c r="M689" s="20"/>
      <c r="N689" s="20"/>
      <c r="O689" s="20"/>
      <c r="P689" s="21"/>
      <c r="Q689" s="22"/>
      <c r="R689" s="22"/>
      <c r="S689" s="19"/>
      <c r="T689" s="19"/>
      <c r="U689" s="19"/>
      <c r="V689" s="19"/>
      <c r="W689" s="26"/>
      <c r="X689" s="28"/>
    </row>
    <row r="690">
      <c r="A690" s="15"/>
      <c r="B690" s="16"/>
      <c r="C690" s="15"/>
      <c r="D690" s="15"/>
      <c r="E690" s="15"/>
      <c r="F690" s="3"/>
      <c r="G690" s="18"/>
      <c r="H690" s="3"/>
      <c r="I690" s="19"/>
      <c r="J690" s="19"/>
      <c r="K690" s="3"/>
      <c r="L690" s="3"/>
      <c r="M690" s="20"/>
      <c r="N690" s="20"/>
      <c r="O690" s="20"/>
      <c r="P690" s="21"/>
      <c r="Q690" s="22"/>
      <c r="R690" s="22"/>
      <c r="S690" s="19"/>
      <c r="T690" s="19"/>
      <c r="U690" s="19"/>
      <c r="V690" s="19"/>
      <c r="W690" s="26"/>
      <c r="X690" s="28"/>
    </row>
    <row r="691">
      <c r="A691" s="15"/>
      <c r="B691" s="16"/>
      <c r="C691" s="15"/>
      <c r="D691" s="15"/>
      <c r="E691" s="15"/>
      <c r="F691" s="3"/>
      <c r="G691" s="18"/>
      <c r="H691" s="3"/>
      <c r="I691" s="19"/>
      <c r="J691" s="19"/>
      <c r="K691" s="3"/>
      <c r="L691" s="3"/>
      <c r="M691" s="20"/>
      <c r="N691" s="20"/>
      <c r="O691" s="20"/>
      <c r="P691" s="21"/>
      <c r="Q691" s="22"/>
      <c r="R691" s="22"/>
      <c r="S691" s="19"/>
      <c r="T691" s="19"/>
      <c r="U691" s="19"/>
      <c r="V691" s="19"/>
      <c r="W691" s="26"/>
      <c r="X691" s="28"/>
    </row>
    <row r="692">
      <c r="A692" s="15"/>
      <c r="B692" s="16"/>
      <c r="C692" s="15"/>
      <c r="D692" s="15"/>
      <c r="E692" s="15"/>
      <c r="F692" s="3"/>
      <c r="G692" s="18"/>
      <c r="H692" s="3"/>
      <c r="I692" s="19"/>
      <c r="J692" s="19"/>
      <c r="K692" s="3"/>
      <c r="L692" s="3"/>
      <c r="M692" s="20"/>
      <c r="N692" s="20"/>
      <c r="O692" s="20"/>
      <c r="P692" s="21"/>
      <c r="Q692" s="22"/>
      <c r="R692" s="22"/>
      <c r="S692" s="19"/>
      <c r="T692" s="19"/>
      <c r="U692" s="19"/>
      <c r="V692" s="19"/>
      <c r="W692" s="26"/>
      <c r="X692" s="28"/>
    </row>
    <row r="693">
      <c r="A693" s="15"/>
      <c r="B693" s="16"/>
      <c r="C693" s="15"/>
      <c r="D693" s="15"/>
      <c r="E693" s="15"/>
      <c r="F693" s="3"/>
      <c r="G693" s="18"/>
      <c r="H693" s="3"/>
      <c r="I693" s="19"/>
      <c r="J693" s="19"/>
      <c r="K693" s="3"/>
      <c r="L693" s="3"/>
      <c r="M693" s="20"/>
      <c r="N693" s="20"/>
      <c r="O693" s="20"/>
      <c r="P693" s="21"/>
      <c r="Q693" s="22"/>
      <c r="R693" s="22"/>
      <c r="S693" s="19"/>
      <c r="T693" s="19"/>
      <c r="U693" s="19"/>
      <c r="V693" s="19"/>
      <c r="W693" s="26"/>
      <c r="X693" s="28"/>
    </row>
    <row r="694">
      <c r="A694" s="15"/>
      <c r="B694" s="16"/>
      <c r="C694" s="15"/>
      <c r="D694" s="15"/>
      <c r="E694" s="15"/>
      <c r="F694" s="3"/>
      <c r="G694" s="18"/>
      <c r="H694" s="3"/>
      <c r="I694" s="19"/>
      <c r="J694" s="19"/>
      <c r="K694" s="3"/>
      <c r="L694" s="3"/>
      <c r="M694" s="20"/>
      <c r="N694" s="20"/>
      <c r="O694" s="20"/>
      <c r="P694" s="21"/>
      <c r="Q694" s="22"/>
      <c r="R694" s="22"/>
      <c r="S694" s="19"/>
      <c r="T694" s="19"/>
      <c r="U694" s="19"/>
      <c r="V694" s="19"/>
      <c r="W694" s="26"/>
      <c r="X694" s="28"/>
    </row>
    <row r="695">
      <c r="A695" s="15"/>
      <c r="B695" s="16"/>
      <c r="C695" s="15"/>
      <c r="D695" s="15"/>
      <c r="E695" s="15"/>
      <c r="F695" s="3"/>
      <c r="G695" s="18"/>
      <c r="H695" s="3"/>
      <c r="I695" s="19"/>
      <c r="J695" s="19"/>
      <c r="K695" s="3"/>
      <c r="L695" s="3"/>
      <c r="M695" s="20"/>
      <c r="N695" s="20"/>
      <c r="O695" s="20"/>
      <c r="P695" s="21"/>
      <c r="Q695" s="22"/>
      <c r="R695" s="22"/>
      <c r="S695" s="19"/>
      <c r="T695" s="19"/>
      <c r="U695" s="19"/>
      <c r="V695" s="19"/>
      <c r="W695" s="26"/>
      <c r="X695" s="28"/>
    </row>
    <row r="696">
      <c r="A696" s="15"/>
      <c r="B696" s="16"/>
      <c r="C696" s="15"/>
      <c r="D696" s="15"/>
      <c r="E696" s="15"/>
      <c r="F696" s="3"/>
      <c r="G696" s="18"/>
      <c r="H696" s="3"/>
      <c r="I696" s="19"/>
      <c r="J696" s="19"/>
      <c r="K696" s="3"/>
      <c r="L696" s="3"/>
      <c r="M696" s="20"/>
      <c r="N696" s="20"/>
      <c r="O696" s="20"/>
      <c r="P696" s="21"/>
      <c r="Q696" s="22"/>
      <c r="R696" s="22"/>
      <c r="S696" s="19"/>
      <c r="T696" s="19"/>
      <c r="U696" s="19"/>
      <c r="V696" s="19"/>
      <c r="W696" s="26"/>
      <c r="X696" s="28"/>
    </row>
    <row r="697">
      <c r="A697" s="15"/>
      <c r="B697" s="16"/>
      <c r="C697" s="15"/>
      <c r="D697" s="15"/>
      <c r="E697" s="15"/>
      <c r="F697" s="3"/>
      <c r="G697" s="18"/>
      <c r="H697" s="3"/>
      <c r="I697" s="19"/>
      <c r="J697" s="19"/>
      <c r="K697" s="3"/>
      <c r="L697" s="3"/>
      <c r="M697" s="20"/>
      <c r="N697" s="20"/>
      <c r="O697" s="20"/>
      <c r="P697" s="21"/>
      <c r="Q697" s="22"/>
      <c r="R697" s="22"/>
      <c r="S697" s="19"/>
      <c r="T697" s="19"/>
      <c r="U697" s="19"/>
      <c r="V697" s="19"/>
      <c r="W697" s="26"/>
      <c r="X697" s="28"/>
    </row>
    <row r="698">
      <c r="A698" s="15"/>
      <c r="B698" s="16"/>
      <c r="C698" s="15"/>
      <c r="D698" s="15"/>
      <c r="E698" s="15"/>
      <c r="F698" s="3"/>
      <c r="G698" s="18"/>
      <c r="H698" s="3"/>
      <c r="I698" s="19"/>
      <c r="J698" s="19"/>
      <c r="K698" s="3"/>
      <c r="L698" s="3"/>
      <c r="M698" s="20"/>
      <c r="N698" s="20"/>
      <c r="O698" s="20"/>
      <c r="P698" s="21"/>
      <c r="Q698" s="22"/>
      <c r="R698" s="22"/>
      <c r="S698" s="19"/>
      <c r="T698" s="19"/>
      <c r="U698" s="19"/>
      <c r="V698" s="19"/>
      <c r="W698" s="26"/>
      <c r="X698" s="28"/>
    </row>
    <row r="699">
      <c r="A699" s="15"/>
      <c r="B699" s="16"/>
      <c r="C699" s="15"/>
      <c r="D699" s="15"/>
      <c r="E699" s="15"/>
      <c r="F699" s="3"/>
      <c r="G699" s="18"/>
      <c r="H699" s="3"/>
      <c r="I699" s="19"/>
      <c r="J699" s="19"/>
      <c r="K699" s="3"/>
      <c r="L699" s="3"/>
      <c r="M699" s="20"/>
      <c r="N699" s="20"/>
      <c r="O699" s="20"/>
      <c r="P699" s="21"/>
      <c r="Q699" s="22"/>
      <c r="R699" s="22"/>
      <c r="S699" s="19"/>
      <c r="T699" s="19"/>
      <c r="U699" s="19"/>
      <c r="V699" s="19"/>
      <c r="W699" s="26"/>
      <c r="X699" s="28"/>
    </row>
    <row r="700">
      <c r="A700" s="15"/>
      <c r="B700" s="16"/>
      <c r="C700" s="15"/>
      <c r="D700" s="15"/>
      <c r="E700" s="15"/>
      <c r="F700" s="3"/>
      <c r="G700" s="18"/>
      <c r="H700" s="3"/>
      <c r="I700" s="19"/>
      <c r="J700" s="19"/>
      <c r="K700" s="3"/>
      <c r="L700" s="3"/>
      <c r="M700" s="20"/>
      <c r="N700" s="20"/>
      <c r="O700" s="20"/>
      <c r="P700" s="21"/>
      <c r="Q700" s="22"/>
      <c r="R700" s="22"/>
      <c r="S700" s="19"/>
      <c r="T700" s="19"/>
      <c r="U700" s="19"/>
      <c r="V700" s="19"/>
      <c r="W700" s="26"/>
      <c r="X700" s="28"/>
    </row>
    <row r="701">
      <c r="A701" s="15"/>
      <c r="B701" s="16"/>
      <c r="C701" s="15"/>
      <c r="D701" s="15"/>
      <c r="E701" s="15"/>
      <c r="F701" s="3"/>
      <c r="G701" s="18"/>
      <c r="H701" s="3"/>
      <c r="I701" s="19"/>
      <c r="J701" s="19"/>
      <c r="K701" s="3"/>
      <c r="L701" s="3"/>
      <c r="M701" s="20"/>
      <c r="N701" s="20"/>
      <c r="O701" s="20"/>
      <c r="P701" s="21"/>
      <c r="Q701" s="22"/>
      <c r="R701" s="22"/>
      <c r="S701" s="19"/>
      <c r="T701" s="19"/>
      <c r="U701" s="19"/>
      <c r="V701" s="19"/>
      <c r="W701" s="26"/>
      <c r="X701" s="28"/>
    </row>
    <row r="702">
      <c r="A702" s="15"/>
      <c r="B702" s="16"/>
      <c r="C702" s="15"/>
      <c r="D702" s="15"/>
      <c r="E702" s="15"/>
      <c r="F702" s="3"/>
      <c r="G702" s="18"/>
      <c r="H702" s="3"/>
      <c r="I702" s="19"/>
      <c r="J702" s="19"/>
      <c r="K702" s="3"/>
      <c r="L702" s="3"/>
      <c r="M702" s="20"/>
      <c r="N702" s="20"/>
      <c r="O702" s="20"/>
      <c r="P702" s="21"/>
      <c r="Q702" s="22"/>
      <c r="R702" s="22"/>
      <c r="S702" s="19"/>
      <c r="T702" s="19"/>
      <c r="U702" s="19"/>
      <c r="V702" s="19"/>
      <c r="W702" s="26"/>
      <c r="X702" s="28"/>
    </row>
    <row r="703">
      <c r="A703" s="15"/>
      <c r="B703" s="16"/>
      <c r="C703" s="15"/>
      <c r="D703" s="15"/>
      <c r="E703" s="15"/>
      <c r="F703" s="3"/>
      <c r="G703" s="18"/>
      <c r="H703" s="3"/>
      <c r="I703" s="19"/>
      <c r="J703" s="19"/>
      <c r="K703" s="3"/>
      <c r="L703" s="3"/>
      <c r="M703" s="20"/>
      <c r="N703" s="20"/>
      <c r="O703" s="20"/>
      <c r="P703" s="21"/>
      <c r="Q703" s="22"/>
      <c r="R703" s="22"/>
      <c r="S703" s="19"/>
      <c r="T703" s="19"/>
      <c r="U703" s="19"/>
      <c r="V703" s="19"/>
      <c r="W703" s="26"/>
      <c r="X703" s="28"/>
    </row>
    <row r="704">
      <c r="A704" s="15"/>
      <c r="B704" s="16"/>
      <c r="C704" s="15"/>
      <c r="D704" s="15"/>
      <c r="E704" s="15"/>
      <c r="F704" s="3"/>
      <c r="G704" s="18"/>
      <c r="H704" s="3"/>
      <c r="I704" s="19"/>
      <c r="J704" s="19"/>
      <c r="K704" s="3"/>
      <c r="L704" s="3"/>
      <c r="M704" s="20"/>
      <c r="N704" s="20"/>
      <c r="O704" s="20"/>
      <c r="P704" s="21"/>
      <c r="Q704" s="22"/>
      <c r="R704" s="22"/>
      <c r="S704" s="19"/>
      <c r="T704" s="19"/>
      <c r="U704" s="19"/>
      <c r="V704" s="19"/>
      <c r="W704" s="26"/>
      <c r="X704" s="28"/>
    </row>
    <row r="705">
      <c r="A705" s="15"/>
      <c r="B705" s="16"/>
      <c r="C705" s="15"/>
      <c r="D705" s="15"/>
      <c r="E705" s="15"/>
      <c r="F705" s="3"/>
      <c r="G705" s="18"/>
      <c r="H705" s="3"/>
      <c r="I705" s="19"/>
      <c r="J705" s="19"/>
      <c r="K705" s="3"/>
      <c r="L705" s="3"/>
      <c r="M705" s="20"/>
      <c r="N705" s="20"/>
      <c r="O705" s="20"/>
      <c r="P705" s="21"/>
      <c r="Q705" s="22"/>
      <c r="R705" s="22"/>
      <c r="S705" s="19"/>
      <c r="T705" s="19"/>
      <c r="U705" s="19"/>
      <c r="V705" s="19"/>
      <c r="W705" s="26"/>
      <c r="X705" s="28"/>
    </row>
    <row r="706">
      <c r="A706" s="15"/>
      <c r="B706" s="16"/>
      <c r="C706" s="15"/>
      <c r="D706" s="15"/>
      <c r="E706" s="15"/>
      <c r="F706" s="3"/>
      <c r="G706" s="18"/>
      <c r="H706" s="3"/>
      <c r="I706" s="19"/>
      <c r="J706" s="19"/>
      <c r="K706" s="3"/>
      <c r="L706" s="3"/>
      <c r="M706" s="20"/>
      <c r="N706" s="20"/>
      <c r="O706" s="20"/>
      <c r="P706" s="21"/>
      <c r="Q706" s="22"/>
      <c r="R706" s="22"/>
      <c r="S706" s="19"/>
      <c r="T706" s="19"/>
      <c r="U706" s="19"/>
      <c r="V706" s="19"/>
      <c r="W706" s="26"/>
      <c r="X706" s="28"/>
    </row>
    <row r="707">
      <c r="A707" s="15"/>
      <c r="B707" s="16"/>
      <c r="C707" s="15"/>
      <c r="D707" s="15"/>
      <c r="E707" s="15"/>
      <c r="F707" s="3"/>
      <c r="G707" s="18"/>
      <c r="H707" s="3"/>
      <c r="I707" s="19"/>
      <c r="J707" s="19"/>
      <c r="K707" s="3"/>
      <c r="L707" s="3"/>
      <c r="M707" s="20"/>
      <c r="N707" s="20"/>
      <c r="O707" s="20"/>
      <c r="P707" s="21"/>
      <c r="Q707" s="22"/>
      <c r="R707" s="22"/>
      <c r="S707" s="19"/>
      <c r="T707" s="19"/>
      <c r="U707" s="19"/>
      <c r="V707" s="19"/>
      <c r="W707" s="26"/>
      <c r="X707" s="28"/>
    </row>
    <row r="708">
      <c r="A708" s="15"/>
      <c r="B708" s="16"/>
      <c r="C708" s="15"/>
      <c r="D708" s="15"/>
      <c r="E708" s="15"/>
      <c r="F708" s="3"/>
      <c r="G708" s="18"/>
      <c r="H708" s="3"/>
      <c r="I708" s="19"/>
      <c r="J708" s="19"/>
      <c r="K708" s="3"/>
      <c r="L708" s="3"/>
      <c r="M708" s="20"/>
      <c r="N708" s="20"/>
      <c r="O708" s="20"/>
      <c r="P708" s="21"/>
      <c r="Q708" s="22"/>
      <c r="R708" s="22"/>
      <c r="S708" s="19"/>
      <c r="T708" s="19"/>
      <c r="U708" s="19"/>
      <c r="V708" s="19"/>
      <c r="W708" s="26"/>
      <c r="X708" s="28"/>
    </row>
    <row r="709">
      <c r="A709" s="15"/>
      <c r="B709" s="16"/>
      <c r="C709" s="15"/>
      <c r="D709" s="15"/>
      <c r="E709" s="15"/>
      <c r="F709" s="3"/>
      <c r="G709" s="18"/>
      <c r="H709" s="3"/>
      <c r="I709" s="19"/>
      <c r="J709" s="19"/>
      <c r="K709" s="3"/>
      <c r="L709" s="3"/>
      <c r="M709" s="20"/>
      <c r="N709" s="20"/>
      <c r="O709" s="20"/>
      <c r="P709" s="21"/>
      <c r="Q709" s="22"/>
      <c r="R709" s="22"/>
      <c r="S709" s="19"/>
      <c r="T709" s="19"/>
      <c r="U709" s="19"/>
      <c r="V709" s="19"/>
      <c r="W709" s="26"/>
      <c r="X709" s="28"/>
    </row>
    <row r="710">
      <c r="A710" s="15"/>
      <c r="B710" s="16"/>
      <c r="C710" s="15"/>
      <c r="D710" s="15"/>
      <c r="E710" s="15"/>
      <c r="F710" s="3"/>
      <c r="G710" s="18"/>
      <c r="H710" s="3"/>
      <c r="I710" s="19"/>
      <c r="J710" s="19"/>
      <c r="K710" s="3"/>
      <c r="L710" s="3"/>
      <c r="M710" s="20"/>
      <c r="N710" s="20"/>
      <c r="O710" s="20"/>
      <c r="P710" s="21"/>
      <c r="Q710" s="22"/>
      <c r="R710" s="22"/>
      <c r="S710" s="19"/>
      <c r="T710" s="19"/>
      <c r="U710" s="19"/>
      <c r="V710" s="19"/>
      <c r="W710" s="26"/>
      <c r="X710" s="28"/>
    </row>
    <row r="711">
      <c r="A711" s="15"/>
      <c r="B711" s="16"/>
      <c r="C711" s="15"/>
      <c r="D711" s="15"/>
      <c r="E711" s="15"/>
      <c r="F711" s="3"/>
      <c r="G711" s="18"/>
      <c r="H711" s="3"/>
      <c r="I711" s="19"/>
      <c r="J711" s="19"/>
      <c r="K711" s="3"/>
      <c r="L711" s="3"/>
      <c r="M711" s="20"/>
      <c r="N711" s="20"/>
      <c r="O711" s="20"/>
      <c r="P711" s="21"/>
      <c r="Q711" s="22"/>
      <c r="R711" s="22"/>
      <c r="S711" s="19"/>
      <c r="T711" s="19"/>
      <c r="U711" s="19"/>
      <c r="V711" s="19"/>
      <c r="W711" s="26"/>
      <c r="X711" s="28"/>
    </row>
    <row r="712">
      <c r="A712" s="15"/>
      <c r="B712" s="16"/>
      <c r="C712" s="15"/>
      <c r="D712" s="15"/>
      <c r="E712" s="15"/>
      <c r="F712" s="3"/>
      <c r="G712" s="18"/>
      <c r="H712" s="3"/>
      <c r="I712" s="19"/>
      <c r="J712" s="19"/>
      <c r="K712" s="3"/>
      <c r="L712" s="3"/>
      <c r="M712" s="20"/>
      <c r="N712" s="20"/>
      <c r="O712" s="20"/>
      <c r="P712" s="21"/>
      <c r="Q712" s="22"/>
      <c r="R712" s="22"/>
      <c r="S712" s="19"/>
      <c r="T712" s="19"/>
      <c r="U712" s="19"/>
      <c r="V712" s="19"/>
      <c r="W712" s="26"/>
      <c r="X712" s="28"/>
    </row>
    <row r="713">
      <c r="A713" s="15"/>
      <c r="B713" s="16"/>
      <c r="C713" s="15"/>
      <c r="D713" s="15"/>
      <c r="E713" s="15"/>
      <c r="F713" s="3"/>
      <c r="G713" s="18"/>
      <c r="H713" s="3"/>
      <c r="I713" s="19"/>
      <c r="J713" s="19"/>
      <c r="K713" s="3"/>
      <c r="L713" s="3"/>
      <c r="M713" s="20"/>
      <c r="N713" s="20"/>
      <c r="O713" s="20"/>
      <c r="P713" s="21"/>
      <c r="Q713" s="22"/>
      <c r="R713" s="22"/>
      <c r="S713" s="19"/>
      <c r="T713" s="19"/>
      <c r="U713" s="19"/>
      <c r="V713" s="19"/>
      <c r="W713" s="26"/>
      <c r="X713" s="28"/>
    </row>
    <row r="714">
      <c r="A714" s="15"/>
      <c r="B714" s="16"/>
      <c r="C714" s="15"/>
      <c r="D714" s="15"/>
      <c r="E714" s="15"/>
      <c r="F714" s="3"/>
      <c r="G714" s="18"/>
      <c r="H714" s="3"/>
      <c r="I714" s="19"/>
      <c r="J714" s="19"/>
      <c r="K714" s="3"/>
      <c r="L714" s="3"/>
      <c r="M714" s="20"/>
      <c r="N714" s="20"/>
      <c r="O714" s="20"/>
      <c r="P714" s="21"/>
      <c r="Q714" s="22"/>
      <c r="R714" s="22"/>
      <c r="S714" s="19"/>
      <c r="T714" s="19"/>
      <c r="U714" s="19"/>
      <c r="V714" s="19"/>
      <c r="W714" s="26"/>
      <c r="X714" s="28"/>
    </row>
    <row r="715">
      <c r="A715" s="15"/>
      <c r="B715" s="16"/>
      <c r="C715" s="15"/>
      <c r="D715" s="15"/>
      <c r="E715" s="15"/>
      <c r="F715" s="3"/>
      <c r="G715" s="18"/>
      <c r="H715" s="3"/>
      <c r="I715" s="19"/>
      <c r="J715" s="19"/>
      <c r="K715" s="3"/>
      <c r="L715" s="3"/>
      <c r="M715" s="20"/>
      <c r="N715" s="20"/>
      <c r="O715" s="20"/>
      <c r="P715" s="21"/>
      <c r="Q715" s="22"/>
      <c r="R715" s="22"/>
      <c r="S715" s="19"/>
      <c r="T715" s="19"/>
      <c r="U715" s="19"/>
      <c r="V715" s="19"/>
      <c r="W715" s="26"/>
      <c r="X715" s="28"/>
    </row>
    <row r="716">
      <c r="A716" s="15"/>
      <c r="B716" s="16"/>
      <c r="C716" s="15"/>
      <c r="D716" s="15"/>
      <c r="E716" s="15"/>
      <c r="F716" s="3"/>
      <c r="G716" s="18"/>
      <c r="H716" s="3"/>
      <c r="I716" s="19"/>
      <c r="J716" s="19"/>
      <c r="K716" s="3"/>
      <c r="L716" s="3"/>
      <c r="M716" s="20"/>
      <c r="N716" s="20"/>
      <c r="O716" s="20"/>
      <c r="P716" s="21"/>
      <c r="Q716" s="22"/>
      <c r="R716" s="22"/>
      <c r="S716" s="19"/>
      <c r="T716" s="19"/>
      <c r="U716" s="19"/>
      <c r="V716" s="19"/>
      <c r="W716" s="26"/>
      <c r="X716" s="28"/>
    </row>
    <row r="717">
      <c r="A717" s="15"/>
      <c r="B717" s="16"/>
      <c r="C717" s="15"/>
      <c r="D717" s="15"/>
      <c r="E717" s="15"/>
      <c r="F717" s="3"/>
      <c r="G717" s="18"/>
      <c r="H717" s="3"/>
      <c r="I717" s="19"/>
      <c r="J717" s="19"/>
      <c r="K717" s="3"/>
      <c r="L717" s="3"/>
      <c r="M717" s="20"/>
      <c r="N717" s="20"/>
      <c r="O717" s="20"/>
      <c r="P717" s="21"/>
      <c r="Q717" s="22"/>
      <c r="R717" s="22"/>
      <c r="S717" s="19"/>
      <c r="T717" s="19"/>
      <c r="U717" s="19"/>
      <c r="V717" s="19"/>
      <c r="W717" s="26"/>
      <c r="X717" s="28"/>
    </row>
    <row r="718">
      <c r="A718" s="15"/>
      <c r="B718" s="16"/>
      <c r="C718" s="15"/>
      <c r="D718" s="15"/>
      <c r="E718" s="15"/>
      <c r="F718" s="3"/>
      <c r="G718" s="18"/>
      <c r="H718" s="3"/>
      <c r="I718" s="19"/>
      <c r="J718" s="19"/>
      <c r="K718" s="3"/>
      <c r="L718" s="3"/>
      <c r="M718" s="20"/>
      <c r="N718" s="20"/>
      <c r="O718" s="20"/>
      <c r="P718" s="21"/>
      <c r="Q718" s="22"/>
      <c r="R718" s="22"/>
      <c r="S718" s="19"/>
      <c r="T718" s="19"/>
      <c r="U718" s="19"/>
      <c r="V718" s="19"/>
      <c r="W718" s="26"/>
      <c r="X718" s="28"/>
    </row>
    <row r="719">
      <c r="A719" s="15"/>
      <c r="B719" s="16"/>
      <c r="C719" s="15"/>
      <c r="D719" s="15"/>
      <c r="E719" s="15"/>
      <c r="F719" s="3"/>
      <c r="G719" s="18"/>
      <c r="H719" s="3"/>
      <c r="I719" s="19"/>
      <c r="J719" s="19"/>
      <c r="K719" s="3"/>
      <c r="L719" s="3"/>
      <c r="M719" s="20"/>
      <c r="N719" s="20"/>
      <c r="O719" s="20"/>
      <c r="P719" s="21"/>
      <c r="Q719" s="22"/>
      <c r="R719" s="22"/>
      <c r="S719" s="19"/>
      <c r="T719" s="19"/>
      <c r="U719" s="19"/>
      <c r="V719" s="19"/>
      <c r="W719" s="26"/>
      <c r="X719" s="28"/>
    </row>
    <row r="720">
      <c r="A720" s="15"/>
      <c r="B720" s="16"/>
      <c r="C720" s="15"/>
      <c r="D720" s="15"/>
      <c r="E720" s="15"/>
      <c r="F720" s="3"/>
      <c r="G720" s="18"/>
      <c r="H720" s="3"/>
      <c r="I720" s="19"/>
      <c r="J720" s="19"/>
      <c r="K720" s="3"/>
      <c r="L720" s="3"/>
      <c r="M720" s="20"/>
      <c r="N720" s="20"/>
      <c r="O720" s="20"/>
      <c r="P720" s="21"/>
      <c r="Q720" s="22"/>
      <c r="R720" s="22"/>
      <c r="S720" s="19"/>
      <c r="T720" s="19"/>
      <c r="U720" s="19"/>
      <c r="V720" s="19"/>
      <c r="W720" s="26"/>
      <c r="X720" s="28"/>
    </row>
    <row r="721">
      <c r="A721" s="15"/>
      <c r="B721" s="16"/>
      <c r="C721" s="15"/>
      <c r="D721" s="15"/>
      <c r="E721" s="15"/>
      <c r="F721" s="3"/>
      <c r="G721" s="18"/>
      <c r="H721" s="3"/>
      <c r="I721" s="19"/>
      <c r="J721" s="19"/>
      <c r="K721" s="3"/>
      <c r="L721" s="3"/>
      <c r="M721" s="20"/>
      <c r="N721" s="20"/>
      <c r="O721" s="20"/>
      <c r="P721" s="21"/>
      <c r="Q721" s="22"/>
      <c r="R721" s="22"/>
      <c r="S721" s="19"/>
      <c r="T721" s="19"/>
      <c r="U721" s="19"/>
      <c r="V721" s="19"/>
      <c r="W721" s="26"/>
      <c r="X721" s="28"/>
    </row>
    <row r="722">
      <c r="A722" s="15"/>
      <c r="B722" s="16"/>
      <c r="C722" s="15"/>
      <c r="D722" s="15"/>
      <c r="E722" s="15"/>
      <c r="F722" s="3"/>
      <c r="G722" s="18"/>
      <c r="H722" s="3"/>
      <c r="I722" s="19"/>
      <c r="J722" s="19"/>
      <c r="K722" s="3"/>
      <c r="L722" s="3"/>
      <c r="M722" s="20"/>
      <c r="N722" s="20"/>
      <c r="O722" s="20"/>
      <c r="P722" s="21"/>
      <c r="Q722" s="22"/>
      <c r="R722" s="22"/>
      <c r="S722" s="19"/>
      <c r="T722" s="19"/>
      <c r="U722" s="19"/>
      <c r="V722" s="19"/>
      <c r="W722" s="26"/>
      <c r="X722" s="28"/>
    </row>
    <row r="723">
      <c r="A723" s="15"/>
      <c r="B723" s="16"/>
      <c r="C723" s="15"/>
      <c r="D723" s="15"/>
      <c r="E723" s="15"/>
      <c r="F723" s="3"/>
      <c r="G723" s="18"/>
      <c r="H723" s="3"/>
      <c r="I723" s="19"/>
      <c r="J723" s="19"/>
      <c r="K723" s="3"/>
      <c r="L723" s="3"/>
      <c r="M723" s="20"/>
      <c r="N723" s="20"/>
      <c r="O723" s="20"/>
      <c r="P723" s="21"/>
      <c r="Q723" s="22"/>
      <c r="R723" s="22"/>
      <c r="S723" s="19"/>
      <c r="T723" s="19"/>
      <c r="U723" s="19"/>
      <c r="V723" s="19"/>
      <c r="W723" s="26"/>
      <c r="X723" s="28"/>
    </row>
    <row r="724">
      <c r="A724" s="15"/>
      <c r="B724" s="16"/>
      <c r="C724" s="15"/>
      <c r="D724" s="15"/>
      <c r="E724" s="15"/>
      <c r="F724" s="3"/>
      <c r="G724" s="18"/>
      <c r="H724" s="3"/>
      <c r="I724" s="19"/>
      <c r="J724" s="19"/>
      <c r="K724" s="3"/>
      <c r="L724" s="3"/>
      <c r="M724" s="20"/>
      <c r="N724" s="20"/>
      <c r="O724" s="20"/>
      <c r="P724" s="21"/>
      <c r="Q724" s="22"/>
      <c r="R724" s="22"/>
      <c r="S724" s="19"/>
      <c r="T724" s="19"/>
      <c r="U724" s="19"/>
      <c r="V724" s="19"/>
      <c r="W724" s="26"/>
      <c r="X724" s="28"/>
    </row>
    <row r="725">
      <c r="A725" s="15"/>
      <c r="B725" s="16"/>
      <c r="C725" s="15"/>
      <c r="D725" s="15"/>
      <c r="E725" s="15"/>
      <c r="F725" s="3"/>
      <c r="G725" s="18"/>
      <c r="H725" s="3"/>
      <c r="I725" s="19"/>
      <c r="J725" s="19"/>
      <c r="K725" s="3"/>
      <c r="L725" s="3"/>
      <c r="M725" s="20"/>
      <c r="N725" s="20"/>
      <c r="O725" s="20"/>
      <c r="P725" s="21"/>
      <c r="Q725" s="22"/>
      <c r="R725" s="22"/>
      <c r="S725" s="19"/>
      <c r="T725" s="19"/>
      <c r="U725" s="19"/>
      <c r="V725" s="19"/>
      <c r="W725" s="26"/>
      <c r="X725" s="28"/>
    </row>
    <row r="726">
      <c r="A726" s="15"/>
      <c r="B726" s="16"/>
      <c r="C726" s="15"/>
      <c r="D726" s="15"/>
      <c r="E726" s="15"/>
      <c r="F726" s="3"/>
      <c r="G726" s="18"/>
      <c r="H726" s="3"/>
      <c r="I726" s="19"/>
      <c r="J726" s="19"/>
      <c r="K726" s="3"/>
      <c r="L726" s="3"/>
      <c r="M726" s="20"/>
      <c r="N726" s="20"/>
      <c r="O726" s="20"/>
      <c r="P726" s="21"/>
      <c r="Q726" s="22"/>
      <c r="R726" s="22"/>
      <c r="S726" s="19"/>
      <c r="T726" s="19"/>
      <c r="U726" s="19"/>
      <c r="V726" s="19"/>
      <c r="W726" s="26"/>
      <c r="X726" s="28"/>
    </row>
    <row r="727">
      <c r="A727" s="15"/>
      <c r="B727" s="16"/>
      <c r="C727" s="15"/>
      <c r="D727" s="15"/>
      <c r="E727" s="15"/>
      <c r="F727" s="3"/>
      <c r="G727" s="18"/>
      <c r="H727" s="3"/>
      <c r="I727" s="19"/>
      <c r="J727" s="19"/>
      <c r="K727" s="3"/>
      <c r="L727" s="3"/>
      <c r="M727" s="20"/>
      <c r="N727" s="20"/>
      <c r="O727" s="20"/>
      <c r="P727" s="21"/>
      <c r="Q727" s="22"/>
      <c r="R727" s="22"/>
      <c r="S727" s="19"/>
      <c r="T727" s="19"/>
      <c r="U727" s="19"/>
      <c r="V727" s="19"/>
      <c r="W727" s="26"/>
      <c r="X727" s="28"/>
    </row>
    <row r="728">
      <c r="A728" s="15"/>
      <c r="B728" s="16"/>
      <c r="C728" s="15"/>
      <c r="D728" s="15"/>
      <c r="E728" s="15"/>
      <c r="F728" s="3"/>
      <c r="G728" s="18"/>
      <c r="H728" s="3"/>
      <c r="I728" s="19"/>
      <c r="J728" s="19"/>
      <c r="K728" s="3"/>
      <c r="L728" s="3"/>
      <c r="M728" s="20"/>
      <c r="N728" s="20"/>
      <c r="O728" s="20"/>
      <c r="P728" s="21"/>
      <c r="Q728" s="22"/>
      <c r="R728" s="22"/>
      <c r="S728" s="19"/>
      <c r="T728" s="19"/>
      <c r="U728" s="19"/>
      <c r="V728" s="19"/>
      <c r="W728" s="26"/>
      <c r="X728" s="28"/>
    </row>
    <row r="729">
      <c r="A729" s="15"/>
      <c r="B729" s="16"/>
      <c r="C729" s="15"/>
      <c r="D729" s="15"/>
      <c r="E729" s="15"/>
      <c r="F729" s="3"/>
      <c r="G729" s="18"/>
      <c r="H729" s="3"/>
      <c r="I729" s="19"/>
      <c r="J729" s="19"/>
      <c r="K729" s="3"/>
      <c r="L729" s="3"/>
      <c r="M729" s="20"/>
      <c r="N729" s="20"/>
      <c r="O729" s="20"/>
      <c r="P729" s="21"/>
      <c r="Q729" s="22"/>
      <c r="R729" s="22"/>
      <c r="S729" s="19"/>
      <c r="T729" s="19"/>
      <c r="U729" s="19"/>
      <c r="V729" s="19"/>
      <c r="W729" s="26"/>
      <c r="X729" s="28"/>
    </row>
    <row r="730">
      <c r="A730" s="15"/>
      <c r="B730" s="16"/>
      <c r="C730" s="15"/>
      <c r="D730" s="15"/>
      <c r="E730" s="15"/>
      <c r="F730" s="3"/>
      <c r="G730" s="18"/>
      <c r="H730" s="3"/>
      <c r="I730" s="19"/>
      <c r="J730" s="19"/>
      <c r="K730" s="3"/>
      <c r="L730" s="3"/>
      <c r="M730" s="20"/>
      <c r="N730" s="20"/>
      <c r="O730" s="20"/>
      <c r="P730" s="21"/>
      <c r="Q730" s="22"/>
      <c r="R730" s="22"/>
      <c r="S730" s="19"/>
      <c r="T730" s="19"/>
      <c r="U730" s="19"/>
      <c r="V730" s="19"/>
      <c r="W730" s="26"/>
      <c r="X730" s="28"/>
    </row>
    <row r="731">
      <c r="A731" s="15"/>
      <c r="B731" s="16"/>
      <c r="C731" s="15"/>
      <c r="D731" s="15"/>
      <c r="E731" s="15"/>
      <c r="F731" s="3"/>
      <c r="G731" s="18"/>
      <c r="H731" s="3"/>
      <c r="I731" s="19"/>
      <c r="J731" s="19"/>
      <c r="K731" s="3"/>
      <c r="L731" s="3"/>
      <c r="M731" s="20"/>
      <c r="N731" s="20"/>
      <c r="O731" s="20"/>
      <c r="P731" s="21"/>
      <c r="Q731" s="22"/>
      <c r="R731" s="22"/>
      <c r="S731" s="19"/>
      <c r="T731" s="19"/>
      <c r="U731" s="19"/>
      <c r="V731" s="19"/>
      <c r="W731" s="26"/>
      <c r="X731" s="28"/>
    </row>
    <row r="732">
      <c r="A732" s="15"/>
      <c r="B732" s="16"/>
      <c r="C732" s="15"/>
      <c r="D732" s="15"/>
      <c r="E732" s="15"/>
      <c r="F732" s="3"/>
      <c r="G732" s="18"/>
      <c r="H732" s="3"/>
      <c r="I732" s="19"/>
      <c r="J732" s="19"/>
      <c r="K732" s="3"/>
      <c r="L732" s="3"/>
      <c r="M732" s="20"/>
      <c r="N732" s="20"/>
      <c r="O732" s="20"/>
      <c r="P732" s="21"/>
      <c r="Q732" s="22"/>
      <c r="R732" s="22"/>
      <c r="S732" s="19"/>
      <c r="T732" s="19"/>
      <c r="U732" s="19"/>
      <c r="V732" s="19"/>
      <c r="W732" s="26"/>
      <c r="X732" s="28"/>
    </row>
    <row r="733">
      <c r="A733" s="15"/>
      <c r="B733" s="16"/>
      <c r="C733" s="15"/>
      <c r="D733" s="15"/>
      <c r="E733" s="15"/>
      <c r="F733" s="3"/>
      <c r="G733" s="18"/>
      <c r="H733" s="3"/>
      <c r="I733" s="19"/>
      <c r="J733" s="19"/>
      <c r="K733" s="3"/>
      <c r="L733" s="3"/>
      <c r="M733" s="20"/>
      <c r="N733" s="20"/>
      <c r="O733" s="20"/>
      <c r="P733" s="21"/>
      <c r="Q733" s="22"/>
      <c r="R733" s="22"/>
      <c r="S733" s="19"/>
      <c r="T733" s="19"/>
      <c r="U733" s="19"/>
      <c r="V733" s="19"/>
      <c r="W733" s="26"/>
      <c r="X733" s="28"/>
    </row>
    <row r="734">
      <c r="A734" s="15"/>
      <c r="B734" s="16"/>
      <c r="C734" s="15"/>
      <c r="D734" s="15"/>
      <c r="E734" s="15"/>
      <c r="F734" s="3"/>
      <c r="G734" s="18"/>
      <c r="H734" s="3"/>
      <c r="I734" s="19"/>
      <c r="J734" s="19"/>
      <c r="K734" s="3"/>
      <c r="L734" s="3"/>
      <c r="M734" s="20"/>
      <c r="N734" s="20"/>
      <c r="O734" s="20"/>
      <c r="P734" s="21"/>
      <c r="Q734" s="22"/>
      <c r="R734" s="22"/>
      <c r="S734" s="19"/>
      <c r="T734" s="19"/>
      <c r="U734" s="19"/>
      <c r="V734" s="19"/>
      <c r="W734" s="26"/>
      <c r="X734" s="28"/>
    </row>
    <row r="735">
      <c r="A735" s="15"/>
      <c r="B735" s="16"/>
      <c r="C735" s="15"/>
      <c r="D735" s="15"/>
      <c r="E735" s="15"/>
      <c r="F735" s="3"/>
      <c r="G735" s="18"/>
      <c r="H735" s="3"/>
      <c r="I735" s="19"/>
      <c r="J735" s="19"/>
      <c r="K735" s="3"/>
      <c r="L735" s="3"/>
      <c r="M735" s="20"/>
      <c r="N735" s="20"/>
      <c r="O735" s="20"/>
      <c r="P735" s="21"/>
      <c r="Q735" s="22"/>
      <c r="R735" s="22"/>
      <c r="S735" s="19"/>
      <c r="T735" s="19"/>
      <c r="U735" s="19"/>
      <c r="V735" s="19"/>
      <c r="W735" s="26"/>
      <c r="X735" s="28"/>
    </row>
    <row r="736">
      <c r="A736" s="15"/>
      <c r="B736" s="16"/>
      <c r="C736" s="15"/>
      <c r="D736" s="15"/>
      <c r="E736" s="15"/>
      <c r="F736" s="3"/>
      <c r="G736" s="18"/>
      <c r="H736" s="3"/>
      <c r="I736" s="19"/>
      <c r="J736" s="19"/>
      <c r="K736" s="3"/>
      <c r="L736" s="3"/>
      <c r="M736" s="20"/>
      <c r="N736" s="20"/>
      <c r="O736" s="20"/>
      <c r="P736" s="21"/>
      <c r="Q736" s="22"/>
      <c r="R736" s="22"/>
      <c r="S736" s="19"/>
      <c r="T736" s="19"/>
      <c r="U736" s="19"/>
      <c r="V736" s="19"/>
      <c r="W736" s="26"/>
      <c r="X736" s="28"/>
    </row>
    <row r="737">
      <c r="A737" s="15"/>
      <c r="B737" s="16"/>
      <c r="C737" s="15"/>
      <c r="D737" s="15"/>
      <c r="E737" s="15"/>
      <c r="F737" s="3"/>
      <c r="G737" s="18"/>
      <c r="H737" s="3"/>
      <c r="I737" s="19"/>
      <c r="J737" s="19"/>
      <c r="K737" s="3"/>
      <c r="L737" s="3"/>
      <c r="M737" s="20"/>
      <c r="N737" s="20"/>
      <c r="O737" s="20"/>
      <c r="P737" s="21"/>
      <c r="Q737" s="22"/>
      <c r="R737" s="22"/>
      <c r="S737" s="19"/>
      <c r="T737" s="19"/>
      <c r="U737" s="19"/>
      <c r="V737" s="19"/>
      <c r="W737" s="26"/>
      <c r="X737" s="28"/>
    </row>
    <row r="738">
      <c r="A738" s="15"/>
      <c r="B738" s="16"/>
      <c r="C738" s="15"/>
      <c r="D738" s="15"/>
      <c r="E738" s="15"/>
      <c r="F738" s="3"/>
      <c r="G738" s="18"/>
      <c r="H738" s="3"/>
      <c r="I738" s="19"/>
      <c r="J738" s="19"/>
      <c r="K738" s="3"/>
      <c r="L738" s="3"/>
      <c r="M738" s="20"/>
      <c r="N738" s="20"/>
      <c r="O738" s="20"/>
      <c r="P738" s="21"/>
      <c r="Q738" s="22"/>
      <c r="R738" s="22"/>
      <c r="S738" s="19"/>
      <c r="T738" s="19"/>
      <c r="U738" s="19"/>
      <c r="V738" s="19"/>
      <c r="W738" s="26"/>
      <c r="X738" s="28"/>
    </row>
    <row r="739">
      <c r="A739" s="15"/>
      <c r="B739" s="16"/>
      <c r="C739" s="15"/>
      <c r="D739" s="15"/>
      <c r="E739" s="15"/>
      <c r="F739" s="3"/>
      <c r="G739" s="18"/>
      <c r="H739" s="3"/>
      <c r="I739" s="19"/>
      <c r="J739" s="19"/>
      <c r="K739" s="3"/>
      <c r="L739" s="3"/>
      <c r="M739" s="20"/>
      <c r="N739" s="20"/>
      <c r="O739" s="20"/>
      <c r="P739" s="21"/>
      <c r="Q739" s="22"/>
      <c r="R739" s="22"/>
      <c r="S739" s="19"/>
      <c r="T739" s="19"/>
      <c r="U739" s="19"/>
      <c r="V739" s="19"/>
      <c r="W739" s="26"/>
      <c r="X739" s="28"/>
    </row>
    <row r="740">
      <c r="A740" s="15"/>
      <c r="B740" s="16"/>
      <c r="C740" s="15"/>
      <c r="D740" s="15"/>
      <c r="E740" s="15"/>
      <c r="F740" s="3"/>
      <c r="G740" s="18"/>
      <c r="H740" s="3"/>
      <c r="I740" s="19"/>
      <c r="J740" s="19"/>
      <c r="K740" s="3"/>
      <c r="L740" s="3"/>
      <c r="M740" s="20"/>
      <c r="N740" s="20"/>
      <c r="O740" s="20"/>
      <c r="P740" s="21"/>
      <c r="Q740" s="22"/>
      <c r="R740" s="22"/>
      <c r="S740" s="19"/>
      <c r="T740" s="19"/>
      <c r="U740" s="19"/>
      <c r="V740" s="19"/>
      <c r="W740" s="26"/>
      <c r="X740" s="28"/>
    </row>
    <row r="741">
      <c r="A741" s="15"/>
      <c r="B741" s="16"/>
      <c r="C741" s="15"/>
      <c r="D741" s="15"/>
      <c r="E741" s="15"/>
      <c r="F741" s="3"/>
      <c r="G741" s="18"/>
      <c r="H741" s="3"/>
      <c r="I741" s="19"/>
      <c r="J741" s="19"/>
      <c r="K741" s="3"/>
      <c r="L741" s="3"/>
      <c r="M741" s="20"/>
      <c r="N741" s="20"/>
      <c r="O741" s="20"/>
      <c r="P741" s="21"/>
      <c r="Q741" s="22"/>
      <c r="R741" s="22"/>
      <c r="S741" s="19"/>
      <c r="T741" s="19"/>
      <c r="U741" s="19"/>
      <c r="V741" s="19"/>
      <c r="W741" s="26"/>
      <c r="X741" s="28"/>
    </row>
    <row r="742">
      <c r="A742" s="15"/>
      <c r="B742" s="16"/>
      <c r="C742" s="15"/>
      <c r="D742" s="15"/>
      <c r="E742" s="15"/>
      <c r="F742" s="3"/>
      <c r="G742" s="18"/>
      <c r="H742" s="3"/>
      <c r="I742" s="19"/>
      <c r="J742" s="19"/>
      <c r="K742" s="3"/>
      <c r="L742" s="3"/>
      <c r="M742" s="20"/>
      <c r="N742" s="20"/>
      <c r="O742" s="20"/>
      <c r="P742" s="21"/>
      <c r="Q742" s="22"/>
      <c r="R742" s="22"/>
      <c r="S742" s="19"/>
      <c r="T742" s="19"/>
      <c r="U742" s="19"/>
      <c r="V742" s="19"/>
      <c r="W742" s="26"/>
      <c r="X742" s="28"/>
    </row>
    <row r="743">
      <c r="A743" s="15"/>
      <c r="B743" s="16"/>
      <c r="C743" s="15"/>
      <c r="D743" s="15"/>
      <c r="E743" s="15"/>
      <c r="F743" s="3"/>
      <c r="G743" s="18"/>
      <c r="H743" s="3"/>
      <c r="I743" s="19"/>
      <c r="J743" s="19"/>
      <c r="K743" s="3"/>
      <c r="L743" s="3"/>
      <c r="M743" s="20"/>
      <c r="N743" s="20"/>
      <c r="O743" s="20"/>
      <c r="P743" s="21"/>
      <c r="Q743" s="22"/>
      <c r="R743" s="22"/>
      <c r="S743" s="19"/>
      <c r="T743" s="19"/>
      <c r="U743" s="19"/>
      <c r="V743" s="19"/>
      <c r="W743" s="26"/>
      <c r="X743" s="28"/>
    </row>
    <row r="744">
      <c r="A744" s="15"/>
      <c r="B744" s="16"/>
      <c r="C744" s="15"/>
      <c r="D744" s="15"/>
      <c r="E744" s="15"/>
      <c r="F744" s="3"/>
      <c r="G744" s="18"/>
      <c r="H744" s="3"/>
      <c r="I744" s="19"/>
      <c r="J744" s="19"/>
      <c r="K744" s="3"/>
      <c r="L744" s="3"/>
      <c r="M744" s="20"/>
      <c r="N744" s="20"/>
      <c r="O744" s="20"/>
      <c r="P744" s="21"/>
      <c r="Q744" s="22"/>
      <c r="R744" s="22"/>
      <c r="S744" s="19"/>
      <c r="T744" s="19"/>
      <c r="U744" s="19"/>
      <c r="V744" s="19"/>
      <c r="W744" s="26"/>
      <c r="X744" s="28"/>
    </row>
    <row r="745">
      <c r="A745" s="15"/>
      <c r="B745" s="16"/>
      <c r="C745" s="15"/>
      <c r="D745" s="15"/>
      <c r="E745" s="15"/>
      <c r="F745" s="3"/>
      <c r="G745" s="18"/>
      <c r="H745" s="3"/>
      <c r="I745" s="19"/>
      <c r="J745" s="19"/>
      <c r="K745" s="3"/>
      <c r="L745" s="3"/>
      <c r="M745" s="20"/>
      <c r="N745" s="20"/>
      <c r="O745" s="20"/>
      <c r="P745" s="21"/>
      <c r="Q745" s="22"/>
      <c r="R745" s="22"/>
      <c r="S745" s="19"/>
      <c r="T745" s="19"/>
      <c r="U745" s="19"/>
      <c r="V745" s="19"/>
      <c r="W745" s="26"/>
      <c r="X745" s="28"/>
    </row>
    <row r="746">
      <c r="A746" s="15"/>
      <c r="B746" s="16"/>
      <c r="C746" s="15"/>
      <c r="D746" s="15"/>
      <c r="E746" s="15"/>
      <c r="F746" s="3"/>
      <c r="G746" s="18"/>
      <c r="H746" s="3"/>
      <c r="I746" s="19"/>
      <c r="J746" s="19"/>
      <c r="K746" s="3"/>
      <c r="L746" s="3"/>
      <c r="M746" s="20"/>
      <c r="N746" s="20"/>
      <c r="O746" s="20"/>
      <c r="P746" s="21"/>
      <c r="Q746" s="22"/>
      <c r="R746" s="22"/>
      <c r="S746" s="19"/>
      <c r="T746" s="19"/>
      <c r="U746" s="19"/>
      <c r="V746" s="19"/>
      <c r="W746" s="26"/>
      <c r="X746" s="28"/>
    </row>
    <row r="747">
      <c r="A747" s="15"/>
      <c r="B747" s="16"/>
      <c r="C747" s="15"/>
      <c r="D747" s="15"/>
      <c r="E747" s="15"/>
      <c r="F747" s="3"/>
      <c r="G747" s="18"/>
      <c r="H747" s="3"/>
      <c r="I747" s="19"/>
      <c r="J747" s="19"/>
      <c r="K747" s="3"/>
      <c r="L747" s="3"/>
      <c r="M747" s="20"/>
      <c r="N747" s="20"/>
      <c r="O747" s="20"/>
      <c r="P747" s="21"/>
      <c r="Q747" s="22"/>
      <c r="R747" s="22"/>
      <c r="S747" s="19"/>
      <c r="T747" s="19"/>
      <c r="U747" s="19"/>
      <c r="V747" s="19"/>
      <c r="W747" s="26"/>
      <c r="X747" s="28"/>
    </row>
    <row r="748">
      <c r="A748" s="15"/>
      <c r="B748" s="16"/>
      <c r="C748" s="15"/>
      <c r="D748" s="15"/>
      <c r="E748" s="15"/>
      <c r="F748" s="3"/>
      <c r="G748" s="18"/>
      <c r="H748" s="3"/>
      <c r="I748" s="19"/>
      <c r="J748" s="19"/>
      <c r="K748" s="3"/>
      <c r="L748" s="3"/>
      <c r="M748" s="20"/>
      <c r="N748" s="20"/>
      <c r="O748" s="20"/>
      <c r="P748" s="21"/>
      <c r="Q748" s="22"/>
      <c r="R748" s="22"/>
      <c r="S748" s="19"/>
      <c r="T748" s="19"/>
      <c r="U748" s="19"/>
      <c r="V748" s="19"/>
      <c r="W748" s="26"/>
      <c r="X748" s="28"/>
    </row>
    <row r="749">
      <c r="A749" s="15"/>
      <c r="B749" s="16"/>
      <c r="C749" s="15"/>
      <c r="D749" s="15"/>
      <c r="E749" s="15"/>
      <c r="F749" s="3"/>
      <c r="G749" s="18"/>
      <c r="H749" s="3"/>
      <c r="I749" s="19"/>
      <c r="J749" s="19"/>
      <c r="K749" s="3"/>
      <c r="L749" s="3"/>
      <c r="M749" s="20"/>
      <c r="N749" s="20"/>
      <c r="O749" s="20"/>
      <c r="P749" s="21"/>
      <c r="Q749" s="22"/>
      <c r="R749" s="22"/>
      <c r="S749" s="19"/>
      <c r="T749" s="19"/>
      <c r="U749" s="19"/>
      <c r="V749" s="19"/>
      <c r="W749" s="26"/>
      <c r="X749" s="28"/>
    </row>
    <row r="750">
      <c r="A750" s="15"/>
      <c r="B750" s="16"/>
      <c r="C750" s="15"/>
      <c r="D750" s="15"/>
      <c r="E750" s="15"/>
      <c r="F750" s="3"/>
      <c r="G750" s="18"/>
      <c r="H750" s="3"/>
      <c r="I750" s="19"/>
      <c r="J750" s="19"/>
      <c r="K750" s="3"/>
      <c r="L750" s="3"/>
      <c r="M750" s="20"/>
      <c r="N750" s="20"/>
      <c r="O750" s="20"/>
      <c r="P750" s="21"/>
      <c r="Q750" s="22"/>
      <c r="R750" s="22"/>
      <c r="S750" s="19"/>
      <c r="T750" s="19"/>
      <c r="U750" s="19"/>
      <c r="V750" s="19"/>
      <c r="W750" s="26"/>
      <c r="X750" s="28"/>
    </row>
    <row r="751">
      <c r="A751" s="15"/>
      <c r="B751" s="16"/>
      <c r="C751" s="15"/>
      <c r="D751" s="15"/>
      <c r="E751" s="15"/>
      <c r="F751" s="3"/>
      <c r="G751" s="18"/>
      <c r="H751" s="3"/>
      <c r="I751" s="19"/>
      <c r="J751" s="19"/>
      <c r="K751" s="3"/>
      <c r="L751" s="3"/>
      <c r="M751" s="20"/>
      <c r="N751" s="20"/>
      <c r="O751" s="20"/>
      <c r="P751" s="21"/>
      <c r="Q751" s="22"/>
      <c r="R751" s="22"/>
      <c r="S751" s="19"/>
      <c r="T751" s="19"/>
      <c r="U751" s="19"/>
      <c r="V751" s="19"/>
      <c r="W751" s="26"/>
      <c r="X751" s="28"/>
    </row>
    <row r="752">
      <c r="A752" s="15"/>
      <c r="B752" s="16"/>
      <c r="C752" s="15"/>
      <c r="D752" s="15"/>
      <c r="E752" s="15"/>
      <c r="F752" s="3"/>
      <c r="G752" s="18"/>
      <c r="H752" s="3"/>
      <c r="I752" s="19"/>
      <c r="J752" s="19"/>
      <c r="K752" s="3"/>
      <c r="L752" s="3"/>
      <c r="M752" s="20"/>
      <c r="N752" s="20"/>
      <c r="O752" s="20"/>
      <c r="P752" s="21"/>
      <c r="Q752" s="22"/>
      <c r="R752" s="22"/>
      <c r="S752" s="19"/>
      <c r="T752" s="19"/>
      <c r="U752" s="19"/>
      <c r="V752" s="19"/>
      <c r="W752" s="26"/>
      <c r="X752" s="28"/>
    </row>
    <row r="753">
      <c r="A753" s="15"/>
      <c r="B753" s="16"/>
      <c r="C753" s="15"/>
      <c r="D753" s="15"/>
      <c r="E753" s="15"/>
      <c r="F753" s="3"/>
      <c r="G753" s="18"/>
      <c r="H753" s="3"/>
      <c r="I753" s="19"/>
      <c r="J753" s="19"/>
      <c r="K753" s="3"/>
      <c r="L753" s="3"/>
      <c r="M753" s="20"/>
      <c r="N753" s="20"/>
      <c r="O753" s="20"/>
      <c r="P753" s="21"/>
      <c r="Q753" s="22"/>
      <c r="R753" s="22"/>
      <c r="S753" s="19"/>
      <c r="T753" s="19"/>
      <c r="U753" s="19"/>
      <c r="V753" s="19"/>
      <c r="W753" s="26"/>
      <c r="X753" s="28"/>
    </row>
    <row r="754">
      <c r="A754" s="15"/>
      <c r="B754" s="16"/>
      <c r="C754" s="15"/>
      <c r="D754" s="15"/>
      <c r="E754" s="15"/>
      <c r="F754" s="3"/>
      <c r="G754" s="18"/>
      <c r="H754" s="3"/>
      <c r="I754" s="19"/>
      <c r="J754" s="19"/>
      <c r="K754" s="3"/>
      <c r="L754" s="3"/>
      <c r="M754" s="20"/>
      <c r="N754" s="20"/>
      <c r="O754" s="20"/>
      <c r="P754" s="21"/>
      <c r="Q754" s="22"/>
      <c r="R754" s="22"/>
      <c r="S754" s="19"/>
      <c r="T754" s="19"/>
      <c r="U754" s="19"/>
      <c r="V754" s="19"/>
      <c r="W754" s="26"/>
      <c r="X754" s="28"/>
    </row>
    <row r="755">
      <c r="A755" s="15"/>
      <c r="B755" s="16"/>
      <c r="C755" s="15"/>
      <c r="D755" s="15"/>
      <c r="E755" s="15"/>
      <c r="F755" s="3"/>
      <c r="G755" s="18"/>
      <c r="H755" s="3"/>
      <c r="I755" s="19"/>
      <c r="J755" s="19"/>
      <c r="K755" s="3"/>
      <c r="L755" s="3"/>
      <c r="M755" s="20"/>
      <c r="N755" s="20"/>
      <c r="O755" s="20"/>
      <c r="P755" s="21"/>
      <c r="Q755" s="22"/>
      <c r="R755" s="22"/>
      <c r="S755" s="19"/>
      <c r="T755" s="19"/>
      <c r="U755" s="19"/>
      <c r="V755" s="19"/>
      <c r="W755" s="26"/>
      <c r="X755" s="28"/>
    </row>
    <row r="756">
      <c r="A756" s="15"/>
      <c r="B756" s="16"/>
      <c r="C756" s="15"/>
      <c r="D756" s="15"/>
      <c r="E756" s="15"/>
      <c r="F756" s="3"/>
      <c r="G756" s="18"/>
      <c r="H756" s="3"/>
      <c r="I756" s="19"/>
      <c r="J756" s="19"/>
      <c r="K756" s="3"/>
      <c r="L756" s="3"/>
      <c r="M756" s="20"/>
      <c r="N756" s="20"/>
      <c r="O756" s="20"/>
      <c r="P756" s="21"/>
      <c r="Q756" s="22"/>
      <c r="R756" s="22"/>
      <c r="S756" s="19"/>
      <c r="T756" s="19"/>
      <c r="U756" s="19"/>
      <c r="V756" s="19"/>
      <c r="W756" s="26"/>
      <c r="X756" s="28"/>
    </row>
    <row r="757">
      <c r="A757" s="15"/>
      <c r="B757" s="16"/>
      <c r="C757" s="15"/>
      <c r="D757" s="15"/>
      <c r="E757" s="15"/>
      <c r="F757" s="3"/>
      <c r="G757" s="18"/>
      <c r="H757" s="3"/>
      <c r="I757" s="19"/>
      <c r="J757" s="19"/>
      <c r="K757" s="3"/>
      <c r="L757" s="3"/>
      <c r="M757" s="20"/>
      <c r="N757" s="20"/>
      <c r="O757" s="20"/>
      <c r="P757" s="21"/>
      <c r="Q757" s="22"/>
      <c r="R757" s="22"/>
      <c r="S757" s="19"/>
      <c r="T757" s="19"/>
      <c r="U757" s="19"/>
      <c r="V757" s="19"/>
      <c r="W757" s="26"/>
      <c r="X757" s="28"/>
    </row>
    <row r="758">
      <c r="A758" s="15"/>
      <c r="B758" s="16"/>
      <c r="C758" s="15"/>
      <c r="D758" s="15"/>
      <c r="E758" s="15"/>
      <c r="F758" s="3"/>
      <c r="G758" s="18"/>
      <c r="H758" s="3"/>
      <c r="I758" s="19"/>
      <c r="J758" s="19"/>
      <c r="K758" s="3"/>
      <c r="L758" s="3"/>
      <c r="M758" s="20"/>
      <c r="N758" s="20"/>
      <c r="O758" s="20"/>
      <c r="P758" s="21"/>
      <c r="Q758" s="22"/>
      <c r="R758" s="22"/>
      <c r="S758" s="19"/>
      <c r="T758" s="19"/>
      <c r="U758" s="19"/>
      <c r="V758" s="19"/>
      <c r="W758" s="26"/>
      <c r="X758" s="28"/>
    </row>
    <row r="759">
      <c r="A759" s="15"/>
      <c r="B759" s="16"/>
      <c r="C759" s="15"/>
      <c r="D759" s="15"/>
      <c r="E759" s="15"/>
      <c r="F759" s="3"/>
      <c r="G759" s="18"/>
      <c r="H759" s="3"/>
      <c r="I759" s="19"/>
      <c r="J759" s="19"/>
      <c r="K759" s="3"/>
      <c r="L759" s="3"/>
      <c r="M759" s="20"/>
      <c r="N759" s="20"/>
      <c r="O759" s="20"/>
      <c r="P759" s="21"/>
      <c r="Q759" s="22"/>
      <c r="R759" s="22"/>
      <c r="S759" s="19"/>
      <c r="T759" s="19"/>
      <c r="U759" s="19"/>
      <c r="V759" s="19"/>
      <c r="W759" s="26"/>
      <c r="X759" s="28"/>
    </row>
    <row r="760">
      <c r="A760" s="15"/>
      <c r="B760" s="16"/>
      <c r="C760" s="15"/>
      <c r="D760" s="15"/>
      <c r="E760" s="15"/>
      <c r="F760" s="3"/>
      <c r="G760" s="18"/>
      <c r="H760" s="3"/>
      <c r="I760" s="19"/>
      <c r="J760" s="19"/>
      <c r="K760" s="3"/>
      <c r="L760" s="3"/>
      <c r="M760" s="20"/>
      <c r="N760" s="20"/>
      <c r="O760" s="20"/>
      <c r="P760" s="21"/>
      <c r="Q760" s="22"/>
      <c r="R760" s="22"/>
      <c r="S760" s="19"/>
      <c r="T760" s="19"/>
      <c r="U760" s="19"/>
      <c r="V760" s="19"/>
      <c r="W760" s="26"/>
      <c r="X760" s="28"/>
    </row>
    <row r="761">
      <c r="A761" s="15"/>
      <c r="B761" s="16"/>
      <c r="C761" s="15"/>
      <c r="D761" s="15"/>
      <c r="E761" s="15"/>
      <c r="F761" s="3"/>
      <c r="G761" s="18"/>
      <c r="H761" s="3"/>
      <c r="I761" s="19"/>
      <c r="J761" s="19"/>
      <c r="K761" s="3"/>
      <c r="L761" s="3"/>
      <c r="M761" s="20"/>
      <c r="N761" s="20"/>
      <c r="O761" s="20"/>
      <c r="P761" s="21"/>
      <c r="Q761" s="22"/>
      <c r="R761" s="22"/>
      <c r="S761" s="19"/>
      <c r="T761" s="19"/>
      <c r="U761" s="19"/>
      <c r="V761" s="19"/>
      <c r="W761" s="26"/>
      <c r="X761" s="28"/>
    </row>
    <row r="762">
      <c r="A762" s="15"/>
      <c r="B762" s="16"/>
      <c r="C762" s="15"/>
      <c r="D762" s="15"/>
      <c r="E762" s="15"/>
      <c r="F762" s="3"/>
      <c r="G762" s="18"/>
      <c r="H762" s="3"/>
      <c r="I762" s="19"/>
      <c r="J762" s="19"/>
      <c r="K762" s="3"/>
      <c r="L762" s="3"/>
      <c r="M762" s="20"/>
      <c r="N762" s="20"/>
      <c r="O762" s="20"/>
      <c r="P762" s="21"/>
      <c r="Q762" s="22"/>
      <c r="R762" s="22"/>
      <c r="S762" s="19"/>
      <c r="T762" s="19"/>
      <c r="U762" s="19"/>
      <c r="V762" s="19"/>
      <c r="W762" s="26"/>
      <c r="X762" s="28"/>
    </row>
    <row r="763">
      <c r="A763" s="15"/>
      <c r="B763" s="16"/>
      <c r="C763" s="15"/>
      <c r="D763" s="15"/>
      <c r="E763" s="15"/>
      <c r="F763" s="3"/>
      <c r="G763" s="18"/>
      <c r="H763" s="3"/>
      <c r="I763" s="19"/>
      <c r="J763" s="19"/>
      <c r="K763" s="3"/>
      <c r="L763" s="3"/>
      <c r="M763" s="20"/>
      <c r="N763" s="20"/>
      <c r="O763" s="20"/>
      <c r="P763" s="21"/>
      <c r="Q763" s="22"/>
      <c r="R763" s="22"/>
      <c r="S763" s="19"/>
      <c r="T763" s="19"/>
      <c r="U763" s="19"/>
      <c r="V763" s="19"/>
      <c r="W763" s="26"/>
      <c r="X763" s="28"/>
    </row>
    <row r="764">
      <c r="A764" s="15"/>
      <c r="B764" s="16"/>
      <c r="C764" s="15"/>
      <c r="D764" s="15"/>
      <c r="E764" s="15"/>
      <c r="F764" s="3"/>
      <c r="G764" s="18"/>
      <c r="H764" s="3"/>
      <c r="I764" s="19"/>
      <c r="J764" s="19"/>
      <c r="K764" s="3"/>
      <c r="L764" s="3"/>
      <c r="M764" s="20"/>
      <c r="N764" s="20"/>
      <c r="O764" s="20"/>
      <c r="P764" s="21"/>
      <c r="Q764" s="22"/>
      <c r="R764" s="22"/>
      <c r="S764" s="19"/>
      <c r="T764" s="19"/>
      <c r="U764" s="19"/>
      <c r="V764" s="19"/>
      <c r="W764" s="26"/>
      <c r="X764" s="28"/>
    </row>
    <row r="765">
      <c r="A765" s="15"/>
      <c r="B765" s="16"/>
      <c r="C765" s="15"/>
      <c r="D765" s="15"/>
      <c r="E765" s="15"/>
      <c r="F765" s="3"/>
      <c r="G765" s="18"/>
      <c r="H765" s="3"/>
      <c r="I765" s="19"/>
      <c r="J765" s="19"/>
      <c r="K765" s="3"/>
      <c r="L765" s="3"/>
      <c r="M765" s="20"/>
      <c r="N765" s="20"/>
      <c r="O765" s="20"/>
      <c r="P765" s="21"/>
      <c r="Q765" s="22"/>
      <c r="R765" s="22"/>
      <c r="S765" s="19"/>
      <c r="T765" s="19"/>
      <c r="U765" s="19"/>
      <c r="V765" s="19"/>
      <c r="W765" s="26"/>
      <c r="X765" s="28"/>
    </row>
    <row r="766">
      <c r="A766" s="15"/>
      <c r="B766" s="16"/>
      <c r="C766" s="15"/>
      <c r="D766" s="15"/>
      <c r="E766" s="15"/>
      <c r="F766" s="3"/>
      <c r="G766" s="18"/>
      <c r="H766" s="3"/>
      <c r="I766" s="19"/>
      <c r="J766" s="19"/>
      <c r="K766" s="3"/>
      <c r="L766" s="3"/>
      <c r="M766" s="20"/>
      <c r="N766" s="20"/>
      <c r="O766" s="20"/>
      <c r="P766" s="21"/>
      <c r="Q766" s="22"/>
      <c r="R766" s="22"/>
      <c r="S766" s="19"/>
      <c r="T766" s="19"/>
      <c r="U766" s="19"/>
      <c r="V766" s="19"/>
      <c r="W766" s="26"/>
      <c r="X766" s="28"/>
    </row>
    <row r="767">
      <c r="A767" s="15"/>
      <c r="B767" s="16"/>
      <c r="C767" s="15"/>
      <c r="D767" s="15"/>
      <c r="E767" s="15"/>
      <c r="F767" s="3"/>
      <c r="G767" s="18"/>
      <c r="H767" s="3"/>
      <c r="I767" s="19"/>
      <c r="J767" s="19"/>
      <c r="K767" s="3"/>
      <c r="L767" s="3"/>
      <c r="M767" s="20"/>
      <c r="N767" s="20"/>
      <c r="O767" s="20"/>
      <c r="P767" s="21"/>
      <c r="Q767" s="22"/>
      <c r="R767" s="22"/>
      <c r="S767" s="19"/>
      <c r="T767" s="19"/>
      <c r="U767" s="19"/>
      <c r="V767" s="19"/>
      <c r="W767" s="26"/>
      <c r="X767" s="28"/>
    </row>
    <row r="768">
      <c r="A768" s="15"/>
      <c r="B768" s="16"/>
      <c r="C768" s="15"/>
      <c r="D768" s="15"/>
      <c r="E768" s="15"/>
      <c r="F768" s="3"/>
      <c r="G768" s="18"/>
      <c r="H768" s="3"/>
      <c r="I768" s="19"/>
      <c r="J768" s="19"/>
      <c r="K768" s="3"/>
      <c r="L768" s="3"/>
      <c r="M768" s="20"/>
      <c r="N768" s="20"/>
      <c r="O768" s="20"/>
      <c r="P768" s="21"/>
      <c r="Q768" s="22"/>
      <c r="R768" s="22"/>
      <c r="S768" s="19"/>
      <c r="T768" s="19"/>
      <c r="U768" s="19"/>
      <c r="V768" s="19"/>
      <c r="W768" s="26"/>
      <c r="X768" s="28"/>
    </row>
    <row r="769">
      <c r="A769" s="15"/>
      <c r="B769" s="16"/>
      <c r="C769" s="15"/>
      <c r="D769" s="15"/>
      <c r="E769" s="15"/>
      <c r="F769" s="3"/>
      <c r="G769" s="18"/>
      <c r="H769" s="3"/>
      <c r="I769" s="19"/>
      <c r="J769" s="19"/>
      <c r="K769" s="3"/>
      <c r="L769" s="3"/>
      <c r="M769" s="20"/>
      <c r="N769" s="20"/>
      <c r="O769" s="20"/>
      <c r="P769" s="21"/>
      <c r="Q769" s="22"/>
      <c r="R769" s="22"/>
      <c r="S769" s="19"/>
      <c r="T769" s="19"/>
      <c r="U769" s="19"/>
      <c r="V769" s="19"/>
      <c r="W769" s="26"/>
      <c r="X769" s="28"/>
    </row>
    <row r="770">
      <c r="A770" s="15"/>
      <c r="B770" s="16"/>
      <c r="C770" s="15"/>
      <c r="D770" s="15"/>
      <c r="E770" s="15"/>
      <c r="F770" s="3"/>
      <c r="G770" s="18"/>
      <c r="H770" s="3"/>
      <c r="I770" s="19"/>
      <c r="J770" s="19"/>
      <c r="K770" s="3"/>
      <c r="L770" s="3"/>
      <c r="M770" s="20"/>
      <c r="N770" s="20"/>
      <c r="O770" s="20"/>
      <c r="P770" s="21"/>
      <c r="Q770" s="22"/>
      <c r="R770" s="22"/>
      <c r="S770" s="19"/>
      <c r="T770" s="19"/>
      <c r="U770" s="19"/>
      <c r="V770" s="19"/>
      <c r="W770" s="26"/>
      <c r="X770" s="28"/>
    </row>
    <row r="771">
      <c r="A771" s="15"/>
      <c r="B771" s="16"/>
      <c r="C771" s="15"/>
      <c r="D771" s="15"/>
      <c r="E771" s="15"/>
      <c r="F771" s="3"/>
      <c r="G771" s="18"/>
      <c r="H771" s="3"/>
      <c r="I771" s="19"/>
      <c r="J771" s="19"/>
      <c r="K771" s="3"/>
      <c r="L771" s="3"/>
      <c r="M771" s="20"/>
      <c r="N771" s="20"/>
      <c r="O771" s="20"/>
      <c r="P771" s="21"/>
      <c r="Q771" s="22"/>
      <c r="R771" s="22"/>
      <c r="S771" s="19"/>
      <c r="T771" s="19"/>
      <c r="U771" s="19"/>
      <c r="V771" s="19"/>
      <c r="W771" s="26"/>
      <c r="X771" s="28"/>
    </row>
    <row r="772">
      <c r="A772" s="15"/>
      <c r="B772" s="16"/>
      <c r="C772" s="15"/>
      <c r="D772" s="15"/>
      <c r="E772" s="15"/>
      <c r="F772" s="3"/>
      <c r="G772" s="18"/>
      <c r="H772" s="3"/>
      <c r="I772" s="19"/>
      <c r="J772" s="19"/>
      <c r="K772" s="3"/>
      <c r="L772" s="3"/>
      <c r="M772" s="20"/>
      <c r="N772" s="20"/>
      <c r="O772" s="20"/>
      <c r="P772" s="21"/>
      <c r="Q772" s="22"/>
      <c r="R772" s="22"/>
      <c r="S772" s="19"/>
      <c r="T772" s="19"/>
      <c r="U772" s="19"/>
      <c r="V772" s="19"/>
      <c r="W772" s="26"/>
      <c r="X772" s="28"/>
    </row>
    <row r="773">
      <c r="A773" s="15"/>
      <c r="B773" s="16"/>
      <c r="C773" s="15"/>
      <c r="D773" s="15"/>
      <c r="E773" s="15"/>
      <c r="F773" s="3"/>
      <c r="G773" s="18"/>
      <c r="H773" s="3"/>
      <c r="I773" s="19"/>
      <c r="J773" s="19"/>
      <c r="K773" s="3"/>
      <c r="L773" s="3"/>
      <c r="M773" s="20"/>
      <c r="N773" s="20"/>
      <c r="O773" s="20"/>
      <c r="P773" s="21"/>
      <c r="Q773" s="22"/>
      <c r="R773" s="22"/>
      <c r="S773" s="19"/>
      <c r="T773" s="19"/>
      <c r="U773" s="19"/>
      <c r="V773" s="19"/>
      <c r="W773" s="26"/>
      <c r="X773" s="28"/>
    </row>
    <row r="774">
      <c r="A774" s="15"/>
      <c r="B774" s="16"/>
      <c r="C774" s="15"/>
      <c r="D774" s="15"/>
      <c r="E774" s="15"/>
      <c r="F774" s="3"/>
      <c r="G774" s="18"/>
      <c r="H774" s="3"/>
      <c r="I774" s="19"/>
      <c r="J774" s="19"/>
      <c r="K774" s="3"/>
      <c r="L774" s="3"/>
      <c r="M774" s="20"/>
      <c r="N774" s="20"/>
      <c r="O774" s="20"/>
      <c r="P774" s="21"/>
      <c r="Q774" s="22"/>
      <c r="R774" s="22"/>
      <c r="S774" s="19"/>
      <c r="T774" s="19"/>
      <c r="U774" s="19"/>
      <c r="V774" s="19"/>
      <c r="W774" s="26"/>
      <c r="X774" s="28"/>
    </row>
    <row r="775">
      <c r="A775" s="15"/>
      <c r="B775" s="16"/>
      <c r="C775" s="15"/>
      <c r="D775" s="15"/>
      <c r="E775" s="15"/>
      <c r="F775" s="3"/>
      <c r="G775" s="18"/>
      <c r="H775" s="3"/>
      <c r="I775" s="19"/>
      <c r="J775" s="19"/>
      <c r="K775" s="3"/>
      <c r="L775" s="3"/>
      <c r="M775" s="20"/>
      <c r="N775" s="20"/>
      <c r="O775" s="20"/>
      <c r="P775" s="21"/>
      <c r="Q775" s="22"/>
      <c r="R775" s="22"/>
      <c r="S775" s="19"/>
      <c r="T775" s="19"/>
      <c r="U775" s="19"/>
      <c r="V775" s="19"/>
      <c r="W775" s="26"/>
      <c r="X775" s="28"/>
    </row>
    <row r="776">
      <c r="A776" s="15"/>
      <c r="B776" s="16"/>
      <c r="C776" s="15"/>
      <c r="D776" s="15"/>
      <c r="E776" s="15"/>
      <c r="F776" s="3"/>
      <c r="G776" s="18"/>
      <c r="H776" s="3"/>
      <c r="I776" s="19"/>
      <c r="J776" s="19"/>
      <c r="K776" s="3"/>
      <c r="L776" s="3"/>
      <c r="M776" s="20"/>
      <c r="N776" s="20"/>
      <c r="O776" s="20"/>
      <c r="P776" s="21"/>
      <c r="Q776" s="22"/>
      <c r="R776" s="22"/>
      <c r="S776" s="19"/>
      <c r="T776" s="19"/>
      <c r="U776" s="19"/>
      <c r="V776" s="19"/>
      <c r="W776" s="26"/>
      <c r="X776" s="28"/>
    </row>
    <row r="777">
      <c r="A777" s="15"/>
      <c r="B777" s="16"/>
      <c r="C777" s="15"/>
      <c r="D777" s="15"/>
      <c r="E777" s="15"/>
      <c r="F777" s="3"/>
      <c r="G777" s="18"/>
      <c r="H777" s="3"/>
      <c r="I777" s="19"/>
      <c r="J777" s="19"/>
      <c r="K777" s="3"/>
      <c r="L777" s="3"/>
      <c r="M777" s="20"/>
      <c r="N777" s="20"/>
      <c r="O777" s="20"/>
      <c r="P777" s="21"/>
      <c r="Q777" s="22"/>
      <c r="R777" s="22"/>
      <c r="S777" s="19"/>
      <c r="T777" s="19"/>
      <c r="U777" s="19"/>
      <c r="V777" s="19"/>
      <c r="W777" s="26"/>
      <c r="X777" s="28"/>
    </row>
    <row r="778">
      <c r="A778" s="15"/>
      <c r="B778" s="16"/>
      <c r="C778" s="15"/>
      <c r="D778" s="15"/>
      <c r="E778" s="15"/>
      <c r="F778" s="3"/>
      <c r="G778" s="18"/>
      <c r="H778" s="3"/>
      <c r="I778" s="19"/>
      <c r="J778" s="19"/>
      <c r="K778" s="3"/>
      <c r="L778" s="3"/>
      <c r="M778" s="20"/>
      <c r="N778" s="20"/>
      <c r="O778" s="20"/>
      <c r="P778" s="21"/>
      <c r="Q778" s="22"/>
      <c r="R778" s="22"/>
      <c r="S778" s="19"/>
      <c r="T778" s="19"/>
      <c r="U778" s="19"/>
      <c r="V778" s="19"/>
      <c r="W778" s="26"/>
      <c r="X778" s="28"/>
    </row>
    <row r="779">
      <c r="A779" s="15"/>
      <c r="B779" s="16"/>
      <c r="C779" s="15"/>
      <c r="D779" s="15"/>
      <c r="E779" s="15"/>
      <c r="F779" s="3"/>
      <c r="G779" s="18"/>
      <c r="H779" s="3"/>
      <c r="I779" s="19"/>
      <c r="J779" s="19"/>
      <c r="K779" s="3"/>
      <c r="L779" s="3"/>
      <c r="M779" s="20"/>
      <c r="N779" s="20"/>
      <c r="O779" s="20"/>
      <c r="P779" s="21"/>
      <c r="Q779" s="22"/>
      <c r="R779" s="22"/>
      <c r="S779" s="19"/>
      <c r="T779" s="19"/>
      <c r="U779" s="19"/>
      <c r="V779" s="19"/>
      <c r="W779" s="26"/>
      <c r="X779" s="28"/>
    </row>
    <row r="780">
      <c r="A780" s="15"/>
      <c r="B780" s="16"/>
      <c r="C780" s="15"/>
      <c r="D780" s="15"/>
      <c r="E780" s="15"/>
      <c r="F780" s="3"/>
      <c r="G780" s="18"/>
      <c r="H780" s="3"/>
      <c r="I780" s="19"/>
      <c r="J780" s="19"/>
      <c r="K780" s="3"/>
      <c r="L780" s="3"/>
      <c r="M780" s="20"/>
      <c r="N780" s="20"/>
      <c r="O780" s="20"/>
      <c r="P780" s="21"/>
      <c r="Q780" s="22"/>
      <c r="R780" s="22"/>
      <c r="S780" s="19"/>
      <c r="T780" s="19"/>
      <c r="U780" s="19"/>
      <c r="V780" s="19"/>
      <c r="W780" s="26"/>
      <c r="X780" s="28"/>
    </row>
    <row r="781">
      <c r="A781" s="15"/>
      <c r="B781" s="16"/>
      <c r="C781" s="15"/>
      <c r="D781" s="15"/>
      <c r="E781" s="15"/>
      <c r="F781" s="3"/>
      <c r="G781" s="18"/>
      <c r="H781" s="3"/>
      <c r="I781" s="19"/>
      <c r="J781" s="19"/>
      <c r="K781" s="3"/>
      <c r="L781" s="3"/>
      <c r="M781" s="20"/>
      <c r="N781" s="20"/>
      <c r="O781" s="20"/>
      <c r="P781" s="21"/>
      <c r="Q781" s="22"/>
      <c r="R781" s="22"/>
      <c r="S781" s="19"/>
      <c r="T781" s="19"/>
      <c r="U781" s="19"/>
      <c r="V781" s="19"/>
      <c r="W781" s="26"/>
      <c r="X781" s="28"/>
    </row>
    <row r="782">
      <c r="A782" s="15"/>
      <c r="B782" s="16"/>
      <c r="C782" s="15"/>
      <c r="D782" s="15"/>
      <c r="E782" s="15"/>
      <c r="F782" s="3"/>
      <c r="G782" s="18"/>
      <c r="H782" s="3"/>
      <c r="I782" s="19"/>
      <c r="J782" s="19"/>
      <c r="K782" s="3"/>
      <c r="L782" s="3"/>
      <c r="M782" s="20"/>
      <c r="N782" s="20"/>
      <c r="O782" s="20"/>
      <c r="P782" s="21"/>
      <c r="Q782" s="22"/>
      <c r="R782" s="22"/>
      <c r="S782" s="19"/>
      <c r="T782" s="19"/>
      <c r="U782" s="19"/>
      <c r="V782" s="19"/>
      <c r="W782" s="26"/>
      <c r="X782" s="28"/>
    </row>
    <row r="783">
      <c r="A783" s="15"/>
      <c r="B783" s="16"/>
      <c r="C783" s="15"/>
      <c r="D783" s="15"/>
      <c r="E783" s="15"/>
      <c r="F783" s="3"/>
      <c r="G783" s="18"/>
      <c r="H783" s="3"/>
      <c r="I783" s="19"/>
      <c r="J783" s="19"/>
      <c r="K783" s="3"/>
      <c r="L783" s="3"/>
      <c r="M783" s="20"/>
      <c r="N783" s="20"/>
      <c r="O783" s="20"/>
      <c r="P783" s="21"/>
      <c r="Q783" s="22"/>
      <c r="R783" s="22"/>
      <c r="S783" s="19"/>
      <c r="T783" s="19"/>
      <c r="U783" s="19"/>
      <c r="V783" s="19"/>
      <c r="W783" s="26"/>
      <c r="X783" s="28"/>
    </row>
    <row r="784">
      <c r="A784" s="15"/>
      <c r="B784" s="16"/>
      <c r="C784" s="15"/>
      <c r="D784" s="15"/>
      <c r="E784" s="15"/>
      <c r="F784" s="3"/>
      <c r="G784" s="18"/>
      <c r="H784" s="3"/>
      <c r="I784" s="19"/>
      <c r="J784" s="19"/>
      <c r="K784" s="3"/>
      <c r="L784" s="3"/>
      <c r="M784" s="20"/>
      <c r="N784" s="20"/>
      <c r="O784" s="20"/>
      <c r="P784" s="21"/>
      <c r="Q784" s="22"/>
      <c r="R784" s="22"/>
      <c r="S784" s="19"/>
      <c r="T784" s="19"/>
      <c r="U784" s="19"/>
      <c r="V784" s="19"/>
      <c r="W784" s="26"/>
      <c r="X784" s="28"/>
    </row>
    <row r="785">
      <c r="A785" s="15"/>
      <c r="B785" s="16"/>
      <c r="C785" s="15"/>
      <c r="D785" s="15"/>
      <c r="E785" s="15"/>
      <c r="F785" s="3"/>
      <c r="G785" s="18"/>
      <c r="H785" s="3"/>
      <c r="I785" s="19"/>
      <c r="J785" s="19"/>
      <c r="K785" s="3"/>
      <c r="L785" s="3"/>
      <c r="M785" s="20"/>
      <c r="N785" s="20"/>
      <c r="O785" s="20"/>
      <c r="P785" s="21"/>
      <c r="Q785" s="22"/>
      <c r="R785" s="22"/>
      <c r="S785" s="19"/>
      <c r="T785" s="19"/>
      <c r="U785" s="19"/>
      <c r="V785" s="19"/>
      <c r="W785" s="26"/>
      <c r="X785" s="28"/>
    </row>
    <row r="786">
      <c r="A786" s="15"/>
      <c r="B786" s="16"/>
      <c r="C786" s="15"/>
      <c r="D786" s="15"/>
      <c r="E786" s="15"/>
      <c r="F786" s="3"/>
      <c r="G786" s="18"/>
      <c r="H786" s="3"/>
      <c r="I786" s="19"/>
      <c r="J786" s="19"/>
      <c r="K786" s="3"/>
      <c r="L786" s="3"/>
      <c r="M786" s="20"/>
      <c r="N786" s="20"/>
      <c r="O786" s="20"/>
      <c r="P786" s="21"/>
      <c r="Q786" s="22"/>
      <c r="R786" s="22"/>
      <c r="S786" s="19"/>
      <c r="T786" s="19"/>
      <c r="U786" s="19"/>
      <c r="V786" s="19"/>
      <c r="W786" s="26"/>
      <c r="X786" s="28"/>
    </row>
    <row r="787">
      <c r="A787" s="15"/>
      <c r="B787" s="16"/>
      <c r="C787" s="15"/>
      <c r="D787" s="15"/>
      <c r="E787" s="15"/>
      <c r="F787" s="3"/>
      <c r="G787" s="18"/>
      <c r="H787" s="3"/>
      <c r="I787" s="19"/>
      <c r="J787" s="19"/>
      <c r="K787" s="3"/>
      <c r="L787" s="3"/>
      <c r="M787" s="20"/>
      <c r="N787" s="20"/>
      <c r="O787" s="20"/>
      <c r="P787" s="21"/>
      <c r="Q787" s="22"/>
      <c r="R787" s="22"/>
      <c r="S787" s="19"/>
      <c r="T787" s="19"/>
      <c r="U787" s="19"/>
      <c r="V787" s="19"/>
      <c r="W787" s="26"/>
      <c r="X787" s="28"/>
    </row>
    <row r="788">
      <c r="A788" s="15"/>
      <c r="B788" s="16"/>
      <c r="C788" s="15"/>
      <c r="D788" s="15"/>
      <c r="E788" s="15"/>
      <c r="F788" s="3"/>
      <c r="G788" s="18"/>
      <c r="H788" s="3"/>
      <c r="I788" s="19"/>
      <c r="J788" s="19"/>
      <c r="K788" s="3"/>
      <c r="L788" s="3"/>
      <c r="M788" s="20"/>
      <c r="N788" s="20"/>
      <c r="O788" s="20"/>
      <c r="P788" s="21"/>
      <c r="Q788" s="22"/>
      <c r="R788" s="22"/>
      <c r="S788" s="19"/>
      <c r="T788" s="19"/>
      <c r="U788" s="19"/>
      <c r="V788" s="19"/>
      <c r="W788" s="26"/>
      <c r="X788" s="28"/>
    </row>
    <row r="789">
      <c r="A789" s="15"/>
      <c r="B789" s="16"/>
      <c r="C789" s="15"/>
      <c r="D789" s="15"/>
      <c r="E789" s="15"/>
      <c r="F789" s="3"/>
      <c r="G789" s="18"/>
      <c r="H789" s="3"/>
      <c r="I789" s="19"/>
      <c r="J789" s="19"/>
      <c r="K789" s="3"/>
      <c r="L789" s="3"/>
      <c r="M789" s="20"/>
      <c r="N789" s="20"/>
      <c r="O789" s="20"/>
      <c r="P789" s="21"/>
      <c r="Q789" s="22"/>
      <c r="R789" s="22"/>
      <c r="S789" s="19"/>
      <c r="T789" s="19"/>
      <c r="U789" s="19"/>
      <c r="V789" s="19"/>
      <c r="W789" s="26"/>
      <c r="X789" s="28"/>
    </row>
    <row r="790">
      <c r="A790" s="15"/>
      <c r="B790" s="16"/>
      <c r="C790" s="15"/>
      <c r="D790" s="15"/>
      <c r="E790" s="15"/>
      <c r="F790" s="3"/>
      <c r="G790" s="18"/>
      <c r="H790" s="3"/>
      <c r="I790" s="19"/>
      <c r="J790" s="19"/>
      <c r="K790" s="3"/>
      <c r="L790" s="3"/>
      <c r="M790" s="20"/>
      <c r="N790" s="20"/>
      <c r="O790" s="20"/>
      <c r="P790" s="21"/>
      <c r="Q790" s="22"/>
      <c r="R790" s="22"/>
      <c r="S790" s="19"/>
      <c r="T790" s="19"/>
      <c r="U790" s="19"/>
      <c r="V790" s="19"/>
      <c r="W790" s="26"/>
      <c r="X790" s="28"/>
    </row>
    <row r="791">
      <c r="A791" s="15"/>
      <c r="B791" s="16"/>
      <c r="C791" s="15"/>
      <c r="D791" s="15"/>
      <c r="E791" s="15"/>
      <c r="F791" s="3"/>
      <c r="G791" s="18"/>
      <c r="H791" s="3"/>
      <c r="I791" s="19"/>
      <c r="J791" s="19"/>
      <c r="K791" s="3"/>
      <c r="L791" s="3"/>
      <c r="M791" s="20"/>
      <c r="N791" s="20"/>
      <c r="O791" s="20"/>
      <c r="P791" s="21"/>
      <c r="Q791" s="22"/>
      <c r="R791" s="22"/>
      <c r="S791" s="19"/>
      <c r="T791" s="19"/>
      <c r="U791" s="19"/>
      <c r="V791" s="19"/>
      <c r="W791" s="26"/>
      <c r="X791" s="28"/>
    </row>
    <row r="792">
      <c r="A792" s="15"/>
      <c r="B792" s="16"/>
      <c r="C792" s="15"/>
      <c r="D792" s="15"/>
      <c r="E792" s="15"/>
      <c r="F792" s="3"/>
      <c r="G792" s="18"/>
      <c r="H792" s="3"/>
      <c r="I792" s="19"/>
      <c r="J792" s="19"/>
      <c r="K792" s="3"/>
      <c r="L792" s="3"/>
      <c r="M792" s="20"/>
      <c r="N792" s="20"/>
      <c r="O792" s="20"/>
      <c r="P792" s="21"/>
      <c r="Q792" s="22"/>
      <c r="R792" s="22"/>
      <c r="S792" s="19"/>
      <c r="T792" s="19"/>
      <c r="U792" s="19"/>
      <c r="V792" s="19"/>
      <c r="W792" s="26"/>
      <c r="X792" s="28"/>
    </row>
    <row r="793">
      <c r="A793" s="15"/>
      <c r="B793" s="16"/>
      <c r="C793" s="15"/>
      <c r="D793" s="15"/>
      <c r="E793" s="15"/>
      <c r="F793" s="3"/>
      <c r="G793" s="18"/>
      <c r="H793" s="3"/>
      <c r="I793" s="19"/>
      <c r="J793" s="19"/>
      <c r="K793" s="3"/>
      <c r="L793" s="3"/>
      <c r="M793" s="20"/>
      <c r="N793" s="20"/>
      <c r="O793" s="20"/>
      <c r="P793" s="21"/>
      <c r="Q793" s="22"/>
      <c r="R793" s="22"/>
      <c r="S793" s="19"/>
      <c r="T793" s="19"/>
      <c r="U793" s="19"/>
      <c r="V793" s="19"/>
      <c r="W793" s="26"/>
      <c r="X793" s="28"/>
    </row>
    <row r="794">
      <c r="A794" s="15"/>
      <c r="B794" s="16"/>
      <c r="C794" s="15"/>
      <c r="D794" s="15"/>
      <c r="E794" s="15"/>
      <c r="F794" s="3"/>
      <c r="G794" s="18"/>
      <c r="H794" s="3"/>
      <c r="I794" s="19"/>
      <c r="J794" s="19"/>
      <c r="K794" s="3"/>
      <c r="L794" s="3"/>
      <c r="M794" s="20"/>
      <c r="N794" s="20"/>
      <c r="O794" s="20"/>
      <c r="P794" s="21"/>
      <c r="Q794" s="22"/>
      <c r="R794" s="22"/>
      <c r="S794" s="19"/>
      <c r="T794" s="19"/>
      <c r="U794" s="19"/>
      <c r="V794" s="19"/>
      <c r="W794" s="26"/>
      <c r="X794" s="28"/>
    </row>
    <row r="795">
      <c r="A795" s="15"/>
      <c r="B795" s="16"/>
      <c r="C795" s="15"/>
      <c r="D795" s="15"/>
      <c r="E795" s="15"/>
      <c r="F795" s="3"/>
      <c r="G795" s="18"/>
      <c r="H795" s="3"/>
      <c r="I795" s="19"/>
      <c r="J795" s="19"/>
      <c r="K795" s="3"/>
      <c r="L795" s="3"/>
      <c r="M795" s="20"/>
      <c r="N795" s="20"/>
      <c r="O795" s="20"/>
      <c r="P795" s="21"/>
      <c r="Q795" s="22"/>
      <c r="R795" s="22"/>
      <c r="S795" s="19"/>
      <c r="T795" s="19"/>
      <c r="U795" s="19"/>
      <c r="V795" s="19"/>
      <c r="W795" s="26"/>
      <c r="X795" s="28"/>
    </row>
    <row r="796">
      <c r="A796" s="15"/>
      <c r="B796" s="16"/>
      <c r="C796" s="15"/>
      <c r="D796" s="15"/>
      <c r="E796" s="15"/>
      <c r="F796" s="3"/>
      <c r="G796" s="18"/>
      <c r="H796" s="3"/>
      <c r="I796" s="19"/>
      <c r="J796" s="19"/>
      <c r="K796" s="3"/>
      <c r="L796" s="3"/>
      <c r="M796" s="20"/>
      <c r="N796" s="20"/>
      <c r="O796" s="20"/>
      <c r="P796" s="21"/>
      <c r="Q796" s="22"/>
      <c r="R796" s="22"/>
      <c r="S796" s="19"/>
      <c r="T796" s="19"/>
      <c r="U796" s="19"/>
      <c r="V796" s="19"/>
      <c r="W796" s="26"/>
      <c r="X796" s="28"/>
    </row>
    <row r="797">
      <c r="A797" s="15"/>
      <c r="B797" s="16"/>
      <c r="C797" s="15"/>
      <c r="D797" s="15"/>
      <c r="E797" s="15"/>
      <c r="F797" s="3"/>
      <c r="G797" s="18"/>
      <c r="H797" s="3"/>
      <c r="I797" s="19"/>
      <c r="J797" s="19"/>
      <c r="K797" s="3"/>
      <c r="L797" s="3"/>
      <c r="M797" s="20"/>
      <c r="N797" s="20"/>
      <c r="O797" s="20"/>
      <c r="P797" s="21"/>
      <c r="Q797" s="22"/>
      <c r="R797" s="22"/>
      <c r="S797" s="19"/>
      <c r="T797" s="19"/>
      <c r="U797" s="19"/>
      <c r="V797" s="19"/>
      <c r="W797" s="26"/>
      <c r="X797" s="28"/>
    </row>
    <row r="798">
      <c r="A798" s="15"/>
      <c r="B798" s="16"/>
      <c r="C798" s="15"/>
      <c r="D798" s="15"/>
      <c r="E798" s="15"/>
      <c r="F798" s="3"/>
      <c r="G798" s="18"/>
      <c r="H798" s="3"/>
      <c r="I798" s="19"/>
      <c r="J798" s="19"/>
      <c r="K798" s="3"/>
      <c r="L798" s="3"/>
      <c r="M798" s="20"/>
      <c r="N798" s="20"/>
      <c r="O798" s="20"/>
      <c r="P798" s="21"/>
      <c r="Q798" s="22"/>
      <c r="R798" s="22"/>
      <c r="S798" s="19"/>
      <c r="T798" s="19"/>
      <c r="U798" s="19"/>
      <c r="V798" s="19"/>
      <c r="W798" s="26"/>
      <c r="X798" s="28"/>
    </row>
    <row r="799">
      <c r="A799" s="15"/>
      <c r="B799" s="16"/>
      <c r="C799" s="15"/>
      <c r="D799" s="15"/>
      <c r="E799" s="15"/>
      <c r="F799" s="3"/>
      <c r="G799" s="18"/>
      <c r="H799" s="3"/>
      <c r="I799" s="19"/>
      <c r="J799" s="19"/>
      <c r="K799" s="3"/>
      <c r="L799" s="3"/>
      <c r="M799" s="20"/>
      <c r="N799" s="20"/>
      <c r="O799" s="20"/>
      <c r="P799" s="21"/>
      <c r="Q799" s="22"/>
      <c r="R799" s="22"/>
      <c r="S799" s="19"/>
      <c r="T799" s="19"/>
      <c r="U799" s="19"/>
      <c r="V799" s="19"/>
      <c r="W799" s="26"/>
      <c r="X799" s="28"/>
    </row>
    <row r="800">
      <c r="A800" s="15"/>
      <c r="B800" s="16"/>
      <c r="C800" s="15"/>
      <c r="D800" s="15"/>
      <c r="E800" s="15"/>
      <c r="F800" s="3"/>
      <c r="G800" s="18"/>
      <c r="H800" s="3"/>
      <c r="I800" s="19"/>
      <c r="J800" s="19"/>
      <c r="K800" s="3"/>
      <c r="L800" s="3"/>
      <c r="M800" s="20"/>
      <c r="N800" s="20"/>
      <c r="O800" s="20"/>
      <c r="P800" s="21"/>
      <c r="Q800" s="22"/>
      <c r="R800" s="22"/>
      <c r="S800" s="19"/>
      <c r="T800" s="19"/>
      <c r="U800" s="19"/>
      <c r="V800" s="19"/>
      <c r="W800" s="26"/>
      <c r="X800" s="28"/>
    </row>
    <row r="801">
      <c r="A801" s="15"/>
      <c r="B801" s="16"/>
      <c r="C801" s="15"/>
      <c r="D801" s="15"/>
      <c r="E801" s="15"/>
      <c r="F801" s="3"/>
      <c r="G801" s="18"/>
      <c r="H801" s="3"/>
      <c r="I801" s="19"/>
      <c r="J801" s="19"/>
      <c r="K801" s="3"/>
      <c r="L801" s="3"/>
      <c r="M801" s="20"/>
      <c r="N801" s="20"/>
      <c r="O801" s="20"/>
      <c r="P801" s="21"/>
      <c r="Q801" s="22"/>
      <c r="R801" s="22"/>
      <c r="S801" s="19"/>
      <c r="T801" s="19"/>
      <c r="U801" s="19"/>
      <c r="V801" s="19"/>
      <c r="W801" s="26"/>
      <c r="X801" s="28"/>
    </row>
    <row r="802">
      <c r="A802" s="15"/>
      <c r="B802" s="16"/>
      <c r="C802" s="15"/>
      <c r="D802" s="15"/>
      <c r="E802" s="15"/>
      <c r="F802" s="3"/>
      <c r="G802" s="18"/>
      <c r="H802" s="3"/>
      <c r="I802" s="19"/>
      <c r="J802" s="19"/>
      <c r="K802" s="3"/>
      <c r="L802" s="3"/>
      <c r="M802" s="20"/>
      <c r="N802" s="20"/>
      <c r="O802" s="20"/>
      <c r="P802" s="21"/>
      <c r="Q802" s="22"/>
      <c r="R802" s="22"/>
      <c r="S802" s="19"/>
      <c r="T802" s="19"/>
      <c r="U802" s="19"/>
      <c r="V802" s="19"/>
      <c r="W802" s="26"/>
      <c r="X802" s="28"/>
    </row>
    <row r="803">
      <c r="A803" s="15"/>
      <c r="B803" s="16"/>
      <c r="C803" s="15"/>
      <c r="D803" s="15"/>
      <c r="E803" s="15"/>
      <c r="F803" s="3"/>
      <c r="G803" s="18"/>
      <c r="H803" s="3"/>
      <c r="I803" s="19"/>
      <c r="J803" s="19"/>
      <c r="K803" s="3"/>
      <c r="L803" s="3"/>
      <c r="M803" s="20"/>
      <c r="N803" s="20"/>
      <c r="O803" s="20"/>
      <c r="P803" s="21"/>
      <c r="Q803" s="22"/>
      <c r="R803" s="22"/>
      <c r="S803" s="19"/>
      <c r="T803" s="19"/>
      <c r="U803" s="19"/>
      <c r="V803" s="19"/>
      <c r="W803" s="26"/>
      <c r="X803" s="28"/>
    </row>
    <row r="804">
      <c r="A804" s="15"/>
      <c r="B804" s="16"/>
      <c r="C804" s="15"/>
      <c r="D804" s="15"/>
      <c r="E804" s="15"/>
      <c r="F804" s="3"/>
      <c r="G804" s="18"/>
      <c r="H804" s="3"/>
      <c r="I804" s="19"/>
      <c r="J804" s="19"/>
      <c r="K804" s="3"/>
      <c r="L804" s="3"/>
      <c r="M804" s="20"/>
      <c r="N804" s="20"/>
      <c r="O804" s="20"/>
      <c r="P804" s="21"/>
      <c r="Q804" s="22"/>
      <c r="R804" s="22"/>
      <c r="S804" s="19"/>
      <c r="T804" s="19"/>
      <c r="U804" s="19"/>
      <c r="V804" s="19"/>
      <c r="W804" s="26"/>
      <c r="X804" s="28"/>
    </row>
    <row r="805">
      <c r="A805" s="15"/>
      <c r="B805" s="16"/>
      <c r="C805" s="15"/>
      <c r="D805" s="15"/>
      <c r="E805" s="15"/>
      <c r="F805" s="3"/>
      <c r="G805" s="18"/>
      <c r="H805" s="3"/>
      <c r="I805" s="19"/>
      <c r="J805" s="19"/>
      <c r="K805" s="3"/>
      <c r="L805" s="3"/>
      <c r="M805" s="20"/>
      <c r="N805" s="20"/>
      <c r="O805" s="20"/>
      <c r="P805" s="21"/>
      <c r="Q805" s="22"/>
      <c r="R805" s="22"/>
      <c r="S805" s="19"/>
      <c r="T805" s="19"/>
      <c r="U805" s="19"/>
      <c r="V805" s="19"/>
      <c r="W805" s="26"/>
      <c r="X805" s="28"/>
    </row>
    <row r="806">
      <c r="A806" s="15"/>
      <c r="B806" s="16"/>
      <c r="C806" s="15"/>
      <c r="D806" s="15"/>
      <c r="E806" s="15"/>
      <c r="F806" s="3"/>
      <c r="G806" s="18"/>
      <c r="H806" s="3"/>
      <c r="I806" s="19"/>
      <c r="J806" s="19"/>
      <c r="K806" s="3"/>
      <c r="L806" s="3"/>
      <c r="M806" s="20"/>
      <c r="N806" s="20"/>
      <c r="O806" s="20"/>
      <c r="P806" s="21"/>
      <c r="Q806" s="22"/>
      <c r="R806" s="22"/>
      <c r="S806" s="19"/>
      <c r="T806" s="19"/>
      <c r="U806" s="19"/>
      <c r="V806" s="19"/>
      <c r="W806" s="26"/>
      <c r="X806" s="28"/>
    </row>
    <row r="807">
      <c r="A807" s="15"/>
      <c r="B807" s="16"/>
      <c r="C807" s="15"/>
      <c r="D807" s="15"/>
      <c r="E807" s="15"/>
      <c r="F807" s="3"/>
      <c r="G807" s="18"/>
      <c r="H807" s="3"/>
      <c r="I807" s="19"/>
      <c r="J807" s="19"/>
      <c r="K807" s="3"/>
      <c r="L807" s="3"/>
      <c r="M807" s="20"/>
      <c r="N807" s="20"/>
      <c r="O807" s="20"/>
      <c r="P807" s="21"/>
      <c r="Q807" s="22"/>
      <c r="R807" s="22"/>
      <c r="S807" s="19"/>
      <c r="T807" s="19"/>
      <c r="U807" s="19"/>
      <c r="V807" s="19"/>
      <c r="W807" s="26"/>
      <c r="X807" s="28"/>
    </row>
    <row r="808">
      <c r="A808" s="15"/>
      <c r="B808" s="16"/>
      <c r="C808" s="15"/>
      <c r="D808" s="15"/>
      <c r="E808" s="15"/>
      <c r="F808" s="3"/>
      <c r="G808" s="18"/>
      <c r="H808" s="3"/>
      <c r="I808" s="19"/>
      <c r="J808" s="19"/>
      <c r="K808" s="3"/>
      <c r="L808" s="3"/>
      <c r="M808" s="20"/>
      <c r="N808" s="20"/>
      <c r="O808" s="20"/>
      <c r="P808" s="21"/>
      <c r="Q808" s="22"/>
      <c r="R808" s="22"/>
      <c r="S808" s="19"/>
      <c r="T808" s="19"/>
      <c r="U808" s="19"/>
      <c r="V808" s="19"/>
      <c r="W808" s="26"/>
      <c r="X808" s="28"/>
    </row>
    <row r="809">
      <c r="A809" s="15"/>
      <c r="B809" s="16"/>
      <c r="C809" s="15"/>
      <c r="D809" s="15"/>
      <c r="E809" s="15"/>
      <c r="F809" s="3"/>
      <c r="G809" s="18"/>
      <c r="H809" s="3"/>
      <c r="I809" s="19"/>
      <c r="J809" s="19"/>
      <c r="K809" s="3"/>
      <c r="L809" s="3"/>
      <c r="M809" s="20"/>
      <c r="N809" s="20"/>
      <c r="O809" s="20"/>
      <c r="P809" s="21"/>
      <c r="Q809" s="22"/>
      <c r="R809" s="22"/>
      <c r="S809" s="19"/>
      <c r="T809" s="19"/>
      <c r="U809" s="19"/>
      <c r="V809" s="19"/>
      <c r="W809" s="26"/>
      <c r="X809" s="28"/>
    </row>
    <row r="810">
      <c r="A810" s="15"/>
      <c r="B810" s="16"/>
      <c r="C810" s="15"/>
      <c r="D810" s="15"/>
      <c r="E810" s="15"/>
      <c r="F810" s="3"/>
      <c r="G810" s="18"/>
      <c r="H810" s="3"/>
      <c r="I810" s="19"/>
      <c r="J810" s="19"/>
      <c r="K810" s="3"/>
      <c r="L810" s="3"/>
      <c r="M810" s="20"/>
      <c r="N810" s="20"/>
      <c r="O810" s="20"/>
      <c r="P810" s="21"/>
      <c r="Q810" s="22"/>
      <c r="R810" s="22"/>
      <c r="S810" s="19"/>
      <c r="T810" s="19"/>
      <c r="U810" s="19"/>
      <c r="V810" s="19"/>
      <c r="W810" s="26"/>
      <c r="X810" s="28"/>
    </row>
    <row r="811">
      <c r="A811" s="15"/>
      <c r="B811" s="16"/>
      <c r="C811" s="15"/>
      <c r="D811" s="15"/>
      <c r="E811" s="15"/>
      <c r="F811" s="3"/>
      <c r="G811" s="18"/>
      <c r="H811" s="3"/>
      <c r="I811" s="19"/>
      <c r="J811" s="19"/>
      <c r="K811" s="3"/>
      <c r="L811" s="3"/>
      <c r="M811" s="20"/>
      <c r="N811" s="20"/>
      <c r="O811" s="20"/>
      <c r="P811" s="21"/>
      <c r="Q811" s="22"/>
      <c r="R811" s="22"/>
      <c r="S811" s="19"/>
      <c r="T811" s="19"/>
      <c r="U811" s="19"/>
      <c r="V811" s="19"/>
      <c r="W811" s="26"/>
      <c r="X811" s="28"/>
    </row>
    <row r="812">
      <c r="A812" s="15"/>
      <c r="B812" s="16"/>
      <c r="C812" s="15"/>
      <c r="D812" s="15"/>
      <c r="E812" s="15"/>
      <c r="F812" s="3"/>
      <c r="G812" s="18"/>
      <c r="H812" s="3"/>
      <c r="I812" s="19"/>
      <c r="J812" s="19"/>
      <c r="K812" s="3"/>
      <c r="L812" s="3"/>
      <c r="M812" s="20"/>
      <c r="N812" s="20"/>
      <c r="O812" s="20"/>
      <c r="P812" s="21"/>
      <c r="Q812" s="22"/>
      <c r="R812" s="22"/>
      <c r="S812" s="19"/>
      <c r="T812" s="19"/>
      <c r="U812" s="19"/>
      <c r="V812" s="19"/>
      <c r="W812" s="26"/>
      <c r="X812" s="28"/>
    </row>
    <row r="813">
      <c r="A813" s="15"/>
      <c r="B813" s="16"/>
      <c r="C813" s="15"/>
      <c r="D813" s="15"/>
      <c r="E813" s="15"/>
      <c r="F813" s="3"/>
      <c r="G813" s="18"/>
      <c r="H813" s="3"/>
      <c r="I813" s="19"/>
      <c r="J813" s="19"/>
      <c r="K813" s="3"/>
      <c r="L813" s="3"/>
      <c r="M813" s="20"/>
      <c r="N813" s="20"/>
      <c r="O813" s="20"/>
      <c r="P813" s="21"/>
      <c r="Q813" s="22"/>
      <c r="R813" s="22"/>
      <c r="S813" s="19"/>
      <c r="T813" s="19"/>
      <c r="U813" s="19"/>
      <c r="V813" s="19"/>
      <c r="W813" s="26"/>
      <c r="X813" s="28"/>
    </row>
    <row r="814">
      <c r="A814" s="15"/>
      <c r="B814" s="16"/>
      <c r="C814" s="15"/>
      <c r="D814" s="15"/>
      <c r="E814" s="15"/>
      <c r="F814" s="3"/>
      <c r="G814" s="18"/>
      <c r="H814" s="3"/>
      <c r="I814" s="19"/>
      <c r="J814" s="19"/>
      <c r="K814" s="3"/>
      <c r="L814" s="3"/>
      <c r="M814" s="20"/>
      <c r="N814" s="20"/>
      <c r="O814" s="20"/>
      <c r="P814" s="21"/>
      <c r="Q814" s="22"/>
      <c r="R814" s="22"/>
      <c r="S814" s="19"/>
      <c r="T814" s="19"/>
      <c r="U814" s="19"/>
      <c r="V814" s="19"/>
      <c r="W814" s="26"/>
      <c r="X814" s="28"/>
    </row>
    <row r="815">
      <c r="A815" s="15"/>
      <c r="B815" s="16"/>
      <c r="C815" s="15"/>
      <c r="D815" s="15"/>
      <c r="E815" s="15"/>
      <c r="F815" s="3"/>
      <c r="G815" s="18"/>
      <c r="H815" s="3"/>
      <c r="I815" s="19"/>
      <c r="J815" s="19"/>
      <c r="K815" s="3"/>
      <c r="L815" s="3"/>
      <c r="M815" s="20"/>
      <c r="N815" s="20"/>
      <c r="O815" s="20"/>
      <c r="P815" s="21"/>
      <c r="Q815" s="22"/>
      <c r="R815" s="22"/>
      <c r="S815" s="19"/>
      <c r="T815" s="19"/>
      <c r="U815" s="19"/>
      <c r="V815" s="19"/>
      <c r="W815" s="26"/>
      <c r="X815" s="28"/>
    </row>
    <row r="816">
      <c r="A816" s="15"/>
      <c r="B816" s="16"/>
      <c r="C816" s="15"/>
      <c r="D816" s="15"/>
      <c r="E816" s="15"/>
      <c r="F816" s="3"/>
      <c r="G816" s="18"/>
      <c r="H816" s="3"/>
      <c r="I816" s="19"/>
      <c r="J816" s="19"/>
      <c r="K816" s="3"/>
      <c r="L816" s="3"/>
      <c r="M816" s="20"/>
      <c r="N816" s="20"/>
      <c r="O816" s="20"/>
      <c r="P816" s="21"/>
      <c r="Q816" s="22"/>
      <c r="R816" s="22"/>
      <c r="S816" s="19"/>
      <c r="T816" s="19"/>
      <c r="U816" s="19"/>
      <c r="V816" s="19"/>
      <c r="W816" s="26"/>
      <c r="X816" s="28"/>
    </row>
    <row r="817">
      <c r="A817" s="15"/>
      <c r="B817" s="16"/>
      <c r="C817" s="15"/>
      <c r="D817" s="15"/>
      <c r="E817" s="15"/>
      <c r="F817" s="3"/>
      <c r="G817" s="18"/>
      <c r="H817" s="3"/>
      <c r="I817" s="19"/>
      <c r="J817" s="19"/>
      <c r="K817" s="3"/>
      <c r="L817" s="3"/>
      <c r="M817" s="20"/>
      <c r="N817" s="20"/>
      <c r="O817" s="20"/>
      <c r="P817" s="21"/>
      <c r="Q817" s="22"/>
      <c r="R817" s="22"/>
      <c r="S817" s="19"/>
      <c r="T817" s="19"/>
      <c r="U817" s="19"/>
      <c r="V817" s="19"/>
      <c r="W817" s="26"/>
      <c r="X817" s="28"/>
    </row>
    <row r="818">
      <c r="A818" s="15"/>
      <c r="B818" s="16"/>
      <c r="C818" s="15"/>
      <c r="D818" s="15"/>
      <c r="E818" s="15"/>
      <c r="F818" s="3"/>
      <c r="G818" s="18"/>
      <c r="H818" s="3"/>
      <c r="I818" s="19"/>
      <c r="J818" s="19"/>
      <c r="K818" s="3"/>
      <c r="L818" s="3"/>
      <c r="M818" s="20"/>
      <c r="N818" s="20"/>
      <c r="O818" s="20"/>
      <c r="P818" s="21"/>
      <c r="Q818" s="22"/>
      <c r="R818" s="22"/>
      <c r="S818" s="19"/>
      <c r="T818" s="19"/>
      <c r="U818" s="19"/>
      <c r="V818" s="19"/>
      <c r="W818" s="26"/>
      <c r="X818" s="28"/>
    </row>
    <row r="819">
      <c r="A819" s="15"/>
      <c r="B819" s="16"/>
      <c r="C819" s="15"/>
      <c r="D819" s="15"/>
      <c r="E819" s="15"/>
      <c r="F819" s="3"/>
      <c r="G819" s="18"/>
      <c r="H819" s="3"/>
      <c r="I819" s="19"/>
      <c r="J819" s="19"/>
      <c r="K819" s="3"/>
      <c r="L819" s="3"/>
      <c r="M819" s="20"/>
      <c r="N819" s="20"/>
      <c r="O819" s="20"/>
      <c r="P819" s="21"/>
      <c r="Q819" s="22"/>
      <c r="R819" s="22"/>
      <c r="S819" s="19"/>
      <c r="T819" s="19"/>
      <c r="U819" s="19"/>
      <c r="V819" s="19"/>
      <c r="W819" s="26"/>
      <c r="X819" s="28"/>
    </row>
    <row r="820">
      <c r="A820" s="15"/>
      <c r="B820" s="16"/>
      <c r="C820" s="15"/>
      <c r="D820" s="15"/>
      <c r="E820" s="15"/>
      <c r="F820" s="3"/>
      <c r="G820" s="18"/>
      <c r="H820" s="3"/>
      <c r="I820" s="19"/>
      <c r="J820" s="19"/>
      <c r="K820" s="3"/>
      <c r="L820" s="3"/>
      <c r="M820" s="20"/>
      <c r="N820" s="20"/>
      <c r="O820" s="20"/>
      <c r="P820" s="21"/>
      <c r="Q820" s="22"/>
      <c r="R820" s="22"/>
      <c r="S820" s="19"/>
      <c r="T820" s="19"/>
      <c r="U820" s="19"/>
      <c r="V820" s="19"/>
      <c r="W820" s="26"/>
      <c r="X820" s="28"/>
    </row>
    <row r="821">
      <c r="A821" s="15"/>
      <c r="B821" s="16"/>
      <c r="C821" s="15"/>
      <c r="D821" s="15"/>
      <c r="E821" s="15"/>
      <c r="F821" s="3"/>
      <c r="G821" s="18"/>
      <c r="H821" s="3"/>
      <c r="I821" s="19"/>
      <c r="J821" s="19"/>
      <c r="K821" s="3"/>
      <c r="L821" s="3"/>
      <c r="M821" s="20"/>
      <c r="N821" s="20"/>
      <c r="O821" s="20"/>
      <c r="P821" s="21"/>
      <c r="Q821" s="22"/>
      <c r="R821" s="22"/>
      <c r="S821" s="19"/>
      <c r="T821" s="19"/>
      <c r="U821" s="19"/>
      <c r="V821" s="19"/>
      <c r="W821" s="26"/>
      <c r="X821" s="28"/>
    </row>
    <row r="822">
      <c r="A822" s="15"/>
      <c r="B822" s="16"/>
      <c r="C822" s="15"/>
      <c r="D822" s="15"/>
      <c r="E822" s="15"/>
      <c r="F822" s="3"/>
      <c r="G822" s="18"/>
      <c r="H822" s="3"/>
      <c r="I822" s="19"/>
      <c r="J822" s="19"/>
      <c r="K822" s="3"/>
      <c r="L822" s="3"/>
      <c r="M822" s="20"/>
      <c r="N822" s="20"/>
      <c r="O822" s="20"/>
      <c r="P822" s="21"/>
      <c r="Q822" s="22"/>
      <c r="R822" s="22"/>
      <c r="S822" s="19"/>
      <c r="T822" s="19"/>
      <c r="U822" s="19"/>
      <c r="V822" s="19"/>
      <c r="W822" s="26"/>
      <c r="X822" s="28"/>
    </row>
    <row r="823">
      <c r="A823" s="15"/>
      <c r="B823" s="16"/>
      <c r="C823" s="15"/>
      <c r="D823" s="15"/>
      <c r="E823" s="15"/>
      <c r="F823" s="3"/>
      <c r="G823" s="18"/>
      <c r="H823" s="3"/>
      <c r="I823" s="19"/>
      <c r="J823" s="19"/>
      <c r="K823" s="3"/>
      <c r="L823" s="3"/>
      <c r="M823" s="20"/>
      <c r="N823" s="20"/>
      <c r="O823" s="20"/>
      <c r="P823" s="21"/>
      <c r="Q823" s="22"/>
      <c r="R823" s="22"/>
      <c r="S823" s="19"/>
      <c r="T823" s="19"/>
      <c r="U823" s="19"/>
      <c r="V823" s="19"/>
      <c r="W823" s="26"/>
      <c r="X823" s="28"/>
    </row>
    <row r="824">
      <c r="A824" s="15"/>
      <c r="B824" s="16"/>
      <c r="C824" s="15"/>
      <c r="D824" s="15"/>
      <c r="E824" s="15"/>
      <c r="F824" s="3"/>
      <c r="G824" s="18"/>
      <c r="H824" s="3"/>
      <c r="I824" s="19"/>
      <c r="J824" s="19"/>
      <c r="K824" s="3"/>
      <c r="L824" s="3"/>
      <c r="M824" s="20"/>
      <c r="N824" s="20"/>
      <c r="O824" s="20"/>
      <c r="P824" s="21"/>
      <c r="Q824" s="22"/>
      <c r="R824" s="22"/>
      <c r="S824" s="19"/>
      <c r="T824" s="19"/>
      <c r="U824" s="19"/>
      <c r="V824" s="19"/>
      <c r="W824" s="26"/>
      <c r="X824" s="28"/>
    </row>
    <row r="825">
      <c r="A825" s="15"/>
      <c r="B825" s="16"/>
      <c r="C825" s="15"/>
      <c r="D825" s="15"/>
      <c r="E825" s="15"/>
      <c r="F825" s="3"/>
      <c r="G825" s="18"/>
      <c r="H825" s="3"/>
      <c r="I825" s="19"/>
      <c r="J825" s="19"/>
      <c r="K825" s="3"/>
      <c r="L825" s="3"/>
      <c r="M825" s="20"/>
      <c r="N825" s="20"/>
      <c r="O825" s="20"/>
      <c r="P825" s="21"/>
      <c r="Q825" s="22"/>
      <c r="R825" s="22"/>
      <c r="S825" s="19"/>
      <c r="T825" s="19"/>
      <c r="U825" s="19"/>
      <c r="V825" s="19"/>
      <c r="W825" s="26"/>
      <c r="X825" s="28"/>
    </row>
    <row r="826">
      <c r="A826" s="15"/>
      <c r="B826" s="16"/>
      <c r="C826" s="15"/>
      <c r="D826" s="15"/>
      <c r="E826" s="15"/>
      <c r="F826" s="3"/>
      <c r="G826" s="18"/>
      <c r="H826" s="3"/>
      <c r="I826" s="19"/>
      <c r="J826" s="19"/>
      <c r="K826" s="3"/>
      <c r="L826" s="3"/>
      <c r="M826" s="20"/>
      <c r="N826" s="20"/>
      <c r="O826" s="20"/>
      <c r="P826" s="21"/>
      <c r="Q826" s="22"/>
      <c r="R826" s="22"/>
      <c r="S826" s="19"/>
      <c r="T826" s="19"/>
      <c r="U826" s="19"/>
      <c r="V826" s="19"/>
      <c r="W826" s="26"/>
      <c r="X826" s="28"/>
    </row>
    <row r="827">
      <c r="A827" s="15"/>
      <c r="B827" s="16"/>
      <c r="C827" s="15"/>
      <c r="D827" s="15"/>
      <c r="E827" s="15"/>
      <c r="F827" s="3"/>
      <c r="G827" s="18"/>
      <c r="H827" s="3"/>
      <c r="I827" s="19"/>
      <c r="J827" s="19"/>
      <c r="K827" s="3"/>
      <c r="L827" s="3"/>
      <c r="M827" s="20"/>
      <c r="N827" s="20"/>
      <c r="O827" s="20"/>
      <c r="P827" s="21"/>
      <c r="Q827" s="22"/>
      <c r="R827" s="22"/>
      <c r="S827" s="19"/>
      <c r="T827" s="19"/>
      <c r="U827" s="19"/>
      <c r="V827" s="19"/>
      <c r="W827" s="26"/>
      <c r="X827" s="28"/>
    </row>
    <row r="828">
      <c r="A828" s="15"/>
      <c r="B828" s="16"/>
      <c r="C828" s="15"/>
      <c r="D828" s="15"/>
      <c r="E828" s="15"/>
      <c r="F828" s="3"/>
      <c r="G828" s="18"/>
      <c r="H828" s="3"/>
      <c r="I828" s="19"/>
      <c r="J828" s="19"/>
      <c r="K828" s="3"/>
      <c r="L828" s="3"/>
      <c r="M828" s="20"/>
      <c r="N828" s="20"/>
      <c r="O828" s="20"/>
      <c r="P828" s="21"/>
      <c r="Q828" s="22"/>
      <c r="R828" s="22"/>
      <c r="S828" s="19"/>
      <c r="T828" s="19"/>
      <c r="U828" s="19"/>
      <c r="V828" s="19"/>
      <c r="W828" s="26"/>
      <c r="X828" s="28"/>
    </row>
    <row r="829">
      <c r="A829" s="15"/>
      <c r="B829" s="16"/>
      <c r="C829" s="15"/>
      <c r="D829" s="15"/>
      <c r="E829" s="15"/>
      <c r="F829" s="3"/>
      <c r="G829" s="18"/>
      <c r="H829" s="3"/>
      <c r="I829" s="19"/>
      <c r="J829" s="19"/>
      <c r="K829" s="3"/>
      <c r="L829" s="3"/>
      <c r="M829" s="20"/>
      <c r="N829" s="20"/>
      <c r="O829" s="20"/>
      <c r="P829" s="21"/>
      <c r="Q829" s="22"/>
      <c r="R829" s="22"/>
      <c r="S829" s="19"/>
      <c r="T829" s="19"/>
      <c r="U829" s="19"/>
      <c r="V829" s="19"/>
      <c r="W829" s="26"/>
      <c r="X829" s="28"/>
    </row>
    <row r="830">
      <c r="A830" s="15"/>
      <c r="B830" s="16"/>
      <c r="C830" s="15"/>
      <c r="D830" s="15"/>
      <c r="E830" s="15"/>
      <c r="F830" s="3"/>
      <c r="G830" s="18"/>
      <c r="H830" s="3"/>
      <c r="I830" s="19"/>
      <c r="J830" s="19"/>
      <c r="K830" s="3"/>
      <c r="L830" s="3"/>
      <c r="M830" s="20"/>
      <c r="N830" s="20"/>
      <c r="O830" s="20"/>
      <c r="P830" s="21"/>
      <c r="Q830" s="22"/>
      <c r="R830" s="22"/>
      <c r="S830" s="19"/>
      <c r="T830" s="19"/>
      <c r="U830" s="19"/>
      <c r="V830" s="19"/>
      <c r="W830" s="26"/>
      <c r="X830" s="28"/>
    </row>
    <row r="831">
      <c r="A831" s="15"/>
      <c r="B831" s="16"/>
      <c r="C831" s="15"/>
      <c r="D831" s="15"/>
      <c r="E831" s="15"/>
      <c r="F831" s="3"/>
      <c r="G831" s="18"/>
      <c r="H831" s="3"/>
      <c r="I831" s="19"/>
      <c r="J831" s="19"/>
      <c r="K831" s="3"/>
      <c r="L831" s="3"/>
      <c r="M831" s="20"/>
      <c r="N831" s="20"/>
      <c r="O831" s="20"/>
      <c r="P831" s="21"/>
      <c r="Q831" s="22"/>
      <c r="R831" s="22"/>
      <c r="S831" s="19"/>
      <c r="T831" s="19"/>
      <c r="U831" s="19"/>
      <c r="V831" s="19"/>
      <c r="W831" s="26"/>
      <c r="X831" s="28"/>
    </row>
    <row r="832">
      <c r="A832" s="15"/>
      <c r="B832" s="16"/>
      <c r="C832" s="15"/>
      <c r="D832" s="15"/>
      <c r="E832" s="15"/>
      <c r="F832" s="3"/>
      <c r="G832" s="18"/>
      <c r="H832" s="3"/>
      <c r="I832" s="19"/>
      <c r="J832" s="19"/>
      <c r="K832" s="3"/>
      <c r="L832" s="3"/>
      <c r="M832" s="20"/>
      <c r="N832" s="20"/>
      <c r="O832" s="20"/>
      <c r="P832" s="21"/>
      <c r="Q832" s="22"/>
      <c r="R832" s="22"/>
      <c r="S832" s="19"/>
      <c r="T832" s="19"/>
      <c r="U832" s="19"/>
      <c r="V832" s="19"/>
      <c r="W832" s="26"/>
      <c r="X832" s="28"/>
    </row>
    <row r="833">
      <c r="A833" s="15"/>
      <c r="B833" s="16"/>
      <c r="C833" s="15"/>
      <c r="D833" s="15"/>
      <c r="E833" s="15"/>
      <c r="F833" s="3"/>
      <c r="G833" s="18"/>
      <c r="H833" s="3"/>
      <c r="I833" s="19"/>
      <c r="J833" s="19"/>
      <c r="K833" s="3"/>
      <c r="L833" s="3"/>
      <c r="M833" s="20"/>
      <c r="N833" s="20"/>
      <c r="O833" s="20"/>
      <c r="P833" s="21"/>
      <c r="Q833" s="22"/>
      <c r="R833" s="22"/>
      <c r="S833" s="19"/>
      <c r="T833" s="19"/>
      <c r="U833" s="19"/>
      <c r="V833" s="19"/>
      <c r="W833" s="26"/>
      <c r="X833" s="28"/>
    </row>
    <row r="834">
      <c r="A834" s="15"/>
      <c r="B834" s="16"/>
      <c r="C834" s="15"/>
      <c r="D834" s="15"/>
      <c r="E834" s="15"/>
      <c r="F834" s="3"/>
      <c r="G834" s="18"/>
      <c r="H834" s="3"/>
      <c r="I834" s="19"/>
      <c r="J834" s="19"/>
      <c r="K834" s="3"/>
      <c r="L834" s="3"/>
      <c r="M834" s="20"/>
      <c r="N834" s="20"/>
      <c r="O834" s="20"/>
      <c r="P834" s="21"/>
      <c r="Q834" s="22"/>
      <c r="R834" s="22"/>
      <c r="S834" s="19"/>
      <c r="T834" s="19"/>
      <c r="U834" s="19"/>
      <c r="V834" s="19"/>
      <c r="W834" s="26"/>
      <c r="X834" s="28"/>
    </row>
    <row r="835">
      <c r="A835" s="15"/>
      <c r="B835" s="16"/>
      <c r="C835" s="15"/>
      <c r="D835" s="15"/>
      <c r="E835" s="15"/>
      <c r="F835" s="3"/>
      <c r="G835" s="18"/>
      <c r="H835" s="3"/>
      <c r="I835" s="19"/>
      <c r="J835" s="19"/>
      <c r="K835" s="3"/>
      <c r="L835" s="3"/>
      <c r="M835" s="20"/>
      <c r="N835" s="20"/>
      <c r="O835" s="20"/>
      <c r="P835" s="21"/>
      <c r="Q835" s="22"/>
      <c r="R835" s="22"/>
      <c r="S835" s="19"/>
      <c r="T835" s="19"/>
      <c r="U835" s="19"/>
      <c r="V835" s="19"/>
      <c r="W835" s="26"/>
      <c r="X835" s="28"/>
    </row>
    <row r="836">
      <c r="A836" s="15"/>
      <c r="B836" s="16"/>
      <c r="C836" s="15"/>
      <c r="D836" s="15"/>
      <c r="E836" s="15"/>
      <c r="F836" s="3"/>
      <c r="G836" s="18"/>
      <c r="H836" s="3"/>
      <c r="I836" s="19"/>
      <c r="J836" s="19"/>
      <c r="K836" s="3"/>
      <c r="L836" s="3"/>
      <c r="M836" s="20"/>
      <c r="N836" s="20"/>
      <c r="O836" s="20"/>
      <c r="P836" s="21"/>
      <c r="Q836" s="22"/>
      <c r="R836" s="22"/>
      <c r="S836" s="19"/>
      <c r="T836" s="19"/>
      <c r="U836" s="19"/>
      <c r="V836" s="19"/>
      <c r="W836" s="26"/>
      <c r="X836" s="28"/>
    </row>
    <row r="837">
      <c r="A837" s="15"/>
      <c r="B837" s="16"/>
      <c r="C837" s="15"/>
      <c r="D837" s="15"/>
      <c r="E837" s="15"/>
      <c r="F837" s="3"/>
      <c r="G837" s="18"/>
      <c r="H837" s="3"/>
      <c r="I837" s="19"/>
      <c r="J837" s="19"/>
      <c r="K837" s="3"/>
      <c r="L837" s="3"/>
      <c r="M837" s="20"/>
      <c r="N837" s="20"/>
      <c r="O837" s="20"/>
      <c r="P837" s="21"/>
      <c r="Q837" s="22"/>
      <c r="R837" s="22"/>
      <c r="S837" s="19"/>
      <c r="T837" s="19"/>
      <c r="U837" s="19"/>
      <c r="V837" s="19"/>
      <c r="W837" s="26"/>
      <c r="X837" s="28"/>
    </row>
    <row r="838">
      <c r="A838" s="15"/>
      <c r="B838" s="16"/>
      <c r="C838" s="15"/>
      <c r="D838" s="15"/>
      <c r="E838" s="15"/>
      <c r="F838" s="3"/>
      <c r="G838" s="18"/>
      <c r="H838" s="3"/>
      <c r="I838" s="19"/>
      <c r="J838" s="19"/>
      <c r="K838" s="3"/>
      <c r="L838" s="3"/>
      <c r="M838" s="20"/>
      <c r="N838" s="20"/>
      <c r="O838" s="20"/>
      <c r="P838" s="21"/>
      <c r="Q838" s="22"/>
      <c r="R838" s="22"/>
      <c r="S838" s="19"/>
      <c r="T838" s="19"/>
      <c r="U838" s="19"/>
      <c r="V838" s="19"/>
      <c r="W838" s="26"/>
      <c r="X838" s="28"/>
    </row>
    <row r="839">
      <c r="A839" s="15"/>
      <c r="B839" s="16"/>
      <c r="C839" s="15"/>
      <c r="D839" s="15"/>
      <c r="E839" s="15"/>
      <c r="F839" s="3"/>
      <c r="G839" s="18"/>
      <c r="H839" s="3"/>
      <c r="I839" s="19"/>
      <c r="J839" s="19"/>
      <c r="K839" s="3"/>
      <c r="L839" s="3"/>
      <c r="M839" s="20"/>
      <c r="N839" s="20"/>
      <c r="O839" s="20"/>
      <c r="P839" s="21"/>
      <c r="Q839" s="22"/>
      <c r="R839" s="22"/>
      <c r="S839" s="19"/>
      <c r="T839" s="19"/>
      <c r="U839" s="19"/>
      <c r="V839" s="19"/>
      <c r="W839" s="26"/>
      <c r="X839" s="28"/>
    </row>
    <row r="840">
      <c r="A840" s="15"/>
      <c r="B840" s="16"/>
      <c r="C840" s="15"/>
      <c r="D840" s="15"/>
      <c r="E840" s="15"/>
      <c r="F840" s="3"/>
      <c r="G840" s="18"/>
      <c r="H840" s="3"/>
      <c r="I840" s="19"/>
      <c r="J840" s="19"/>
      <c r="K840" s="3"/>
      <c r="L840" s="3"/>
      <c r="M840" s="20"/>
      <c r="N840" s="20"/>
      <c r="O840" s="20"/>
      <c r="P840" s="21"/>
      <c r="Q840" s="22"/>
      <c r="R840" s="22"/>
      <c r="S840" s="19"/>
      <c r="T840" s="19"/>
      <c r="U840" s="19"/>
      <c r="V840" s="19"/>
      <c r="W840" s="26"/>
      <c r="X840" s="28"/>
    </row>
    <row r="841">
      <c r="A841" s="15"/>
      <c r="B841" s="16"/>
      <c r="C841" s="15"/>
      <c r="D841" s="15"/>
      <c r="E841" s="15"/>
      <c r="F841" s="3"/>
      <c r="G841" s="18"/>
      <c r="H841" s="3"/>
      <c r="I841" s="19"/>
      <c r="J841" s="19"/>
      <c r="K841" s="3"/>
      <c r="L841" s="3"/>
      <c r="M841" s="20"/>
      <c r="N841" s="20"/>
      <c r="O841" s="20"/>
      <c r="P841" s="21"/>
      <c r="Q841" s="22"/>
      <c r="R841" s="22"/>
      <c r="S841" s="19"/>
      <c r="T841" s="19"/>
      <c r="U841" s="19"/>
      <c r="V841" s="19"/>
      <c r="W841" s="26"/>
      <c r="X841" s="28"/>
    </row>
    <row r="842">
      <c r="A842" s="15"/>
      <c r="B842" s="16"/>
      <c r="C842" s="15"/>
      <c r="D842" s="15"/>
      <c r="E842" s="15"/>
      <c r="F842" s="3"/>
      <c r="G842" s="18"/>
      <c r="H842" s="3"/>
      <c r="I842" s="19"/>
      <c r="J842" s="19"/>
      <c r="K842" s="3"/>
      <c r="L842" s="3"/>
      <c r="M842" s="20"/>
      <c r="N842" s="20"/>
      <c r="O842" s="20"/>
      <c r="P842" s="21"/>
      <c r="Q842" s="22"/>
      <c r="R842" s="22"/>
      <c r="S842" s="19"/>
      <c r="T842" s="19"/>
      <c r="U842" s="19"/>
      <c r="V842" s="19"/>
      <c r="W842" s="26"/>
      <c r="X842" s="28"/>
    </row>
    <row r="843">
      <c r="A843" s="15"/>
      <c r="B843" s="16"/>
      <c r="C843" s="15"/>
      <c r="D843" s="15"/>
      <c r="E843" s="15"/>
      <c r="F843" s="3"/>
      <c r="G843" s="18"/>
      <c r="H843" s="3"/>
      <c r="I843" s="19"/>
      <c r="J843" s="19"/>
      <c r="K843" s="3"/>
      <c r="L843" s="3"/>
      <c r="M843" s="20"/>
      <c r="N843" s="20"/>
      <c r="O843" s="20"/>
      <c r="P843" s="21"/>
      <c r="Q843" s="22"/>
      <c r="R843" s="22"/>
      <c r="S843" s="19"/>
      <c r="T843" s="19"/>
      <c r="U843" s="19"/>
      <c r="V843" s="19"/>
      <c r="W843" s="26"/>
      <c r="X843" s="28"/>
    </row>
    <row r="844">
      <c r="A844" s="15"/>
      <c r="B844" s="16"/>
      <c r="C844" s="15"/>
      <c r="D844" s="15"/>
      <c r="E844" s="15"/>
      <c r="F844" s="3"/>
      <c r="G844" s="18"/>
      <c r="H844" s="3"/>
      <c r="I844" s="19"/>
      <c r="J844" s="19"/>
      <c r="K844" s="3"/>
      <c r="L844" s="3"/>
      <c r="M844" s="20"/>
      <c r="N844" s="20"/>
      <c r="O844" s="20"/>
      <c r="P844" s="21"/>
      <c r="Q844" s="22"/>
      <c r="R844" s="22"/>
      <c r="S844" s="19"/>
      <c r="T844" s="19"/>
      <c r="U844" s="19"/>
      <c r="V844" s="19"/>
      <c r="W844" s="26"/>
      <c r="X844" s="28"/>
    </row>
    <row r="845">
      <c r="A845" s="15"/>
      <c r="B845" s="16"/>
      <c r="C845" s="15"/>
      <c r="D845" s="15"/>
      <c r="E845" s="15"/>
      <c r="F845" s="3"/>
      <c r="G845" s="18"/>
      <c r="H845" s="3"/>
      <c r="I845" s="19"/>
      <c r="J845" s="19"/>
      <c r="K845" s="3"/>
      <c r="L845" s="3"/>
      <c r="M845" s="20"/>
      <c r="N845" s="20"/>
      <c r="O845" s="20"/>
      <c r="P845" s="21"/>
      <c r="Q845" s="22"/>
      <c r="R845" s="22"/>
      <c r="S845" s="19"/>
      <c r="T845" s="19"/>
      <c r="U845" s="19"/>
      <c r="V845" s="19"/>
      <c r="W845" s="26"/>
      <c r="X845" s="28"/>
    </row>
    <row r="846">
      <c r="A846" s="15"/>
      <c r="B846" s="16"/>
      <c r="C846" s="15"/>
      <c r="D846" s="15"/>
      <c r="E846" s="15"/>
      <c r="F846" s="3"/>
      <c r="G846" s="18"/>
      <c r="H846" s="3"/>
      <c r="I846" s="19"/>
      <c r="J846" s="19"/>
      <c r="K846" s="3"/>
      <c r="L846" s="3"/>
      <c r="M846" s="20"/>
      <c r="N846" s="20"/>
      <c r="O846" s="20"/>
      <c r="P846" s="21"/>
      <c r="Q846" s="22"/>
      <c r="R846" s="22"/>
      <c r="S846" s="19"/>
      <c r="T846" s="19"/>
      <c r="U846" s="19"/>
      <c r="V846" s="19"/>
      <c r="W846" s="26"/>
      <c r="X846" s="28"/>
    </row>
    <row r="847">
      <c r="A847" s="15"/>
      <c r="B847" s="16"/>
      <c r="C847" s="15"/>
      <c r="D847" s="15"/>
      <c r="E847" s="15"/>
      <c r="F847" s="3"/>
      <c r="G847" s="18"/>
      <c r="H847" s="3"/>
      <c r="I847" s="19"/>
      <c r="J847" s="19"/>
      <c r="K847" s="3"/>
      <c r="L847" s="3"/>
      <c r="M847" s="20"/>
      <c r="N847" s="20"/>
      <c r="O847" s="20"/>
      <c r="P847" s="21"/>
      <c r="Q847" s="22"/>
      <c r="R847" s="22"/>
      <c r="S847" s="19"/>
      <c r="T847" s="19"/>
      <c r="U847" s="19"/>
      <c r="V847" s="19"/>
      <c r="W847" s="26"/>
      <c r="X847" s="28"/>
    </row>
    <row r="848">
      <c r="A848" s="15"/>
      <c r="B848" s="16"/>
      <c r="C848" s="15"/>
      <c r="D848" s="15"/>
      <c r="E848" s="15"/>
      <c r="F848" s="3"/>
      <c r="G848" s="18"/>
      <c r="H848" s="3"/>
      <c r="I848" s="19"/>
      <c r="J848" s="19"/>
      <c r="K848" s="3"/>
      <c r="L848" s="3"/>
      <c r="M848" s="20"/>
      <c r="N848" s="20"/>
      <c r="O848" s="20"/>
      <c r="P848" s="21"/>
      <c r="Q848" s="22"/>
      <c r="R848" s="22"/>
      <c r="S848" s="19"/>
      <c r="T848" s="19"/>
      <c r="U848" s="19"/>
      <c r="V848" s="19"/>
      <c r="W848" s="26"/>
      <c r="X848" s="28"/>
    </row>
    <row r="849">
      <c r="A849" s="15"/>
      <c r="B849" s="16"/>
      <c r="C849" s="15"/>
      <c r="D849" s="15"/>
      <c r="E849" s="15"/>
      <c r="F849" s="3"/>
      <c r="G849" s="18"/>
      <c r="H849" s="3"/>
      <c r="I849" s="19"/>
      <c r="J849" s="19"/>
      <c r="K849" s="3"/>
      <c r="L849" s="3"/>
      <c r="M849" s="20"/>
      <c r="N849" s="20"/>
      <c r="O849" s="20"/>
      <c r="P849" s="21"/>
      <c r="Q849" s="22"/>
      <c r="R849" s="22"/>
      <c r="S849" s="19"/>
      <c r="T849" s="19"/>
      <c r="U849" s="19"/>
      <c r="V849" s="19"/>
      <c r="W849" s="26"/>
      <c r="X849" s="28"/>
    </row>
    <row r="850">
      <c r="A850" s="15"/>
      <c r="B850" s="16"/>
      <c r="C850" s="15"/>
      <c r="D850" s="15"/>
      <c r="E850" s="15"/>
      <c r="F850" s="3"/>
      <c r="G850" s="18"/>
      <c r="H850" s="3"/>
      <c r="I850" s="19"/>
      <c r="J850" s="19"/>
      <c r="K850" s="3"/>
      <c r="L850" s="3"/>
      <c r="M850" s="20"/>
      <c r="N850" s="20"/>
      <c r="O850" s="20"/>
      <c r="P850" s="21"/>
      <c r="Q850" s="22"/>
      <c r="R850" s="22"/>
      <c r="S850" s="19"/>
      <c r="T850" s="19"/>
      <c r="U850" s="19"/>
      <c r="V850" s="19"/>
      <c r="W850" s="26"/>
      <c r="X850" s="28"/>
    </row>
    <row r="851">
      <c r="A851" s="15"/>
      <c r="B851" s="16"/>
      <c r="C851" s="15"/>
      <c r="D851" s="15"/>
      <c r="E851" s="15"/>
      <c r="F851" s="3"/>
      <c r="G851" s="18"/>
      <c r="H851" s="3"/>
      <c r="I851" s="19"/>
      <c r="J851" s="19"/>
      <c r="K851" s="3"/>
      <c r="L851" s="3"/>
      <c r="M851" s="20"/>
      <c r="N851" s="20"/>
      <c r="O851" s="20"/>
      <c r="P851" s="21"/>
      <c r="Q851" s="22"/>
      <c r="R851" s="22"/>
      <c r="S851" s="19"/>
      <c r="T851" s="19"/>
      <c r="U851" s="19"/>
      <c r="V851" s="19"/>
      <c r="W851" s="26"/>
      <c r="X851" s="28"/>
    </row>
    <row r="852">
      <c r="A852" s="15"/>
      <c r="B852" s="16"/>
      <c r="C852" s="15"/>
      <c r="D852" s="15"/>
      <c r="E852" s="15"/>
      <c r="F852" s="3"/>
      <c r="G852" s="18"/>
      <c r="H852" s="3"/>
      <c r="I852" s="19"/>
      <c r="J852" s="19"/>
      <c r="K852" s="3"/>
      <c r="L852" s="3"/>
      <c r="M852" s="20"/>
      <c r="N852" s="20"/>
      <c r="O852" s="20"/>
      <c r="P852" s="21"/>
      <c r="Q852" s="22"/>
      <c r="R852" s="22"/>
      <c r="S852" s="19"/>
      <c r="T852" s="19"/>
      <c r="U852" s="19"/>
      <c r="V852" s="19"/>
      <c r="W852" s="26"/>
      <c r="X852" s="28"/>
    </row>
    <row r="853">
      <c r="A853" s="15"/>
      <c r="B853" s="16"/>
      <c r="C853" s="15"/>
      <c r="D853" s="15"/>
      <c r="E853" s="15"/>
      <c r="F853" s="3"/>
      <c r="G853" s="18"/>
      <c r="H853" s="3"/>
      <c r="I853" s="19"/>
      <c r="J853" s="19"/>
      <c r="K853" s="3"/>
      <c r="L853" s="3"/>
      <c r="M853" s="20"/>
      <c r="N853" s="20"/>
      <c r="O853" s="20"/>
      <c r="P853" s="21"/>
      <c r="Q853" s="22"/>
      <c r="R853" s="22"/>
      <c r="S853" s="19"/>
      <c r="T853" s="19"/>
      <c r="U853" s="19"/>
      <c r="V853" s="19"/>
      <c r="W853" s="26"/>
      <c r="X853" s="28"/>
    </row>
    <row r="854">
      <c r="A854" s="15"/>
      <c r="B854" s="16"/>
      <c r="C854" s="15"/>
      <c r="D854" s="15"/>
      <c r="E854" s="15"/>
      <c r="F854" s="3"/>
      <c r="G854" s="18"/>
      <c r="H854" s="3"/>
      <c r="I854" s="19"/>
      <c r="J854" s="19"/>
      <c r="K854" s="3"/>
      <c r="L854" s="3"/>
      <c r="M854" s="20"/>
      <c r="N854" s="20"/>
      <c r="O854" s="20"/>
      <c r="P854" s="21"/>
      <c r="Q854" s="22"/>
      <c r="R854" s="22"/>
      <c r="S854" s="19"/>
      <c r="T854" s="19"/>
      <c r="U854" s="19"/>
      <c r="V854" s="19"/>
      <c r="W854" s="26"/>
      <c r="X854" s="28"/>
    </row>
    <row r="855">
      <c r="A855" s="15"/>
      <c r="B855" s="16"/>
      <c r="C855" s="15"/>
      <c r="D855" s="15"/>
      <c r="E855" s="15"/>
      <c r="F855" s="3"/>
      <c r="G855" s="18"/>
      <c r="H855" s="3"/>
      <c r="I855" s="19"/>
      <c r="J855" s="19"/>
      <c r="K855" s="3"/>
      <c r="L855" s="3"/>
      <c r="M855" s="20"/>
      <c r="N855" s="20"/>
      <c r="O855" s="20"/>
      <c r="P855" s="21"/>
      <c r="Q855" s="22"/>
      <c r="R855" s="22"/>
      <c r="S855" s="19"/>
      <c r="T855" s="19"/>
      <c r="U855" s="19"/>
      <c r="V855" s="19"/>
      <c r="W855" s="26"/>
      <c r="X855" s="28"/>
    </row>
    <row r="856">
      <c r="A856" s="15"/>
      <c r="B856" s="16"/>
      <c r="C856" s="15"/>
      <c r="D856" s="15"/>
      <c r="E856" s="15"/>
      <c r="F856" s="3"/>
      <c r="G856" s="18"/>
      <c r="H856" s="3"/>
      <c r="I856" s="19"/>
      <c r="J856" s="19"/>
      <c r="K856" s="3"/>
      <c r="L856" s="3"/>
      <c r="M856" s="20"/>
      <c r="N856" s="20"/>
      <c r="O856" s="20"/>
      <c r="P856" s="21"/>
      <c r="Q856" s="22"/>
      <c r="R856" s="22"/>
      <c r="S856" s="19"/>
      <c r="T856" s="19"/>
      <c r="U856" s="19"/>
      <c r="V856" s="19"/>
      <c r="W856" s="26"/>
      <c r="X856" s="28"/>
    </row>
    <row r="857">
      <c r="A857" s="15"/>
      <c r="B857" s="16"/>
      <c r="C857" s="15"/>
      <c r="D857" s="15"/>
      <c r="E857" s="15"/>
      <c r="F857" s="3"/>
      <c r="G857" s="18"/>
      <c r="H857" s="3"/>
      <c r="I857" s="19"/>
      <c r="J857" s="19"/>
      <c r="K857" s="3"/>
      <c r="L857" s="3"/>
      <c r="M857" s="20"/>
      <c r="N857" s="20"/>
      <c r="O857" s="20"/>
      <c r="P857" s="21"/>
      <c r="Q857" s="22"/>
      <c r="R857" s="22"/>
      <c r="S857" s="19"/>
      <c r="T857" s="19"/>
      <c r="U857" s="19"/>
      <c r="V857" s="19"/>
      <c r="W857" s="26"/>
      <c r="X857" s="28"/>
    </row>
    <row r="858">
      <c r="A858" s="15"/>
      <c r="B858" s="16"/>
      <c r="C858" s="15"/>
      <c r="D858" s="15"/>
      <c r="E858" s="15"/>
      <c r="F858" s="3"/>
      <c r="G858" s="18"/>
      <c r="H858" s="3"/>
      <c r="I858" s="19"/>
      <c r="J858" s="19"/>
      <c r="K858" s="3"/>
      <c r="L858" s="3"/>
      <c r="M858" s="20"/>
      <c r="N858" s="20"/>
      <c r="O858" s="20"/>
      <c r="P858" s="21"/>
      <c r="Q858" s="22"/>
      <c r="R858" s="22"/>
      <c r="S858" s="19"/>
      <c r="T858" s="19"/>
      <c r="U858" s="19"/>
      <c r="V858" s="19"/>
      <c r="W858" s="26"/>
      <c r="X858" s="28"/>
    </row>
    <row r="859">
      <c r="A859" s="15"/>
      <c r="B859" s="16"/>
      <c r="C859" s="15"/>
      <c r="D859" s="15"/>
      <c r="E859" s="15"/>
      <c r="F859" s="3"/>
      <c r="G859" s="18"/>
      <c r="H859" s="3"/>
      <c r="I859" s="19"/>
      <c r="J859" s="19"/>
      <c r="K859" s="3"/>
      <c r="L859" s="3"/>
      <c r="M859" s="20"/>
      <c r="N859" s="20"/>
      <c r="O859" s="20"/>
      <c r="P859" s="21"/>
      <c r="Q859" s="22"/>
      <c r="R859" s="22"/>
      <c r="S859" s="19"/>
      <c r="T859" s="19"/>
      <c r="U859" s="19"/>
      <c r="V859" s="19"/>
      <c r="W859" s="26"/>
      <c r="X859" s="28"/>
    </row>
    <row r="860">
      <c r="A860" s="15"/>
      <c r="B860" s="16"/>
      <c r="C860" s="15"/>
      <c r="D860" s="15"/>
      <c r="E860" s="15"/>
      <c r="F860" s="3"/>
      <c r="G860" s="18"/>
      <c r="H860" s="3"/>
      <c r="I860" s="19"/>
      <c r="J860" s="19"/>
      <c r="K860" s="3"/>
      <c r="L860" s="3"/>
      <c r="M860" s="20"/>
      <c r="N860" s="20"/>
      <c r="O860" s="20"/>
      <c r="P860" s="21"/>
      <c r="Q860" s="22"/>
      <c r="R860" s="22"/>
      <c r="S860" s="19"/>
      <c r="T860" s="19"/>
      <c r="U860" s="19"/>
      <c r="V860" s="19"/>
      <c r="W860" s="26"/>
      <c r="X860" s="28"/>
    </row>
    <row r="861">
      <c r="A861" s="15"/>
      <c r="B861" s="16"/>
      <c r="C861" s="15"/>
      <c r="D861" s="15"/>
      <c r="E861" s="15"/>
      <c r="F861" s="3"/>
      <c r="G861" s="18"/>
      <c r="H861" s="3"/>
      <c r="I861" s="19"/>
      <c r="J861" s="19"/>
      <c r="K861" s="3"/>
      <c r="L861" s="3"/>
      <c r="M861" s="20"/>
      <c r="N861" s="20"/>
      <c r="O861" s="20"/>
      <c r="P861" s="21"/>
      <c r="Q861" s="22"/>
      <c r="R861" s="22"/>
      <c r="S861" s="19"/>
      <c r="T861" s="19"/>
      <c r="U861" s="19"/>
      <c r="V861" s="19"/>
      <c r="W861" s="26"/>
      <c r="X861" s="28"/>
    </row>
    <row r="862">
      <c r="A862" s="15"/>
      <c r="B862" s="16"/>
      <c r="C862" s="15"/>
      <c r="D862" s="15"/>
      <c r="E862" s="15"/>
      <c r="F862" s="3"/>
      <c r="G862" s="18"/>
      <c r="H862" s="3"/>
      <c r="I862" s="19"/>
      <c r="J862" s="19"/>
      <c r="K862" s="3"/>
      <c r="L862" s="3"/>
      <c r="M862" s="20"/>
      <c r="N862" s="20"/>
      <c r="O862" s="20"/>
      <c r="P862" s="21"/>
      <c r="Q862" s="22"/>
      <c r="R862" s="22"/>
      <c r="S862" s="19"/>
      <c r="T862" s="19"/>
      <c r="U862" s="19"/>
      <c r="V862" s="19"/>
      <c r="W862" s="26"/>
      <c r="X862" s="28"/>
    </row>
    <row r="863">
      <c r="A863" s="15"/>
      <c r="B863" s="16"/>
      <c r="C863" s="15"/>
      <c r="D863" s="15"/>
      <c r="E863" s="15"/>
      <c r="F863" s="3"/>
      <c r="G863" s="18"/>
      <c r="H863" s="3"/>
      <c r="I863" s="19"/>
      <c r="J863" s="19"/>
      <c r="K863" s="3"/>
      <c r="L863" s="3"/>
      <c r="M863" s="20"/>
      <c r="N863" s="20"/>
      <c r="O863" s="20"/>
      <c r="P863" s="21"/>
      <c r="Q863" s="22"/>
      <c r="R863" s="22"/>
      <c r="S863" s="19"/>
      <c r="T863" s="19"/>
      <c r="U863" s="19"/>
      <c r="V863" s="19"/>
      <c r="W863" s="26"/>
      <c r="X863" s="28"/>
    </row>
    <row r="864">
      <c r="A864" s="15"/>
      <c r="B864" s="16"/>
      <c r="C864" s="15"/>
      <c r="D864" s="15"/>
      <c r="E864" s="15"/>
      <c r="F864" s="3"/>
      <c r="G864" s="18"/>
      <c r="H864" s="3"/>
      <c r="I864" s="19"/>
      <c r="J864" s="19"/>
      <c r="K864" s="3"/>
      <c r="L864" s="3"/>
      <c r="M864" s="20"/>
      <c r="N864" s="20"/>
      <c r="O864" s="20"/>
      <c r="P864" s="21"/>
      <c r="Q864" s="22"/>
      <c r="R864" s="22"/>
      <c r="S864" s="19"/>
      <c r="T864" s="19"/>
      <c r="U864" s="19"/>
      <c r="V864" s="19"/>
      <c r="W864" s="26"/>
      <c r="X864" s="28"/>
    </row>
    <row r="865">
      <c r="A865" s="15"/>
      <c r="B865" s="16"/>
      <c r="C865" s="15"/>
      <c r="D865" s="15"/>
      <c r="E865" s="15"/>
      <c r="F865" s="3"/>
      <c r="G865" s="18"/>
      <c r="H865" s="3"/>
      <c r="I865" s="19"/>
      <c r="J865" s="19"/>
      <c r="K865" s="3"/>
      <c r="L865" s="3"/>
      <c r="M865" s="20"/>
      <c r="N865" s="20"/>
      <c r="O865" s="20"/>
      <c r="P865" s="21"/>
      <c r="Q865" s="22"/>
      <c r="R865" s="22"/>
      <c r="S865" s="19"/>
      <c r="T865" s="19"/>
      <c r="U865" s="19"/>
      <c r="V865" s="19"/>
      <c r="W865" s="26"/>
      <c r="X865" s="28"/>
    </row>
    <row r="866">
      <c r="A866" s="15"/>
      <c r="B866" s="16"/>
      <c r="C866" s="15"/>
      <c r="D866" s="15"/>
      <c r="E866" s="15"/>
      <c r="F866" s="3"/>
      <c r="G866" s="18"/>
      <c r="H866" s="3"/>
      <c r="I866" s="19"/>
      <c r="J866" s="19"/>
      <c r="K866" s="3"/>
      <c r="L866" s="3"/>
      <c r="M866" s="20"/>
      <c r="N866" s="20"/>
      <c r="O866" s="20"/>
      <c r="P866" s="21"/>
      <c r="Q866" s="22"/>
      <c r="R866" s="22"/>
      <c r="S866" s="19"/>
      <c r="T866" s="19"/>
      <c r="U866" s="19"/>
      <c r="V866" s="19"/>
      <c r="W866" s="26"/>
      <c r="X866" s="28"/>
    </row>
    <row r="867">
      <c r="A867" s="15"/>
      <c r="B867" s="16"/>
      <c r="C867" s="15"/>
      <c r="D867" s="15"/>
      <c r="E867" s="15"/>
      <c r="F867" s="3"/>
      <c r="G867" s="18"/>
      <c r="H867" s="3"/>
      <c r="I867" s="19"/>
      <c r="J867" s="19"/>
      <c r="K867" s="3"/>
      <c r="L867" s="3"/>
      <c r="M867" s="20"/>
      <c r="N867" s="20"/>
      <c r="O867" s="20"/>
      <c r="P867" s="21"/>
      <c r="Q867" s="22"/>
      <c r="R867" s="22"/>
      <c r="S867" s="19"/>
      <c r="T867" s="19"/>
      <c r="U867" s="19"/>
      <c r="V867" s="19"/>
      <c r="W867" s="26"/>
      <c r="X867" s="28"/>
    </row>
    <row r="868">
      <c r="A868" s="15"/>
      <c r="B868" s="16"/>
      <c r="C868" s="15"/>
      <c r="D868" s="15"/>
      <c r="E868" s="15"/>
      <c r="F868" s="3"/>
      <c r="G868" s="18"/>
      <c r="H868" s="3"/>
      <c r="I868" s="19"/>
      <c r="J868" s="19"/>
      <c r="K868" s="3"/>
      <c r="L868" s="3"/>
      <c r="M868" s="20"/>
      <c r="N868" s="20"/>
      <c r="O868" s="20"/>
      <c r="P868" s="21"/>
      <c r="Q868" s="22"/>
      <c r="R868" s="22"/>
      <c r="S868" s="19"/>
      <c r="T868" s="19"/>
      <c r="U868" s="19"/>
      <c r="V868" s="19"/>
      <c r="W868" s="26"/>
      <c r="X868" s="28"/>
    </row>
    <row r="869">
      <c r="A869" s="15"/>
      <c r="B869" s="16"/>
      <c r="C869" s="15"/>
      <c r="D869" s="15"/>
      <c r="E869" s="15"/>
      <c r="F869" s="3"/>
      <c r="G869" s="18"/>
      <c r="H869" s="3"/>
      <c r="I869" s="19"/>
      <c r="J869" s="19"/>
      <c r="K869" s="3"/>
      <c r="L869" s="3"/>
      <c r="M869" s="20"/>
      <c r="N869" s="20"/>
      <c r="O869" s="20"/>
      <c r="P869" s="21"/>
      <c r="Q869" s="22"/>
      <c r="R869" s="22"/>
      <c r="S869" s="19"/>
      <c r="T869" s="19"/>
      <c r="U869" s="19"/>
      <c r="V869" s="19"/>
      <c r="W869" s="26"/>
      <c r="X869" s="28"/>
    </row>
    <row r="870">
      <c r="A870" s="15"/>
      <c r="B870" s="16"/>
      <c r="C870" s="15"/>
      <c r="D870" s="15"/>
      <c r="E870" s="15"/>
      <c r="F870" s="3"/>
      <c r="G870" s="18"/>
      <c r="H870" s="3"/>
      <c r="I870" s="19"/>
      <c r="J870" s="19"/>
      <c r="K870" s="3"/>
      <c r="L870" s="3"/>
      <c r="M870" s="20"/>
      <c r="N870" s="20"/>
      <c r="O870" s="20"/>
      <c r="P870" s="21"/>
      <c r="Q870" s="22"/>
      <c r="R870" s="22"/>
      <c r="S870" s="19"/>
      <c r="T870" s="19"/>
      <c r="U870" s="19"/>
      <c r="V870" s="19"/>
      <c r="W870" s="26"/>
      <c r="X870" s="28"/>
    </row>
    <row r="871">
      <c r="A871" s="15"/>
      <c r="B871" s="16"/>
      <c r="C871" s="15"/>
      <c r="D871" s="15"/>
      <c r="E871" s="15"/>
      <c r="F871" s="3"/>
      <c r="G871" s="18"/>
      <c r="H871" s="3"/>
      <c r="I871" s="19"/>
      <c r="J871" s="19"/>
      <c r="K871" s="3"/>
      <c r="L871" s="3"/>
      <c r="M871" s="20"/>
      <c r="N871" s="20"/>
      <c r="O871" s="20"/>
      <c r="P871" s="21"/>
      <c r="Q871" s="22"/>
      <c r="R871" s="22"/>
      <c r="S871" s="19"/>
      <c r="T871" s="19"/>
      <c r="U871" s="19"/>
      <c r="V871" s="19"/>
      <c r="W871" s="26"/>
      <c r="X871" s="28"/>
    </row>
    <row r="872">
      <c r="A872" s="15"/>
      <c r="B872" s="16"/>
      <c r="C872" s="15"/>
      <c r="D872" s="15"/>
      <c r="E872" s="15"/>
      <c r="F872" s="3"/>
      <c r="G872" s="18"/>
      <c r="H872" s="3"/>
      <c r="I872" s="19"/>
      <c r="J872" s="19"/>
      <c r="K872" s="3"/>
      <c r="L872" s="3"/>
      <c r="M872" s="20"/>
      <c r="N872" s="20"/>
      <c r="O872" s="20"/>
      <c r="P872" s="21"/>
      <c r="Q872" s="22"/>
      <c r="R872" s="22"/>
      <c r="S872" s="19"/>
      <c r="T872" s="19"/>
      <c r="U872" s="19"/>
      <c r="V872" s="19"/>
      <c r="W872" s="26"/>
      <c r="X872" s="28"/>
    </row>
    <row r="873">
      <c r="A873" s="15"/>
      <c r="B873" s="16"/>
      <c r="C873" s="15"/>
      <c r="D873" s="15"/>
      <c r="E873" s="15"/>
      <c r="F873" s="3"/>
      <c r="G873" s="18"/>
      <c r="H873" s="3"/>
      <c r="I873" s="19"/>
      <c r="J873" s="19"/>
      <c r="K873" s="3"/>
      <c r="L873" s="3"/>
      <c r="M873" s="20"/>
      <c r="N873" s="20"/>
      <c r="O873" s="20"/>
      <c r="P873" s="21"/>
      <c r="Q873" s="22"/>
      <c r="R873" s="22"/>
      <c r="S873" s="19"/>
      <c r="T873" s="19"/>
      <c r="U873" s="19"/>
      <c r="V873" s="19"/>
      <c r="W873" s="26"/>
      <c r="X873" s="28"/>
    </row>
    <row r="874">
      <c r="A874" s="15"/>
      <c r="B874" s="16"/>
      <c r="C874" s="15"/>
      <c r="D874" s="15"/>
      <c r="E874" s="15"/>
      <c r="F874" s="3"/>
      <c r="G874" s="18"/>
      <c r="H874" s="3"/>
      <c r="I874" s="19"/>
      <c r="J874" s="19"/>
      <c r="K874" s="3"/>
      <c r="L874" s="3"/>
      <c r="M874" s="20"/>
      <c r="N874" s="20"/>
      <c r="O874" s="20"/>
      <c r="P874" s="21"/>
      <c r="Q874" s="22"/>
      <c r="R874" s="22"/>
      <c r="S874" s="19"/>
      <c r="T874" s="19"/>
      <c r="U874" s="19"/>
      <c r="V874" s="19"/>
      <c r="W874" s="26"/>
      <c r="X874" s="28"/>
    </row>
    <row r="875">
      <c r="A875" s="15"/>
      <c r="B875" s="16"/>
      <c r="C875" s="15"/>
      <c r="D875" s="15"/>
      <c r="E875" s="15"/>
      <c r="F875" s="3"/>
      <c r="G875" s="18"/>
      <c r="H875" s="3"/>
      <c r="I875" s="19"/>
      <c r="J875" s="19"/>
      <c r="K875" s="3"/>
      <c r="L875" s="3"/>
      <c r="M875" s="20"/>
      <c r="N875" s="20"/>
      <c r="O875" s="20"/>
      <c r="P875" s="21"/>
      <c r="Q875" s="22"/>
      <c r="R875" s="22"/>
      <c r="S875" s="19"/>
      <c r="T875" s="19"/>
      <c r="U875" s="19"/>
      <c r="V875" s="19"/>
      <c r="W875" s="26"/>
      <c r="X875" s="28"/>
    </row>
    <row r="876">
      <c r="A876" s="15"/>
      <c r="B876" s="16"/>
      <c r="C876" s="15"/>
      <c r="D876" s="15"/>
      <c r="E876" s="15"/>
      <c r="F876" s="3"/>
      <c r="G876" s="18"/>
      <c r="H876" s="3"/>
      <c r="I876" s="19"/>
      <c r="J876" s="19"/>
      <c r="K876" s="3"/>
      <c r="L876" s="3"/>
      <c r="M876" s="20"/>
      <c r="N876" s="20"/>
      <c r="O876" s="20"/>
      <c r="P876" s="21"/>
      <c r="Q876" s="22"/>
      <c r="R876" s="22"/>
      <c r="S876" s="19"/>
      <c r="T876" s="19"/>
      <c r="U876" s="19"/>
      <c r="V876" s="19"/>
      <c r="W876" s="26"/>
      <c r="X876" s="28"/>
    </row>
    <row r="877">
      <c r="A877" s="15"/>
      <c r="B877" s="16"/>
      <c r="C877" s="15"/>
      <c r="D877" s="15"/>
      <c r="E877" s="15"/>
      <c r="F877" s="3"/>
      <c r="G877" s="18"/>
      <c r="H877" s="3"/>
      <c r="I877" s="19"/>
      <c r="J877" s="19"/>
      <c r="K877" s="3"/>
      <c r="L877" s="3"/>
      <c r="M877" s="20"/>
      <c r="N877" s="20"/>
      <c r="O877" s="20"/>
      <c r="P877" s="21"/>
      <c r="Q877" s="22"/>
      <c r="R877" s="22"/>
      <c r="S877" s="19"/>
      <c r="T877" s="19"/>
      <c r="U877" s="19"/>
      <c r="V877" s="19"/>
      <c r="W877" s="26"/>
      <c r="X877" s="28"/>
    </row>
    <row r="878">
      <c r="A878" s="15"/>
      <c r="B878" s="16"/>
      <c r="C878" s="15"/>
      <c r="D878" s="15"/>
      <c r="E878" s="15"/>
      <c r="F878" s="3"/>
      <c r="G878" s="18"/>
      <c r="H878" s="3"/>
      <c r="I878" s="19"/>
      <c r="J878" s="19"/>
      <c r="K878" s="3"/>
      <c r="L878" s="3"/>
      <c r="M878" s="20"/>
      <c r="N878" s="20"/>
      <c r="O878" s="20"/>
      <c r="P878" s="21"/>
      <c r="Q878" s="22"/>
      <c r="R878" s="22"/>
      <c r="S878" s="19"/>
      <c r="T878" s="19"/>
      <c r="U878" s="19"/>
      <c r="V878" s="19"/>
      <c r="W878" s="26"/>
      <c r="X878" s="28"/>
    </row>
    <row r="879">
      <c r="A879" s="15"/>
      <c r="B879" s="16"/>
      <c r="C879" s="15"/>
      <c r="D879" s="15"/>
      <c r="E879" s="15"/>
      <c r="F879" s="3"/>
      <c r="G879" s="18"/>
      <c r="H879" s="3"/>
      <c r="I879" s="19"/>
      <c r="J879" s="19"/>
      <c r="K879" s="3"/>
      <c r="L879" s="3"/>
      <c r="M879" s="20"/>
      <c r="N879" s="20"/>
      <c r="O879" s="20"/>
      <c r="P879" s="21"/>
      <c r="Q879" s="22"/>
      <c r="R879" s="22"/>
      <c r="S879" s="19"/>
      <c r="T879" s="19"/>
      <c r="U879" s="19"/>
      <c r="V879" s="19"/>
      <c r="W879" s="26"/>
      <c r="X879" s="28"/>
    </row>
    <row r="880">
      <c r="A880" s="15"/>
      <c r="B880" s="16"/>
      <c r="C880" s="15"/>
      <c r="D880" s="15"/>
      <c r="E880" s="15"/>
      <c r="F880" s="3"/>
      <c r="G880" s="18"/>
      <c r="H880" s="3"/>
      <c r="I880" s="19"/>
      <c r="J880" s="19"/>
      <c r="K880" s="3"/>
      <c r="L880" s="3"/>
      <c r="M880" s="20"/>
      <c r="N880" s="20"/>
      <c r="O880" s="20"/>
      <c r="P880" s="21"/>
      <c r="Q880" s="22"/>
      <c r="R880" s="22"/>
      <c r="S880" s="19"/>
      <c r="T880" s="19"/>
      <c r="U880" s="19"/>
      <c r="V880" s="19"/>
      <c r="W880" s="26"/>
      <c r="X880" s="28"/>
    </row>
    <row r="881">
      <c r="A881" s="15"/>
      <c r="B881" s="16"/>
      <c r="C881" s="15"/>
      <c r="D881" s="15"/>
      <c r="E881" s="15"/>
      <c r="F881" s="3"/>
      <c r="G881" s="18"/>
      <c r="H881" s="3"/>
      <c r="I881" s="19"/>
      <c r="J881" s="19"/>
      <c r="K881" s="3"/>
      <c r="L881" s="3"/>
      <c r="M881" s="20"/>
      <c r="N881" s="20"/>
      <c r="O881" s="20"/>
      <c r="P881" s="21"/>
      <c r="Q881" s="22"/>
      <c r="R881" s="22"/>
      <c r="S881" s="19"/>
      <c r="T881" s="19"/>
      <c r="U881" s="19"/>
      <c r="V881" s="19"/>
      <c r="W881" s="26"/>
      <c r="X881" s="28"/>
    </row>
    <row r="882">
      <c r="A882" s="15"/>
      <c r="B882" s="16"/>
      <c r="C882" s="15"/>
      <c r="D882" s="15"/>
      <c r="E882" s="15"/>
      <c r="F882" s="3"/>
      <c r="G882" s="18"/>
      <c r="H882" s="3"/>
      <c r="I882" s="19"/>
      <c r="J882" s="19"/>
      <c r="K882" s="3"/>
      <c r="L882" s="3"/>
      <c r="M882" s="20"/>
      <c r="N882" s="20"/>
      <c r="O882" s="20"/>
      <c r="P882" s="21"/>
      <c r="Q882" s="22"/>
      <c r="R882" s="22"/>
      <c r="S882" s="19"/>
      <c r="T882" s="19"/>
      <c r="U882" s="19"/>
      <c r="V882" s="19"/>
      <c r="W882" s="26"/>
      <c r="X882" s="28"/>
    </row>
    <row r="883">
      <c r="A883" s="15"/>
      <c r="B883" s="16"/>
      <c r="C883" s="15"/>
      <c r="D883" s="15"/>
      <c r="E883" s="15"/>
      <c r="F883" s="3"/>
      <c r="G883" s="18"/>
      <c r="H883" s="3"/>
      <c r="I883" s="19"/>
      <c r="J883" s="19"/>
      <c r="K883" s="3"/>
      <c r="L883" s="3"/>
      <c r="M883" s="20"/>
      <c r="N883" s="20"/>
      <c r="O883" s="20"/>
      <c r="P883" s="21"/>
      <c r="Q883" s="22"/>
      <c r="R883" s="22"/>
      <c r="S883" s="19"/>
      <c r="T883" s="19"/>
      <c r="U883" s="19"/>
      <c r="V883" s="19"/>
      <c r="W883" s="26"/>
      <c r="X883" s="28"/>
    </row>
    <row r="884">
      <c r="A884" s="15"/>
      <c r="B884" s="16"/>
      <c r="C884" s="15"/>
      <c r="D884" s="15"/>
      <c r="E884" s="15"/>
      <c r="F884" s="3"/>
      <c r="G884" s="18"/>
      <c r="H884" s="3"/>
      <c r="I884" s="19"/>
      <c r="J884" s="19"/>
      <c r="K884" s="3"/>
      <c r="L884" s="3"/>
      <c r="M884" s="20"/>
      <c r="N884" s="20"/>
      <c r="O884" s="20"/>
      <c r="P884" s="21"/>
      <c r="Q884" s="22"/>
      <c r="R884" s="22"/>
      <c r="S884" s="19"/>
      <c r="T884" s="19"/>
      <c r="U884" s="19"/>
      <c r="V884" s="19"/>
      <c r="W884" s="26"/>
      <c r="X884" s="28"/>
    </row>
    <row r="885">
      <c r="A885" s="15"/>
      <c r="B885" s="16"/>
      <c r="C885" s="15"/>
      <c r="D885" s="15"/>
      <c r="E885" s="15"/>
      <c r="F885" s="3"/>
      <c r="G885" s="18"/>
      <c r="H885" s="3"/>
      <c r="I885" s="19"/>
      <c r="J885" s="19"/>
      <c r="K885" s="3"/>
      <c r="L885" s="3"/>
      <c r="M885" s="20"/>
      <c r="N885" s="20"/>
      <c r="O885" s="20"/>
      <c r="P885" s="21"/>
      <c r="Q885" s="22"/>
      <c r="R885" s="22"/>
      <c r="S885" s="19"/>
      <c r="T885" s="19"/>
      <c r="U885" s="19"/>
      <c r="V885" s="19"/>
      <c r="W885" s="26"/>
      <c r="X885" s="28"/>
    </row>
    <row r="886">
      <c r="A886" s="15"/>
      <c r="B886" s="16"/>
      <c r="C886" s="15"/>
      <c r="D886" s="15"/>
      <c r="E886" s="15"/>
      <c r="F886" s="3"/>
      <c r="G886" s="18"/>
      <c r="H886" s="3"/>
      <c r="I886" s="19"/>
      <c r="J886" s="19"/>
      <c r="K886" s="3"/>
      <c r="L886" s="3"/>
      <c r="M886" s="20"/>
      <c r="N886" s="20"/>
      <c r="O886" s="20"/>
      <c r="P886" s="21"/>
      <c r="Q886" s="22"/>
      <c r="R886" s="22"/>
      <c r="S886" s="19"/>
      <c r="T886" s="19"/>
      <c r="U886" s="19"/>
      <c r="V886" s="19"/>
      <c r="W886" s="26"/>
      <c r="X886" s="28"/>
    </row>
    <row r="887">
      <c r="A887" s="15"/>
      <c r="B887" s="16"/>
      <c r="C887" s="15"/>
      <c r="D887" s="15"/>
      <c r="E887" s="15"/>
      <c r="F887" s="3"/>
      <c r="G887" s="18"/>
      <c r="H887" s="3"/>
      <c r="I887" s="19"/>
      <c r="J887" s="19"/>
      <c r="K887" s="3"/>
      <c r="L887" s="3"/>
      <c r="M887" s="20"/>
      <c r="N887" s="20"/>
      <c r="O887" s="20"/>
      <c r="P887" s="21"/>
      <c r="Q887" s="22"/>
      <c r="R887" s="22"/>
      <c r="S887" s="19"/>
      <c r="T887" s="19"/>
      <c r="U887" s="19"/>
      <c r="V887" s="19"/>
      <c r="W887" s="26"/>
      <c r="X887" s="28"/>
    </row>
    <row r="888">
      <c r="A888" s="15"/>
      <c r="B888" s="16"/>
      <c r="C888" s="15"/>
      <c r="D888" s="15"/>
      <c r="E888" s="15"/>
      <c r="F888" s="3"/>
      <c r="G888" s="18"/>
      <c r="H888" s="3"/>
      <c r="I888" s="19"/>
      <c r="J888" s="19"/>
      <c r="K888" s="3"/>
      <c r="L888" s="3"/>
      <c r="M888" s="20"/>
      <c r="N888" s="20"/>
      <c r="O888" s="20"/>
      <c r="P888" s="21"/>
      <c r="Q888" s="22"/>
      <c r="R888" s="22"/>
      <c r="S888" s="19"/>
      <c r="T888" s="19"/>
      <c r="U888" s="19"/>
      <c r="V888" s="19"/>
      <c r="W888" s="26"/>
      <c r="X888" s="28"/>
    </row>
    <row r="889">
      <c r="A889" s="15"/>
      <c r="B889" s="16"/>
      <c r="C889" s="15"/>
      <c r="D889" s="15"/>
      <c r="E889" s="15"/>
      <c r="F889" s="3"/>
      <c r="G889" s="18"/>
      <c r="H889" s="3"/>
      <c r="I889" s="19"/>
      <c r="J889" s="19"/>
      <c r="K889" s="3"/>
      <c r="L889" s="3"/>
      <c r="M889" s="20"/>
      <c r="N889" s="20"/>
      <c r="O889" s="20"/>
      <c r="P889" s="21"/>
      <c r="Q889" s="22"/>
      <c r="R889" s="22"/>
      <c r="S889" s="19"/>
      <c r="T889" s="19"/>
      <c r="U889" s="19"/>
      <c r="V889" s="19"/>
      <c r="W889" s="26"/>
      <c r="X889" s="28"/>
    </row>
    <row r="890">
      <c r="A890" s="15"/>
      <c r="B890" s="16"/>
      <c r="C890" s="15"/>
      <c r="D890" s="15"/>
      <c r="E890" s="15"/>
      <c r="F890" s="3"/>
      <c r="G890" s="18"/>
      <c r="H890" s="3"/>
      <c r="I890" s="19"/>
      <c r="J890" s="19"/>
      <c r="K890" s="3"/>
      <c r="L890" s="3"/>
      <c r="M890" s="20"/>
      <c r="N890" s="20"/>
      <c r="O890" s="20"/>
      <c r="P890" s="21"/>
      <c r="Q890" s="22"/>
      <c r="R890" s="22"/>
      <c r="S890" s="19"/>
      <c r="T890" s="19"/>
      <c r="U890" s="19"/>
      <c r="V890" s="19"/>
      <c r="W890" s="26"/>
      <c r="X890" s="28"/>
    </row>
    <row r="891">
      <c r="A891" s="15"/>
      <c r="B891" s="16"/>
      <c r="C891" s="15"/>
      <c r="D891" s="15"/>
      <c r="E891" s="15"/>
      <c r="F891" s="3"/>
      <c r="G891" s="18"/>
      <c r="H891" s="3"/>
      <c r="I891" s="19"/>
      <c r="J891" s="19"/>
      <c r="K891" s="3"/>
      <c r="L891" s="3"/>
      <c r="M891" s="20"/>
      <c r="N891" s="20"/>
      <c r="O891" s="20"/>
      <c r="P891" s="21"/>
      <c r="Q891" s="22"/>
      <c r="R891" s="22"/>
      <c r="S891" s="19"/>
      <c r="T891" s="19"/>
      <c r="U891" s="19"/>
      <c r="V891" s="19"/>
      <c r="W891" s="26"/>
      <c r="X891" s="28"/>
    </row>
    <row r="892">
      <c r="A892" s="15"/>
      <c r="B892" s="16"/>
      <c r="C892" s="15"/>
      <c r="D892" s="15"/>
      <c r="E892" s="15"/>
      <c r="F892" s="3"/>
      <c r="G892" s="18"/>
      <c r="H892" s="3"/>
      <c r="I892" s="19"/>
      <c r="J892" s="19"/>
      <c r="K892" s="3"/>
      <c r="L892" s="3"/>
      <c r="M892" s="20"/>
      <c r="N892" s="20"/>
      <c r="O892" s="20"/>
      <c r="P892" s="21"/>
      <c r="Q892" s="22"/>
      <c r="R892" s="22"/>
      <c r="S892" s="19"/>
      <c r="T892" s="19"/>
      <c r="U892" s="19"/>
      <c r="V892" s="19"/>
      <c r="W892" s="26"/>
      <c r="X892" s="28"/>
    </row>
    <row r="893">
      <c r="A893" s="15"/>
      <c r="B893" s="16"/>
      <c r="C893" s="15"/>
      <c r="D893" s="15"/>
      <c r="E893" s="15"/>
      <c r="F893" s="3"/>
      <c r="G893" s="18"/>
      <c r="H893" s="3"/>
      <c r="I893" s="19"/>
      <c r="J893" s="19"/>
      <c r="K893" s="3"/>
      <c r="L893" s="3"/>
      <c r="M893" s="20"/>
      <c r="N893" s="20"/>
      <c r="O893" s="20"/>
      <c r="P893" s="21"/>
      <c r="Q893" s="22"/>
      <c r="R893" s="22"/>
      <c r="S893" s="19"/>
      <c r="T893" s="19"/>
      <c r="U893" s="19"/>
      <c r="V893" s="19"/>
      <c r="W893" s="26"/>
      <c r="X893" s="28"/>
    </row>
    <row r="894">
      <c r="A894" s="15"/>
      <c r="B894" s="16"/>
      <c r="C894" s="15"/>
      <c r="D894" s="15"/>
      <c r="E894" s="15"/>
      <c r="F894" s="3"/>
      <c r="G894" s="18"/>
      <c r="H894" s="3"/>
      <c r="I894" s="19"/>
      <c r="J894" s="19"/>
      <c r="K894" s="3"/>
      <c r="L894" s="3"/>
      <c r="M894" s="20"/>
      <c r="N894" s="20"/>
      <c r="O894" s="20"/>
      <c r="P894" s="21"/>
      <c r="Q894" s="22"/>
      <c r="R894" s="22"/>
      <c r="S894" s="19"/>
      <c r="T894" s="19"/>
      <c r="U894" s="19"/>
      <c r="V894" s="19"/>
      <c r="W894" s="26"/>
      <c r="X894" s="28"/>
    </row>
    <row r="895">
      <c r="A895" s="15"/>
      <c r="B895" s="16"/>
      <c r="C895" s="15"/>
      <c r="D895" s="15"/>
      <c r="E895" s="15"/>
      <c r="F895" s="3"/>
      <c r="G895" s="18"/>
      <c r="H895" s="3"/>
      <c r="I895" s="19"/>
      <c r="J895" s="19"/>
      <c r="K895" s="3"/>
      <c r="L895" s="3"/>
      <c r="M895" s="20"/>
      <c r="N895" s="20"/>
      <c r="O895" s="20"/>
      <c r="P895" s="21"/>
      <c r="Q895" s="22"/>
      <c r="R895" s="22"/>
      <c r="S895" s="19"/>
      <c r="T895" s="19"/>
      <c r="U895" s="19"/>
      <c r="V895" s="19"/>
      <c r="W895" s="26"/>
      <c r="X895" s="28"/>
    </row>
    <row r="896">
      <c r="A896" s="15"/>
      <c r="B896" s="16"/>
      <c r="C896" s="15"/>
      <c r="D896" s="15"/>
      <c r="E896" s="15"/>
      <c r="F896" s="3"/>
      <c r="G896" s="18"/>
      <c r="H896" s="3"/>
      <c r="I896" s="19"/>
      <c r="J896" s="19"/>
      <c r="K896" s="3"/>
      <c r="L896" s="3"/>
      <c r="M896" s="20"/>
      <c r="N896" s="20"/>
      <c r="O896" s="20"/>
      <c r="P896" s="21"/>
      <c r="Q896" s="22"/>
      <c r="R896" s="22"/>
      <c r="S896" s="19"/>
      <c r="T896" s="19"/>
      <c r="U896" s="19"/>
      <c r="V896" s="19"/>
      <c r="W896" s="26"/>
      <c r="X896" s="28"/>
    </row>
    <row r="897">
      <c r="A897" s="15"/>
      <c r="B897" s="16"/>
      <c r="C897" s="15"/>
      <c r="D897" s="15"/>
      <c r="E897" s="15"/>
      <c r="F897" s="3"/>
      <c r="G897" s="18"/>
      <c r="H897" s="3"/>
      <c r="I897" s="19"/>
      <c r="J897" s="19"/>
      <c r="K897" s="3"/>
      <c r="L897" s="3"/>
      <c r="M897" s="20"/>
      <c r="N897" s="20"/>
      <c r="O897" s="20"/>
      <c r="P897" s="21"/>
      <c r="Q897" s="22"/>
      <c r="R897" s="22"/>
      <c r="S897" s="19"/>
      <c r="T897" s="19"/>
      <c r="U897" s="19"/>
      <c r="V897" s="19"/>
      <c r="W897" s="26"/>
      <c r="X897" s="28"/>
    </row>
    <row r="898">
      <c r="A898" s="15"/>
      <c r="B898" s="16"/>
      <c r="C898" s="15"/>
      <c r="D898" s="15"/>
      <c r="E898" s="15"/>
      <c r="F898" s="3"/>
      <c r="G898" s="18"/>
      <c r="H898" s="3"/>
      <c r="I898" s="19"/>
      <c r="J898" s="19"/>
      <c r="K898" s="3"/>
      <c r="L898" s="3"/>
      <c r="M898" s="20"/>
      <c r="N898" s="20"/>
      <c r="O898" s="20"/>
      <c r="P898" s="21"/>
      <c r="Q898" s="22"/>
      <c r="R898" s="22"/>
      <c r="S898" s="19"/>
      <c r="T898" s="19"/>
      <c r="U898" s="19"/>
      <c r="V898" s="19"/>
      <c r="W898" s="26"/>
      <c r="X898" s="28"/>
    </row>
    <row r="899">
      <c r="A899" s="15"/>
      <c r="B899" s="16"/>
      <c r="C899" s="15"/>
      <c r="D899" s="15"/>
      <c r="E899" s="15"/>
      <c r="F899" s="3"/>
      <c r="G899" s="18"/>
      <c r="H899" s="3"/>
      <c r="I899" s="19"/>
      <c r="J899" s="19"/>
      <c r="K899" s="3"/>
      <c r="L899" s="3"/>
      <c r="M899" s="20"/>
      <c r="N899" s="20"/>
      <c r="O899" s="20"/>
      <c r="P899" s="21"/>
      <c r="Q899" s="22"/>
      <c r="R899" s="22"/>
      <c r="S899" s="19"/>
      <c r="T899" s="19"/>
      <c r="U899" s="19"/>
      <c r="V899" s="19"/>
      <c r="W899" s="26"/>
      <c r="X899" s="28"/>
    </row>
    <row r="900">
      <c r="A900" s="15"/>
      <c r="B900" s="16"/>
      <c r="C900" s="15"/>
      <c r="D900" s="15"/>
      <c r="E900" s="15"/>
      <c r="F900" s="3"/>
      <c r="G900" s="18"/>
      <c r="H900" s="3"/>
      <c r="I900" s="19"/>
      <c r="J900" s="19"/>
      <c r="K900" s="3"/>
      <c r="L900" s="3"/>
      <c r="M900" s="20"/>
      <c r="N900" s="20"/>
      <c r="O900" s="20"/>
      <c r="P900" s="21"/>
      <c r="Q900" s="22"/>
      <c r="R900" s="22"/>
      <c r="S900" s="19"/>
      <c r="T900" s="19"/>
      <c r="U900" s="19"/>
      <c r="V900" s="19"/>
      <c r="W900" s="26"/>
      <c r="X900" s="28"/>
    </row>
    <row r="901">
      <c r="A901" s="15"/>
      <c r="B901" s="16"/>
      <c r="C901" s="15"/>
      <c r="D901" s="15"/>
      <c r="E901" s="15"/>
      <c r="F901" s="3"/>
      <c r="G901" s="18"/>
      <c r="H901" s="3"/>
      <c r="I901" s="19"/>
      <c r="J901" s="19"/>
      <c r="K901" s="3"/>
      <c r="L901" s="3"/>
      <c r="M901" s="20"/>
      <c r="N901" s="20"/>
      <c r="O901" s="20"/>
      <c r="P901" s="21"/>
      <c r="Q901" s="22"/>
      <c r="R901" s="22"/>
      <c r="S901" s="19"/>
      <c r="T901" s="19"/>
      <c r="U901" s="19"/>
      <c r="V901" s="19"/>
      <c r="W901" s="26"/>
      <c r="X901" s="28"/>
    </row>
    <row r="902">
      <c r="A902" s="15"/>
      <c r="B902" s="16"/>
      <c r="C902" s="15"/>
      <c r="D902" s="15"/>
      <c r="E902" s="15"/>
      <c r="F902" s="3"/>
      <c r="G902" s="18"/>
      <c r="H902" s="3"/>
      <c r="I902" s="19"/>
      <c r="J902" s="19"/>
      <c r="K902" s="3"/>
      <c r="L902" s="3"/>
      <c r="M902" s="20"/>
      <c r="N902" s="20"/>
      <c r="O902" s="20"/>
      <c r="P902" s="21"/>
      <c r="Q902" s="22"/>
      <c r="R902" s="22"/>
      <c r="S902" s="19"/>
      <c r="T902" s="19"/>
      <c r="U902" s="19"/>
      <c r="V902" s="19"/>
      <c r="W902" s="26"/>
      <c r="X902" s="28"/>
    </row>
    <row r="903">
      <c r="A903" s="15"/>
      <c r="B903" s="16"/>
      <c r="C903" s="15"/>
      <c r="D903" s="15"/>
      <c r="E903" s="15"/>
      <c r="F903" s="3"/>
      <c r="G903" s="18"/>
      <c r="H903" s="3"/>
      <c r="I903" s="19"/>
      <c r="J903" s="19"/>
      <c r="K903" s="3"/>
      <c r="L903" s="3"/>
      <c r="M903" s="20"/>
      <c r="N903" s="20"/>
      <c r="O903" s="20"/>
      <c r="P903" s="21"/>
      <c r="Q903" s="22"/>
      <c r="R903" s="22"/>
      <c r="S903" s="19"/>
      <c r="T903" s="19"/>
      <c r="U903" s="19"/>
      <c r="V903" s="19"/>
      <c r="W903" s="26"/>
      <c r="X903" s="28"/>
    </row>
    <row r="904">
      <c r="A904" s="15"/>
      <c r="B904" s="16"/>
      <c r="C904" s="15"/>
      <c r="D904" s="15"/>
      <c r="E904" s="15"/>
      <c r="F904" s="3"/>
      <c r="G904" s="18"/>
      <c r="H904" s="3"/>
      <c r="I904" s="19"/>
      <c r="J904" s="19"/>
      <c r="K904" s="3"/>
      <c r="L904" s="3"/>
      <c r="M904" s="20"/>
      <c r="N904" s="20"/>
      <c r="O904" s="20"/>
      <c r="P904" s="21"/>
      <c r="Q904" s="22"/>
      <c r="R904" s="22"/>
      <c r="S904" s="19"/>
      <c r="T904" s="19"/>
      <c r="U904" s="19"/>
      <c r="V904" s="19"/>
      <c r="W904" s="26"/>
      <c r="X904" s="28"/>
    </row>
    <row r="905">
      <c r="A905" s="15"/>
      <c r="B905" s="16"/>
      <c r="C905" s="15"/>
      <c r="D905" s="15"/>
      <c r="E905" s="15"/>
      <c r="F905" s="3"/>
      <c r="G905" s="18"/>
      <c r="H905" s="3"/>
      <c r="I905" s="19"/>
      <c r="J905" s="19"/>
      <c r="K905" s="3"/>
      <c r="L905" s="3"/>
      <c r="M905" s="20"/>
      <c r="N905" s="20"/>
      <c r="O905" s="20"/>
      <c r="P905" s="21"/>
      <c r="Q905" s="22"/>
      <c r="R905" s="22"/>
      <c r="S905" s="19"/>
      <c r="T905" s="19"/>
      <c r="U905" s="19"/>
      <c r="V905" s="19"/>
      <c r="W905" s="26"/>
      <c r="X905" s="28"/>
    </row>
    <row r="906">
      <c r="A906" s="15"/>
      <c r="B906" s="16"/>
      <c r="C906" s="15"/>
      <c r="D906" s="15"/>
      <c r="E906" s="15"/>
      <c r="F906" s="3"/>
      <c r="G906" s="18"/>
      <c r="H906" s="3"/>
      <c r="I906" s="19"/>
      <c r="J906" s="19"/>
      <c r="K906" s="3"/>
      <c r="L906" s="3"/>
      <c r="M906" s="20"/>
      <c r="N906" s="20"/>
      <c r="O906" s="20"/>
      <c r="P906" s="21"/>
      <c r="Q906" s="22"/>
      <c r="R906" s="22"/>
      <c r="S906" s="19"/>
      <c r="T906" s="19"/>
      <c r="U906" s="19"/>
      <c r="V906" s="19"/>
      <c r="W906" s="26"/>
      <c r="X906" s="28"/>
    </row>
    <row r="907">
      <c r="A907" s="15"/>
      <c r="B907" s="16"/>
      <c r="C907" s="15"/>
      <c r="D907" s="15"/>
      <c r="E907" s="15"/>
      <c r="F907" s="3"/>
      <c r="G907" s="18"/>
      <c r="H907" s="3"/>
      <c r="I907" s="19"/>
      <c r="J907" s="19"/>
      <c r="K907" s="3"/>
      <c r="L907" s="3"/>
      <c r="M907" s="20"/>
      <c r="N907" s="20"/>
      <c r="O907" s="20"/>
      <c r="P907" s="21"/>
      <c r="Q907" s="22"/>
      <c r="R907" s="22"/>
      <c r="S907" s="19"/>
      <c r="T907" s="19"/>
      <c r="U907" s="19"/>
      <c r="V907" s="19"/>
      <c r="W907" s="26"/>
      <c r="X907" s="28"/>
    </row>
    <row r="908">
      <c r="A908" s="15"/>
      <c r="B908" s="16"/>
      <c r="C908" s="15"/>
      <c r="D908" s="15"/>
      <c r="E908" s="15"/>
      <c r="F908" s="3"/>
      <c r="G908" s="18"/>
      <c r="H908" s="3"/>
      <c r="I908" s="19"/>
      <c r="J908" s="19"/>
      <c r="K908" s="3"/>
      <c r="L908" s="3"/>
      <c r="M908" s="20"/>
      <c r="N908" s="20"/>
      <c r="O908" s="20"/>
      <c r="P908" s="21"/>
      <c r="Q908" s="22"/>
      <c r="R908" s="22"/>
      <c r="S908" s="19"/>
      <c r="T908" s="19"/>
      <c r="U908" s="19"/>
      <c r="V908" s="19"/>
      <c r="W908" s="26"/>
      <c r="X908" s="28"/>
    </row>
    <row r="909">
      <c r="A909" s="15"/>
      <c r="B909" s="16"/>
      <c r="C909" s="15"/>
      <c r="D909" s="15"/>
      <c r="E909" s="15"/>
      <c r="F909" s="3"/>
      <c r="G909" s="18"/>
      <c r="H909" s="3"/>
      <c r="I909" s="19"/>
      <c r="J909" s="19"/>
      <c r="K909" s="3"/>
      <c r="L909" s="3"/>
      <c r="M909" s="20"/>
      <c r="N909" s="20"/>
      <c r="O909" s="20"/>
      <c r="P909" s="21"/>
      <c r="Q909" s="22"/>
      <c r="R909" s="22"/>
      <c r="S909" s="19"/>
      <c r="T909" s="19"/>
      <c r="U909" s="19"/>
      <c r="V909" s="19"/>
      <c r="W909" s="26"/>
      <c r="X909" s="28"/>
    </row>
    <row r="910">
      <c r="A910" s="15"/>
      <c r="B910" s="16"/>
      <c r="C910" s="15"/>
      <c r="D910" s="15"/>
      <c r="E910" s="15"/>
      <c r="F910" s="3"/>
      <c r="G910" s="18"/>
      <c r="H910" s="3"/>
      <c r="I910" s="19"/>
      <c r="J910" s="19"/>
      <c r="K910" s="3"/>
      <c r="L910" s="3"/>
      <c r="M910" s="20"/>
      <c r="N910" s="20"/>
      <c r="O910" s="20"/>
      <c r="P910" s="21"/>
      <c r="Q910" s="22"/>
      <c r="R910" s="22"/>
      <c r="S910" s="19"/>
      <c r="T910" s="19"/>
      <c r="U910" s="19"/>
      <c r="V910" s="19"/>
      <c r="W910" s="26"/>
      <c r="X910" s="28"/>
    </row>
    <row r="911">
      <c r="A911" s="15"/>
      <c r="B911" s="16"/>
      <c r="C911" s="15"/>
      <c r="D911" s="15"/>
      <c r="E911" s="15"/>
      <c r="F911" s="3"/>
      <c r="G911" s="18"/>
      <c r="H911" s="3"/>
      <c r="I911" s="19"/>
      <c r="J911" s="19"/>
      <c r="K911" s="3"/>
      <c r="L911" s="3"/>
      <c r="M911" s="20"/>
      <c r="N911" s="20"/>
      <c r="O911" s="20"/>
      <c r="P911" s="21"/>
      <c r="Q911" s="22"/>
      <c r="R911" s="22"/>
      <c r="S911" s="19"/>
      <c r="T911" s="19"/>
      <c r="U911" s="19"/>
      <c r="V911" s="19"/>
      <c r="W911" s="26"/>
      <c r="X911" s="28"/>
    </row>
    <row r="912">
      <c r="A912" s="15"/>
      <c r="B912" s="16"/>
      <c r="C912" s="15"/>
      <c r="D912" s="15"/>
      <c r="E912" s="15"/>
      <c r="F912" s="3"/>
      <c r="G912" s="18"/>
      <c r="H912" s="3"/>
      <c r="I912" s="19"/>
      <c r="J912" s="19"/>
      <c r="K912" s="3"/>
      <c r="L912" s="3"/>
      <c r="M912" s="20"/>
      <c r="N912" s="20"/>
      <c r="O912" s="20"/>
      <c r="P912" s="21"/>
      <c r="Q912" s="22"/>
      <c r="R912" s="22"/>
      <c r="S912" s="19"/>
      <c r="T912" s="19"/>
      <c r="U912" s="19"/>
      <c r="V912" s="19"/>
      <c r="W912" s="26"/>
      <c r="X912" s="28"/>
    </row>
    <row r="913">
      <c r="A913" s="15"/>
      <c r="B913" s="16"/>
      <c r="C913" s="15"/>
      <c r="D913" s="15"/>
      <c r="E913" s="15"/>
      <c r="F913" s="3"/>
      <c r="G913" s="18"/>
      <c r="H913" s="3"/>
      <c r="I913" s="19"/>
      <c r="J913" s="19"/>
      <c r="K913" s="3"/>
      <c r="L913" s="3"/>
      <c r="M913" s="20"/>
      <c r="N913" s="20"/>
      <c r="O913" s="20"/>
      <c r="P913" s="21"/>
      <c r="Q913" s="22"/>
      <c r="R913" s="22"/>
      <c r="S913" s="19"/>
      <c r="T913" s="19"/>
      <c r="U913" s="19"/>
      <c r="V913" s="19"/>
      <c r="W913" s="26"/>
      <c r="X913" s="28"/>
    </row>
    <row r="914">
      <c r="A914" s="15"/>
      <c r="B914" s="16"/>
      <c r="C914" s="15"/>
      <c r="D914" s="15"/>
      <c r="E914" s="15"/>
      <c r="F914" s="3"/>
      <c r="G914" s="18"/>
      <c r="H914" s="3"/>
      <c r="I914" s="19"/>
      <c r="J914" s="19"/>
      <c r="K914" s="3"/>
      <c r="L914" s="3"/>
      <c r="M914" s="20"/>
      <c r="N914" s="20"/>
      <c r="O914" s="20"/>
      <c r="P914" s="21"/>
      <c r="Q914" s="22"/>
      <c r="R914" s="22"/>
      <c r="S914" s="19"/>
      <c r="T914" s="19"/>
      <c r="U914" s="19"/>
      <c r="V914" s="19"/>
      <c r="W914" s="26"/>
      <c r="X914" s="28"/>
    </row>
    <row r="915">
      <c r="A915" s="15"/>
      <c r="B915" s="16"/>
      <c r="C915" s="15"/>
      <c r="D915" s="15"/>
      <c r="E915" s="15"/>
      <c r="F915" s="3"/>
      <c r="G915" s="18"/>
      <c r="H915" s="3"/>
      <c r="I915" s="19"/>
      <c r="J915" s="19"/>
      <c r="K915" s="3"/>
      <c r="L915" s="3"/>
      <c r="M915" s="20"/>
      <c r="N915" s="20"/>
      <c r="O915" s="20"/>
      <c r="P915" s="21"/>
      <c r="Q915" s="22"/>
      <c r="R915" s="22"/>
      <c r="S915" s="19"/>
      <c r="T915" s="19"/>
      <c r="U915" s="19"/>
      <c r="V915" s="19"/>
      <c r="W915" s="26"/>
      <c r="X915" s="28"/>
    </row>
    <row r="916">
      <c r="A916" s="15"/>
      <c r="B916" s="16"/>
      <c r="C916" s="15"/>
      <c r="D916" s="15"/>
      <c r="E916" s="15"/>
      <c r="F916" s="3"/>
      <c r="G916" s="18"/>
      <c r="H916" s="3"/>
      <c r="I916" s="19"/>
      <c r="J916" s="19"/>
      <c r="K916" s="3"/>
      <c r="L916" s="3"/>
      <c r="M916" s="20"/>
      <c r="N916" s="20"/>
      <c r="O916" s="20"/>
      <c r="P916" s="21"/>
      <c r="Q916" s="22"/>
      <c r="R916" s="22"/>
      <c r="S916" s="19"/>
      <c r="T916" s="19"/>
      <c r="U916" s="19"/>
      <c r="V916" s="19"/>
      <c r="W916" s="26"/>
      <c r="X916" s="28"/>
    </row>
    <row r="917">
      <c r="A917" s="15"/>
      <c r="B917" s="16"/>
      <c r="C917" s="15"/>
      <c r="D917" s="15"/>
      <c r="E917" s="15"/>
      <c r="F917" s="3"/>
      <c r="G917" s="18"/>
      <c r="H917" s="3"/>
      <c r="I917" s="19"/>
      <c r="J917" s="19"/>
      <c r="K917" s="3"/>
      <c r="L917" s="3"/>
      <c r="M917" s="20"/>
      <c r="N917" s="20"/>
      <c r="O917" s="20"/>
      <c r="P917" s="21"/>
      <c r="Q917" s="22"/>
      <c r="R917" s="22"/>
      <c r="S917" s="19"/>
      <c r="T917" s="19"/>
      <c r="U917" s="19"/>
      <c r="V917" s="19"/>
      <c r="W917" s="26"/>
      <c r="X917" s="28"/>
    </row>
    <row r="918">
      <c r="A918" s="15"/>
      <c r="B918" s="16"/>
      <c r="C918" s="15"/>
      <c r="D918" s="15"/>
      <c r="E918" s="15"/>
      <c r="F918" s="3"/>
      <c r="G918" s="18"/>
      <c r="H918" s="3"/>
      <c r="I918" s="19"/>
      <c r="J918" s="19"/>
      <c r="K918" s="3"/>
      <c r="L918" s="3"/>
      <c r="M918" s="20"/>
      <c r="N918" s="20"/>
      <c r="O918" s="20"/>
      <c r="P918" s="21"/>
      <c r="Q918" s="22"/>
      <c r="R918" s="22"/>
      <c r="S918" s="19"/>
      <c r="T918" s="19"/>
      <c r="U918" s="19"/>
      <c r="V918" s="19"/>
      <c r="W918" s="26"/>
      <c r="X918" s="28"/>
    </row>
    <row r="919">
      <c r="A919" s="15"/>
      <c r="B919" s="16"/>
      <c r="C919" s="15"/>
      <c r="D919" s="15"/>
      <c r="E919" s="15"/>
      <c r="F919" s="3"/>
      <c r="G919" s="18"/>
      <c r="H919" s="3"/>
      <c r="I919" s="19"/>
      <c r="J919" s="19"/>
      <c r="K919" s="3"/>
      <c r="L919" s="3"/>
      <c r="M919" s="20"/>
      <c r="N919" s="20"/>
      <c r="O919" s="20"/>
      <c r="P919" s="21"/>
      <c r="Q919" s="22"/>
      <c r="R919" s="22"/>
      <c r="S919" s="19"/>
      <c r="T919" s="19"/>
      <c r="U919" s="19"/>
      <c r="V919" s="19"/>
      <c r="W919" s="26"/>
      <c r="X919" s="28"/>
    </row>
    <row r="920">
      <c r="A920" s="15"/>
      <c r="B920" s="16"/>
      <c r="C920" s="15"/>
      <c r="D920" s="15"/>
      <c r="E920" s="15"/>
      <c r="F920" s="3"/>
      <c r="G920" s="18"/>
      <c r="H920" s="3"/>
      <c r="I920" s="19"/>
      <c r="J920" s="19"/>
      <c r="K920" s="3"/>
      <c r="L920" s="3"/>
      <c r="M920" s="20"/>
      <c r="N920" s="20"/>
      <c r="O920" s="20"/>
      <c r="P920" s="21"/>
      <c r="Q920" s="22"/>
      <c r="R920" s="22"/>
      <c r="S920" s="19"/>
      <c r="T920" s="19"/>
      <c r="U920" s="19"/>
      <c r="V920" s="19"/>
      <c r="W920" s="26"/>
      <c r="X920" s="28"/>
    </row>
    <row r="921">
      <c r="A921" s="15"/>
      <c r="B921" s="16"/>
      <c r="C921" s="15"/>
      <c r="D921" s="15"/>
      <c r="E921" s="15"/>
      <c r="F921" s="3"/>
      <c r="G921" s="18"/>
      <c r="H921" s="3"/>
      <c r="I921" s="19"/>
      <c r="J921" s="19"/>
      <c r="K921" s="3"/>
      <c r="L921" s="3"/>
      <c r="M921" s="20"/>
      <c r="N921" s="20"/>
      <c r="O921" s="20"/>
      <c r="P921" s="21"/>
      <c r="Q921" s="22"/>
      <c r="R921" s="22"/>
      <c r="S921" s="19"/>
      <c r="T921" s="19"/>
      <c r="U921" s="19"/>
      <c r="V921" s="19"/>
      <c r="W921" s="26"/>
      <c r="X921" s="28"/>
    </row>
    <row r="922">
      <c r="A922" s="15"/>
      <c r="B922" s="16"/>
      <c r="C922" s="15"/>
      <c r="D922" s="15"/>
      <c r="E922" s="15"/>
      <c r="F922" s="3"/>
      <c r="G922" s="18"/>
      <c r="H922" s="3"/>
      <c r="I922" s="19"/>
      <c r="J922" s="19"/>
      <c r="K922" s="3"/>
      <c r="L922" s="3"/>
      <c r="M922" s="20"/>
      <c r="N922" s="20"/>
      <c r="O922" s="20"/>
      <c r="P922" s="21"/>
      <c r="Q922" s="22"/>
      <c r="R922" s="22"/>
      <c r="S922" s="19"/>
      <c r="T922" s="19"/>
      <c r="U922" s="19"/>
      <c r="V922" s="19"/>
      <c r="W922" s="26"/>
      <c r="X922" s="28"/>
    </row>
    <row r="923">
      <c r="A923" s="15"/>
      <c r="B923" s="16"/>
      <c r="C923" s="15"/>
      <c r="D923" s="15"/>
      <c r="E923" s="15"/>
      <c r="F923" s="3"/>
      <c r="G923" s="18"/>
      <c r="H923" s="3"/>
      <c r="I923" s="19"/>
      <c r="J923" s="19"/>
      <c r="K923" s="3"/>
      <c r="L923" s="3"/>
      <c r="M923" s="20"/>
      <c r="N923" s="20"/>
      <c r="O923" s="20"/>
      <c r="P923" s="21"/>
      <c r="Q923" s="22"/>
      <c r="R923" s="22"/>
      <c r="S923" s="19"/>
      <c r="T923" s="19"/>
      <c r="U923" s="19"/>
      <c r="V923" s="19"/>
      <c r="W923" s="26"/>
      <c r="X923" s="28"/>
    </row>
    <row r="924">
      <c r="A924" s="15"/>
      <c r="B924" s="16"/>
      <c r="C924" s="15"/>
      <c r="D924" s="15"/>
      <c r="E924" s="15"/>
      <c r="F924" s="3"/>
      <c r="G924" s="18"/>
      <c r="H924" s="3"/>
      <c r="I924" s="19"/>
      <c r="J924" s="19"/>
      <c r="K924" s="3"/>
      <c r="L924" s="3"/>
      <c r="M924" s="20"/>
      <c r="N924" s="20"/>
      <c r="O924" s="20"/>
      <c r="P924" s="21"/>
      <c r="Q924" s="22"/>
      <c r="R924" s="22"/>
      <c r="S924" s="19"/>
      <c r="T924" s="19"/>
      <c r="U924" s="19"/>
      <c r="V924" s="19"/>
      <c r="W924" s="26"/>
      <c r="X924" s="28"/>
    </row>
    <row r="925">
      <c r="A925" s="15"/>
      <c r="B925" s="16"/>
      <c r="C925" s="15"/>
      <c r="D925" s="15"/>
      <c r="E925" s="15"/>
      <c r="F925" s="3"/>
      <c r="G925" s="18"/>
      <c r="H925" s="3"/>
      <c r="I925" s="19"/>
      <c r="J925" s="19"/>
      <c r="K925" s="3"/>
      <c r="L925" s="3"/>
      <c r="M925" s="20"/>
      <c r="N925" s="20"/>
      <c r="O925" s="20"/>
      <c r="P925" s="21"/>
      <c r="Q925" s="22"/>
      <c r="R925" s="22"/>
      <c r="S925" s="19"/>
      <c r="T925" s="19"/>
      <c r="U925" s="19"/>
      <c r="V925" s="19"/>
      <c r="W925" s="26"/>
      <c r="X925" s="28"/>
    </row>
    <row r="926">
      <c r="A926" s="15"/>
      <c r="B926" s="16"/>
      <c r="C926" s="15"/>
      <c r="D926" s="15"/>
      <c r="E926" s="15"/>
      <c r="F926" s="3"/>
      <c r="G926" s="18"/>
      <c r="H926" s="3"/>
      <c r="I926" s="19"/>
      <c r="J926" s="19"/>
      <c r="K926" s="3"/>
      <c r="L926" s="3"/>
      <c r="M926" s="20"/>
      <c r="N926" s="20"/>
      <c r="O926" s="20"/>
      <c r="P926" s="21"/>
      <c r="Q926" s="22"/>
      <c r="R926" s="22"/>
      <c r="S926" s="19"/>
      <c r="T926" s="19"/>
      <c r="U926" s="19"/>
      <c r="V926" s="19"/>
      <c r="W926" s="26"/>
      <c r="X926" s="28"/>
    </row>
    <row r="927">
      <c r="A927" s="15"/>
      <c r="B927" s="16"/>
      <c r="C927" s="15"/>
      <c r="D927" s="15"/>
      <c r="E927" s="15"/>
      <c r="F927" s="3"/>
      <c r="G927" s="18"/>
      <c r="H927" s="3"/>
      <c r="I927" s="19"/>
      <c r="J927" s="19"/>
      <c r="K927" s="3"/>
      <c r="L927" s="3"/>
      <c r="M927" s="20"/>
      <c r="N927" s="20"/>
      <c r="O927" s="20"/>
      <c r="P927" s="21"/>
      <c r="Q927" s="22"/>
      <c r="R927" s="22"/>
      <c r="S927" s="19"/>
      <c r="T927" s="19"/>
      <c r="U927" s="19"/>
      <c r="V927" s="19"/>
      <c r="W927" s="26"/>
      <c r="X927" s="28"/>
    </row>
    <row r="928">
      <c r="A928" s="15"/>
      <c r="B928" s="16"/>
      <c r="C928" s="15"/>
      <c r="D928" s="15"/>
      <c r="E928" s="15"/>
      <c r="F928" s="3"/>
      <c r="G928" s="18"/>
      <c r="H928" s="3"/>
      <c r="I928" s="19"/>
      <c r="J928" s="19"/>
      <c r="K928" s="3"/>
      <c r="L928" s="3"/>
      <c r="M928" s="20"/>
      <c r="N928" s="20"/>
      <c r="O928" s="20"/>
      <c r="P928" s="21"/>
      <c r="Q928" s="22"/>
      <c r="R928" s="22"/>
      <c r="S928" s="19"/>
      <c r="T928" s="19"/>
      <c r="U928" s="19"/>
      <c r="V928" s="19"/>
      <c r="W928" s="26"/>
      <c r="X928" s="28"/>
    </row>
    <row r="929">
      <c r="A929" s="15"/>
      <c r="B929" s="16"/>
      <c r="C929" s="15"/>
      <c r="D929" s="15"/>
      <c r="E929" s="15"/>
      <c r="F929" s="3"/>
      <c r="G929" s="18"/>
      <c r="H929" s="3"/>
      <c r="I929" s="19"/>
      <c r="J929" s="19"/>
      <c r="K929" s="3"/>
      <c r="L929" s="3"/>
      <c r="M929" s="20"/>
      <c r="N929" s="20"/>
      <c r="O929" s="20"/>
      <c r="P929" s="21"/>
      <c r="Q929" s="22"/>
      <c r="R929" s="22"/>
      <c r="S929" s="19"/>
      <c r="T929" s="19"/>
      <c r="U929" s="19"/>
      <c r="V929" s="19"/>
      <c r="W929" s="26"/>
      <c r="X929" s="28"/>
    </row>
    <row r="930">
      <c r="A930" s="15"/>
      <c r="B930" s="16"/>
      <c r="C930" s="15"/>
      <c r="D930" s="15"/>
      <c r="E930" s="15"/>
      <c r="F930" s="3"/>
      <c r="G930" s="18"/>
      <c r="H930" s="3"/>
      <c r="I930" s="19"/>
      <c r="J930" s="19"/>
      <c r="K930" s="3"/>
      <c r="L930" s="3"/>
      <c r="M930" s="20"/>
      <c r="N930" s="20"/>
      <c r="O930" s="20"/>
      <c r="P930" s="21"/>
      <c r="Q930" s="22"/>
      <c r="R930" s="22"/>
      <c r="S930" s="19"/>
      <c r="T930" s="19"/>
      <c r="U930" s="19"/>
      <c r="V930" s="19"/>
      <c r="W930" s="26"/>
      <c r="X930" s="28"/>
    </row>
    <row r="931">
      <c r="A931" s="15"/>
      <c r="B931" s="16"/>
      <c r="C931" s="15"/>
      <c r="D931" s="15"/>
      <c r="E931" s="15"/>
      <c r="F931" s="3"/>
      <c r="G931" s="18"/>
      <c r="H931" s="3"/>
      <c r="I931" s="19"/>
      <c r="J931" s="19"/>
      <c r="K931" s="3"/>
      <c r="L931" s="3"/>
      <c r="M931" s="20"/>
      <c r="N931" s="20"/>
      <c r="O931" s="20"/>
      <c r="P931" s="21"/>
      <c r="Q931" s="22"/>
      <c r="R931" s="22"/>
      <c r="S931" s="19"/>
      <c r="T931" s="19"/>
      <c r="U931" s="19"/>
      <c r="V931" s="19"/>
      <c r="W931" s="26"/>
      <c r="X931" s="28"/>
    </row>
    <row r="932">
      <c r="A932" s="15"/>
      <c r="B932" s="16"/>
      <c r="C932" s="15"/>
      <c r="D932" s="15"/>
      <c r="E932" s="15"/>
      <c r="F932" s="3"/>
      <c r="G932" s="18"/>
      <c r="H932" s="3"/>
      <c r="I932" s="19"/>
      <c r="J932" s="19"/>
      <c r="K932" s="3"/>
      <c r="L932" s="3"/>
      <c r="M932" s="20"/>
      <c r="N932" s="20"/>
      <c r="O932" s="20"/>
      <c r="P932" s="21"/>
      <c r="Q932" s="22"/>
      <c r="R932" s="22"/>
      <c r="S932" s="19"/>
      <c r="T932" s="19"/>
      <c r="U932" s="19"/>
      <c r="V932" s="19"/>
      <c r="W932" s="26"/>
      <c r="X932" s="28"/>
    </row>
    <row r="933">
      <c r="A933" s="15"/>
      <c r="B933" s="16"/>
      <c r="C933" s="15"/>
      <c r="D933" s="15"/>
      <c r="E933" s="15"/>
      <c r="F933" s="3"/>
      <c r="G933" s="18"/>
      <c r="H933" s="3"/>
      <c r="I933" s="19"/>
      <c r="J933" s="19"/>
      <c r="K933" s="3"/>
      <c r="L933" s="3"/>
      <c r="M933" s="20"/>
      <c r="N933" s="20"/>
      <c r="O933" s="20"/>
      <c r="P933" s="21"/>
      <c r="Q933" s="22"/>
      <c r="R933" s="22"/>
      <c r="S933" s="19"/>
      <c r="T933" s="19"/>
      <c r="U933" s="19"/>
      <c r="V933" s="19"/>
      <c r="W933" s="26"/>
      <c r="X933" s="28"/>
    </row>
    <row r="934">
      <c r="A934" s="15"/>
      <c r="B934" s="16"/>
      <c r="C934" s="15"/>
      <c r="D934" s="15"/>
      <c r="E934" s="15"/>
      <c r="F934" s="3"/>
      <c r="G934" s="18"/>
      <c r="H934" s="3"/>
      <c r="I934" s="19"/>
      <c r="J934" s="19"/>
      <c r="K934" s="3"/>
      <c r="L934" s="3"/>
      <c r="M934" s="20"/>
      <c r="N934" s="20"/>
      <c r="O934" s="20"/>
      <c r="P934" s="21"/>
      <c r="Q934" s="22"/>
      <c r="R934" s="22"/>
      <c r="S934" s="19"/>
      <c r="T934" s="19"/>
      <c r="U934" s="19"/>
      <c r="V934" s="19"/>
      <c r="W934" s="26"/>
      <c r="X934" s="28"/>
    </row>
    <row r="935">
      <c r="A935" s="15"/>
      <c r="B935" s="16"/>
      <c r="C935" s="15"/>
      <c r="D935" s="15"/>
      <c r="E935" s="15"/>
      <c r="F935" s="3"/>
      <c r="G935" s="18"/>
      <c r="H935" s="3"/>
      <c r="I935" s="19"/>
      <c r="J935" s="19"/>
      <c r="K935" s="3"/>
      <c r="L935" s="3"/>
      <c r="M935" s="20"/>
      <c r="N935" s="20"/>
      <c r="O935" s="20"/>
      <c r="P935" s="21"/>
      <c r="Q935" s="22"/>
      <c r="R935" s="22"/>
      <c r="S935" s="19"/>
      <c r="T935" s="19"/>
      <c r="U935" s="19"/>
      <c r="V935" s="19"/>
      <c r="W935" s="26"/>
      <c r="X935" s="28"/>
    </row>
    <row r="936">
      <c r="A936" s="15"/>
      <c r="B936" s="16"/>
      <c r="C936" s="15"/>
      <c r="D936" s="15"/>
      <c r="E936" s="15"/>
      <c r="F936" s="3"/>
      <c r="G936" s="18"/>
      <c r="H936" s="3"/>
      <c r="I936" s="19"/>
      <c r="J936" s="19"/>
      <c r="K936" s="3"/>
      <c r="L936" s="3"/>
      <c r="M936" s="20"/>
      <c r="N936" s="20"/>
      <c r="O936" s="20"/>
      <c r="P936" s="21"/>
      <c r="Q936" s="22"/>
      <c r="R936" s="22"/>
      <c r="S936" s="19"/>
      <c r="T936" s="19"/>
      <c r="U936" s="19"/>
      <c r="V936" s="19"/>
      <c r="W936" s="26"/>
      <c r="X936" s="28"/>
    </row>
    <row r="937">
      <c r="A937" s="15"/>
      <c r="B937" s="16"/>
      <c r="C937" s="15"/>
      <c r="D937" s="15"/>
      <c r="E937" s="15"/>
      <c r="F937" s="3"/>
      <c r="G937" s="18"/>
      <c r="H937" s="3"/>
      <c r="I937" s="19"/>
      <c r="J937" s="19"/>
      <c r="K937" s="3"/>
      <c r="L937" s="3"/>
      <c r="M937" s="20"/>
      <c r="N937" s="20"/>
      <c r="O937" s="20"/>
      <c r="P937" s="21"/>
      <c r="Q937" s="22"/>
      <c r="R937" s="22"/>
      <c r="S937" s="19"/>
      <c r="T937" s="19"/>
      <c r="U937" s="19"/>
      <c r="V937" s="19"/>
      <c r="W937" s="26"/>
      <c r="X937" s="28"/>
    </row>
    <row r="938">
      <c r="A938" s="15"/>
      <c r="B938" s="16"/>
      <c r="C938" s="15"/>
      <c r="D938" s="15"/>
      <c r="E938" s="15"/>
      <c r="F938" s="3"/>
      <c r="G938" s="18"/>
      <c r="H938" s="3"/>
      <c r="I938" s="19"/>
      <c r="J938" s="19"/>
      <c r="K938" s="3"/>
      <c r="L938" s="3"/>
      <c r="M938" s="20"/>
      <c r="N938" s="20"/>
      <c r="O938" s="20"/>
      <c r="P938" s="21"/>
      <c r="Q938" s="22"/>
      <c r="R938" s="22"/>
      <c r="S938" s="19"/>
      <c r="T938" s="19"/>
      <c r="U938" s="19"/>
      <c r="V938" s="19"/>
      <c r="W938" s="26"/>
      <c r="X938" s="28"/>
    </row>
    <row r="939">
      <c r="A939" s="15"/>
      <c r="B939" s="16"/>
      <c r="C939" s="15"/>
      <c r="D939" s="15"/>
      <c r="E939" s="15"/>
      <c r="F939" s="3"/>
      <c r="G939" s="18"/>
      <c r="H939" s="3"/>
      <c r="I939" s="19"/>
      <c r="J939" s="19"/>
      <c r="K939" s="3"/>
      <c r="L939" s="3"/>
      <c r="M939" s="20"/>
      <c r="N939" s="20"/>
      <c r="O939" s="20"/>
      <c r="P939" s="21"/>
      <c r="Q939" s="22"/>
      <c r="R939" s="22"/>
      <c r="S939" s="19"/>
      <c r="T939" s="19"/>
      <c r="U939" s="19"/>
      <c r="V939" s="19"/>
      <c r="W939" s="26"/>
      <c r="X939" s="28"/>
    </row>
    <row r="940">
      <c r="A940" s="15"/>
      <c r="B940" s="16"/>
      <c r="C940" s="15"/>
      <c r="D940" s="15"/>
      <c r="E940" s="15"/>
      <c r="F940" s="3"/>
      <c r="G940" s="18"/>
      <c r="H940" s="3"/>
      <c r="I940" s="19"/>
      <c r="J940" s="19"/>
      <c r="K940" s="3"/>
      <c r="L940" s="3"/>
      <c r="M940" s="20"/>
      <c r="N940" s="20"/>
      <c r="O940" s="20"/>
      <c r="P940" s="21"/>
      <c r="Q940" s="22"/>
      <c r="R940" s="22"/>
      <c r="S940" s="19"/>
      <c r="T940" s="19"/>
      <c r="U940" s="19"/>
      <c r="V940" s="19"/>
      <c r="W940" s="26"/>
      <c r="X940" s="28"/>
    </row>
    <row r="941">
      <c r="A941" s="15"/>
      <c r="B941" s="16"/>
      <c r="C941" s="15"/>
      <c r="D941" s="15"/>
      <c r="E941" s="15"/>
      <c r="F941" s="3"/>
      <c r="G941" s="18"/>
      <c r="H941" s="3"/>
      <c r="I941" s="19"/>
      <c r="J941" s="19"/>
      <c r="K941" s="3"/>
      <c r="L941" s="3"/>
      <c r="M941" s="20"/>
      <c r="N941" s="20"/>
      <c r="O941" s="20"/>
      <c r="P941" s="21"/>
      <c r="Q941" s="22"/>
      <c r="R941" s="22"/>
      <c r="S941" s="19"/>
      <c r="T941" s="19"/>
      <c r="U941" s="19"/>
      <c r="V941" s="19"/>
      <c r="W941" s="26"/>
      <c r="X941" s="28"/>
    </row>
    <row r="942">
      <c r="A942" s="15"/>
      <c r="B942" s="16"/>
      <c r="C942" s="15"/>
      <c r="D942" s="15"/>
      <c r="E942" s="15"/>
      <c r="F942" s="3"/>
      <c r="G942" s="18"/>
      <c r="H942" s="3"/>
      <c r="I942" s="19"/>
      <c r="J942" s="19"/>
      <c r="K942" s="3"/>
      <c r="L942" s="3"/>
      <c r="M942" s="20"/>
      <c r="N942" s="20"/>
      <c r="O942" s="20"/>
      <c r="P942" s="21"/>
      <c r="Q942" s="22"/>
      <c r="R942" s="22"/>
      <c r="S942" s="19"/>
      <c r="T942" s="19"/>
      <c r="U942" s="19"/>
      <c r="V942" s="19"/>
      <c r="W942" s="26"/>
      <c r="X942" s="28"/>
    </row>
    <row r="943">
      <c r="A943" s="15"/>
      <c r="B943" s="16"/>
      <c r="C943" s="15"/>
      <c r="D943" s="15"/>
      <c r="E943" s="15"/>
      <c r="F943" s="3"/>
      <c r="G943" s="18"/>
      <c r="H943" s="3"/>
      <c r="I943" s="19"/>
      <c r="J943" s="19"/>
      <c r="K943" s="3"/>
      <c r="L943" s="3"/>
      <c r="M943" s="20"/>
      <c r="N943" s="20"/>
      <c r="O943" s="20"/>
      <c r="P943" s="21"/>
      <c r="Q943" s="22"/>
      <c r="R943" s="22"/>
      <c r="S943" s="19"/>
      <c r="T943" s="19"/>
      <c r="U943" s="19"/>
      <c r="V943" s="19"/>
      <c r="W943" s="26"/>
      <c r="X943" s="28"/>
    </row>
    <row r="944">
      <c r="A944" s="15"/>
      <c r="B944" s="16"/>
      <c r="C944" s="15"/>
      <c r="D944" s="15"/>
      <c r="E944" s="15"/>
      <c r="F944" s="3"/>
      <c r="G944" s="18"/>
      <c r="H944" s="3"/>
      <c r="I944" s="19"/>
      <c r="J944" s="19"/>
      <c r="K944" s="3"/>
      <c r="L944" s="3"/>
      <c r="M944" s="20"/>
      <c r="N944" s="20"/>
      <c r="O944" s="20"/>
      <c r="P944" s="21"/>
      <c r="Q944" s="22"/>
      <c r="R944" s="22"/>
      <c r="S944" s="19"/>
      <c r="T944" s="19"/>
      <c r="U944" s="19"/>
      <c r="V944" s="19"/>
      <c r="W944" s="26"/>
      <c r="X944" s="28"/>
    </row>
    <row r="945">
      <c r="A945" s="15"/>
      <c r="B945" s="16"/>
      <c r="C945" s="15"/>
      <c r="D945" s="15"/>
      <c r="E945" s="15"/>
      <c r="F945" s="3"/>
      <c r="G945" s="18"/>
      <c r="H945" s="3"/>
      <c r="I945" s="19"/>
      <c r="J945" s="19"/>
      <c r="K945" s="3"/>
      <c r="L945" s="3"/>
      <c r="M945" s="20"/>
      <c r="N945" s="20"/>
      <c r="O945" s="20"/>
      <c r="P945" s="21"/>
      <c r="Q945" s="22"/>
      <c r="R945" s="22"/>
      <c r="S945" s="19"/>
      <c r="T945" s="19"/>
      <c r="U945" s="19"/>
      <c r="V945" s="19"/>
      <c r="W945" s="26"/>
      <c r="X945" s="28"/>
    </row>
    <row r="946">
      <c r="A946" s="15"/>
      <c r="B946" s="16"/>
      <c r="C946" s="15"/>
      <c r="D946" s="15"/>
      <c r="E946" s="15"/>
      <c r="F946" s="3"/>
      <c r="G946" s="18"/>
      <c r="H946" s="3"/>
      <c r="I946" s="19"/>
      <c r="J946" s="19"/>
      <c r="K946" s="3"/>
      <c r="L946" s="3"/>
      <c r="M946" s="20"/>
      <c r="N946" s="20"/>
      <c r="O946" s="20"/>
      <c r="P946" s="21"/>
      <c r="Q946" s="22"/>
      <c r="R946" s="22"/>
      <c r="S946" s="19"/>
      <c r="T946" s="19"/>
      <c r="U946" s="19"/>
      <c r="V946" s="19"/>
      <c r="W946" s="26"/>
      <c r="X946" s="28"/>
    </row>
    <row r="947">
      <c r="A947" s="15"/>
      <c r="B947" s="16"/>
      <c r="C947" s="15"/>
      <c r="D947" s="15"/>
      <c r="E947" s="15"/>
      <c r="F947" s="3"/>
      <c r="G947" s="18"/>
      <c r="H947" s="3"/>
      <c r="I947" s="19"/>
      <c r="J947" s="19"/>
      <c r="K947" s="3"/>
      <c r="L947" s="3"/>
      <c r="M947" s="20"/>
      <c r="N947" s="20"/>
      <c r="O947" s="20"/>
      <c r="P947" s="21"/>
      <c r="Q947" s="22"/>
      <c r="R947" s="22"/>
      <c r="S947" s="19"/>
      <c r="T947" s="19"/>
      <c r="U947" s="19"/>
      <c r="V947" s="19"/>
      <c r="W947" s="26"/>
      <c r="X947" s="28"/>
    </row>
    <row r="948">
      <c r="A948" s="15"/>
      <c r="B948" s="16"/>
      <c r="C948" s="15"/>
      <c r="D948" s="15"/>
      <c r="E948" s="15"/>
      <c r="F948" s="3"/>
      <c r="G948" s="18"/>
      <c r="H948" s="3"/>
      <c r="I948" s="19"/>
      <c r="J948" s="19"/>
      <c r="K948" s="3"/>
      <c r="L948" s="3"/>
      <c r="M948" s="20"/>
      <c r="N948" s="20"/>
      <c r="O948" s="20"/>
      <c r="P948" s="21"/>
      <c r="Q948" s="22"/>
      <c r="R948" s="22"/>
      <c r="S948" s="19"/>
      <c r="T948" s="19"/>
      <c r="U948" s="19"/>
      <c r="V948" s="19"/>
      <c r="W948" s="26"/>
      <c r="X948" s="28"/>
    </row>
    <row r="949">
      <c r="A949" s="15"/>
      <c r="B949" s="16"/>
      <c r="C949" s="15"/>
      <c r="D949" s="15"/>
      <c r="E949" s="15"/>
      <c r="F949" s="3"/>
      <c r="G949" s="18"/>
      <c r="H949" s="3"/>
      <c r="I949" s="19"/>
      <c r="J949" s="19"/>
      <c r="K949" s="3"/>
      <c r="L949" s="3"/>
      <c r="M949" s="20"/>
      <c r="N949" s="20"/>
      <c r="O949" s="20"/>
      <c r="P949" s="21"/>
      <c r="Q949" s="22"/>
      <c r="R949" s="22"/>
      <c r="S949" s="19"/>
      <c r="T949" s="19"/>
      <c r="U949" s="19"/>
      <c r="V949" s="19"/>
      <c r="W949" s="26"/>
      <c r="X949" s="28"/>
    </row>
    <row r="950">
      <c r="A950" s="15"/>
      <c r="B950" s="16"/>
      <c r="C950" s="15"/>
      <c r="D950" s="15"/>
      <c r="E950" s="15"/>
      <c r="F950" s="3"/>
      <c r="G950" s="18"/>
      <c r="H950" s="3"/>
      <c r="I950" s="19"/>
      <c r="J950" s="19"/>
      <c r="K950" s="3"/>
      <c r="L950" s="3"/>
      <c r="M950" s="20"/>
      <c r="N950" s="20"/>
      <c r="O950" s="20"/>
      <c r="P950" s="21"/>
      <c r="Q950" s="22"/>
      <c r="R950" s="22"/>
      <c r="S950" s="19"/>
      <c r="T950" s="19"/>
      <c r="U950" s="19"/>
      <c r="V950" s="19"/>
      <c r="W950" s="26"/>
      <c r="X950" s="28"/>
    </row>
    <row r="951">
      <c r="A951" s="15"/>
      <c r="B951" s="16"/>
      <c r="C951" s="15"/>
      <c r="D951" s="15"/>
      <c r="E951" s="15"/>
      <c r="F951" s="3"/>
      <c r="G951" s="18"/>
      <c r="H951" s="3"/>
      <c r="I951" s="19"/>
      <c r="J951" s="19"/>
      <c r="K951" s="3"/>
      <c r="L951" s="3"/>
      <c r="M951" s="20"/>
      <c r="N951" s="20"/>
      <c r="O951" s="20"/>
      <c r="P951" s="21"/>
      <c r="Q951" s="22"/>
      <c r="R951" s="22"/>
      <c r="S951" s="19"/>
      <c r="T951" s="19"/>
      <c r="U951" s="19"/>
      <c r="V951" s="19"/>
      <c r="W951" s="26"/>
      <c r="X951" s="28"/>
    </row>
    <row r="952">
      <c r="A952" s="15"/>
      <c r="B952" s="16"/>
      <c r="C952" s="15"/>
      <c r="D952" s="15"/>
      <c r="E952" s="15"/>
      <c r="F952" s="3"/>
      <c r="G952" s="18"/>
      <c r="H952" s="3"/>
      <c r="I952" s="19"/>
      <c r="J952" s="19"/>
      <c r="K952" s="3"/>
      <c r="L952" s="3"/>
      <c r="M952" s="20"/>
      <c r="N952" s="20"/>
      <c r="O952" s="20"/>
      <c r="P952" s="21"/>
      <c r="Q952" s="22"/>
      <c r="R952" s="22"/>
      <c r="S952" s="19"/>
      <c r="T952" s="19"/>
      <c r="U952" s="19"/>
      <c r="V952" s="19"/>
      <c r="W952" s="26"/>
      <c r="X952" s="28"/>
    </row>
    <row r="953">
      <c r="A953" s="15"/>
      <c r="B953" s="16"/>
      <c r="C953" s="15"/>
      <c r="D953" s="15"/>
      <c r="E953" s="15"/>
      <c r="F953" s="3"/>
      <c r="G953" s="18"/>
      <c r="H953" s="3"/>
      <c r="I953" s="19"/>
      <c r="J953" s="19"/>
      <c r="K953" s="3"/>
      <c r="L953" s="3"/>
      <c r="M953" s="20"/>
      <c r="N953" s="20"/>
      <c r="O953" s="20"/>
      <c r="P953" s="21"/>
      <c r="Q953" s="22"/>
      <c r="R953" s="22"/>
      <c r="S953" s="19"/>
      <c r="T953" s="19"/>
      <c r="U953" s="19"/>
      <c r="V953" s="19"/>
      <c r="W953" s="26"/>
      <c r="X953" s="28"/>
    </row>
    <row r="954">
      <c r="A954" s="15"/>
      <c r="B954" s="16"/>
      <c r="C954" s="15"/>
      <c r="D954" s="15"/>
      <c r="E954" s="15"/>
      <c r="F954" s="3"/>
      <c r="G954" s="18"/>
      <c r="H954" s="3"/>
      <c r="I954" s="19"/>
      <c r="J954" s="19"/>
      <c r="K954" s="3"/>
      <c r="L954" s="3"/>
      <c r="M954" s="20"/>
      <c r="N954" s="20"/>
      <c r="O954" s="20"/>
      <c r="P954" s="21"/>
      <c r="Q954" s="22"/>
      <c r="R954" s="22"/>
      <c r="S954" s="19"/>
      <c r="T954" s="19"/>
      <c r="U954" s="19"/>
      <c r="V954" s="19"/>
      <c r="W954" s="26"/>
      <c r="X954" s="28"/>
    </row>
    <row r="955">
      <c r="A955" s="15"/>
      <c r="B955" s="16"/>
      <c r="C955" s="15"/>
      <c r="D955" s="15"/>
      <c r="E955" s="15"/>
      <c r="F955" s="3"/>
      <c r="G955" s="18"/>
      <c r="H955" s="3"/>
      <c r="I955" s="19"/>
      <c r="J955" s="19"/>
      <c r="K955" s="3"/>
      <c r="L955" s="3"/>
      <c r="M955" s="20"/>
      <c r="N955" s="20"/>
      <c r="O955" s="20"/>
      <c r="P955" s="21"/>
      <c r="Q955" s="22"/>
      <c r="R955" s="22"/>
      <c r="S955" s="19"/>
      <c r="T955" s="19"/>
      <c r="U955" s="19"/>
      <c r="V955" s="19"/>
      <c r="W955" s="26"/>
      <c r="X955" s="28"/>
    </row>
    <row r="956">
      <c r="A956" s="15"/>
      <c r="B956" s="16"/>
      <c r="C956" s="15"/>
      <c r="D956" s="15"/>
      <c r="E956" s="15"/>
      <c r="F956" s="3"/>
      <c r="G956" s="18"/>
      <c r="H956" s="3"/>
      <c r="I956" s="19"/>
      <c r="J956" s="19"/>
      <c r="K956" s="3"/>
      <c r="L956" s="3"/>
      <c r="M956" s="20"/>
      <c r="N956" s="20"/>
      <c r="O956" s="20"/>
      <c r="P956" s="21"/>
      <c r="Q956" s="22"/>
      <c r="R956" s="22"/>
      <c r="S956" s="19"/>
      <c r="T956" s="19"/>
      <c r="U956" s="19"/>
      <c r="V956" s="19"/>
      <c r="W956" s="26"/>
      <c r="X956" s="28"/>
    </row>
    <row r="957">
      <c r="A957" s="15"/>
      <c r="B957" s="16"/>
      <c r="C957" s="15"/>
      <c r="D957" s="15"/>
      <c r="E957" s="15"/>
      <c r="F957" s="3"/>
      <c r="G957" s="18"/>
      <c r="H957" s="3"/>
      <c r="I957" s="19"/>
      <c r="J957" s="19"/>
      <c r="K957" s="3"/>
      <c r="L957" s="3"/>
      <c r="M957" s="20"/>
      <c r="N957" s="20"/>
      <c r="O957" s="20"/>
      <c r="P957" s="21"/>
      <c r="Q957" s="22"/>
      <c r="R957" s="22"/>
      <c r="S957" s="19"/>
      <c r="T957" s="19"/>
      <c r="U957" s="19"/>
      <c r="V957" s="19"/>
      <c r="W957" s="26"/>
      <c r="X957" s="28"/>
    </row>
    <row r="958">
      <c r="A958" s="15"/>
      <c r="B958" s="16"/>
      <c r="C958" s="15"/>
      <c r="D958" s="15"/>
      <c r="E958" s="15"/>
      <c r="F958" s="3"/>
      <c r="G958" s="18"/>
      <c r="H958" s="3"/>
      <c r="I958" s="19"/>
      <c r="J958" s="19"/>
      <c r="K958" s="3"/>
      <c r="L958" s="3"/>
      <c r="M958" s="20"/>
      <c r="N958" s="20"/>
      <c r="O958" s="20"/>
      <c r="P958" s="21"/>
      <c r="Q958" s="22"/>
      <c r="R958" s="22"/>
      <c r="S958" s="19"/>
      <c r="T958" s="19"/>
      <c r="U958" s="19"/>
      <c r="V958" s="19"/>
      <c r="W958" s="26"/>
      <c r="X958" s="28"/>
    </row>
    <row r="959">
      <c r="A959" s="15"/>
      <c r="B959" s="16"/>
      <c r="C959" s="15"/>
      <c r="D959" s="15"/>
      <c r="E959" s="15"/>
      <c r="F959" s="3"/>
      <c r="G959" s="18"/>
      <c r="H959" s="3"/>
      <c r="I959" s="19"/>
      <c r="J959" s="19"/>
      <c r="K959" s="3"/>
      <c r="L959" s="3"/>
      <c r="M959" s="20"/>
      <c r="N959" s="20"/>
      <c r="O959" s="20"/>
      <c r="P959" s="21"/>
      <c r="Q959" s="22"/>
      <c r="R959" s="22"/>
      <c r="S959" s="19"/>
      <c r="T959" s="19"/>
      <c r="U959" s="19"/>
      <c r="V959" s="19"/>
      <c r="W959" s="26"/>
      <c r="X959" s="28"/>
    </row>
    <row r="960">
      <c r="A960" s="15"/>
      <c r="B960" s="16"/>
      <c r="C960" s="15"/>
      <c r="D960" s="15"/>
      <c r="E960" s="15"/>
      <c r="F960" s="3"/>
      <c r="G960" s="18"/>
      <c r="H960" s="3"/>
      <c r="I960" s="19"/>
      <c r="J960" s="19"/>
      <c r="K960" s="3"/>
      <c r="L960" s="3"/>
      <c r="M960" s="20"/>
      <c r="N960" s="20"/>
      <c r="O960" s="20"/>
      <c r="P960" s="21"/>
      <c r="Q960" s="22"/>
      <c r="R960" s="22"/>
      <c r="S960" s="19"/>
      <c r="T960" s="19"/>
      <c r="U960" s="19"/>
      <c r="V960" s="19"/>
      <c r="W960" s="26"/>
      <c r="X960" s="28"/>
    </row>
    <row r="961">
      <c r="A961" s="15"/>
      <c r="B961" s="16"/>
      <c r="C961" s="15"/>
      <c r="D961" s="15"/>
      <c r="E961" s="15"/>
      <c r="F961" s="3"/>
      <c r="G961" s="18"/>
      <c r="H961" s="3"/>
      <c r="I961" s="19"/>
      <c r="J961" s="19"/>
      <c r="K961" s="3"/>
      <c r="L961" s="3"/>
      <c r="M961" s="20"/>
      <c r="N961" s="20"/>
      <c r="O961" s="20"/>
      <c r="P961" s="21"/>
      <c r="Q961" s="22"/>
      <c r="R961" s="22"/>
      <c r="S961" s="19"/>
      <c r="T961" s="19"/>
      <c r="U961" s="19"/>
      <c r="V961" s="19"/>
      <c r="W961" s="26"/>
      <c r="X961" s="28"/>
    </row>
    <row r="962">
      <c r="A962" s="15"/>
      <c r="B962" s="16"/>
      <c r="C962" s="15"/>
      <c r="D962" s="15"/>
      <c r="E962" s="15"/>
      <c r="F962" s="3"/>
      <c r="G962" s="18"/>
      <c r="H962" s="3"/>
      <c r="I962" s="19"/>
      <c r="J962" s="19"/>
      <c r="K962" s="3"/>
      <c r="L962" s="3"/>
      <c r="M962" s="20"/>
      <c r="N962" s="20"/>
      <c r="O962" s="20"/>
      <c r="P962" s="21"/>
      <c r="Q962" s="22"/>
      <c r="R962" s="22"/>
      <c r="S962" s="19"/>
      <c r="T962" s="19"/>
      <c r="U962" s="19"/>
      <c r="V962" s="19"/>
      <c r="W962" s="26"/>
      <c r="X962" s="28"/>
    </row>
    <row r="963">
      <c r="A963" s="15"/>
      <c r="B963" s="16"/>
      <c r="C963" s="15"/>
      <c r="D963" s="15"/>
      <c r="E963" s="15"/>
      <c r="F963" s="3"/>
      <c r="G963" s="18"/>
      <c r="H963" s="3"/>
      <c r="I963" s="19"/>
      <c r="J963" s="19"/>
      <c r="K963" s="3"/>
      <c r="L963" s="3"/>
      <c r="M963" s="20"/>
      <c r="N963" s="20"/>
      <c r="O963" s="20"/>
      <c r="P963" s="21"/>
      <c r="Q963" s="22"/>
      <c r="R963" s="22"/>
      <c r="S963" s="19"/>
      <c r="T963" s="19"/>
      <c r="U963" s="19"/>
      <c r="V963" s="19"/>
      <c r="W963" s="26"/>
      <c r="X963" s="28"/>
    </row>
    <row r="964">
      <c r="A964" s="15"/>
      <c r="B964" s="16"/>
      <c r="C964" s="15"/>
      <c r="D964" s="15"/>
      <c r="E964" s="15"/>
      <c r="F964" s="3"/>
      <c r="G964" s="18"/>
      <c r="H964" s="3"/>
      <c r="I964" s="19"/>
      <c r="J964" s="19"/>
      <c r="K964" s="3"/>
      <c r="L964" s="3"/>
      <c r="M964" s="20"/>
      <c r="N964" s="20"/>
      <c r="O964" s="20"/>
      <c r="P964" s="21"/>
      <c r="Q964" s="22"/>
      <c r="R964" s="22"/>
      <c r="S964" s="19"/>
      <c r="T964" s="19"/>
      <c r="U964" s="19"/>
      <c r="V964" s="19"/>
      <c r="W964" s="26"/>
      <c r="X964" s="28"/>
    </row>
    <row r="965">
      <c r="A965" s="15"/>
      <c r="B965" s="16"/>
      <c r="C965" s="15"/>
      <c r="D965" s="15"/>
      <c r="E965" s="15"/>
      <c r="F965" s="3"/>
      <c r="G965" s="18"/>
      <c r="H965" s="3"/>
      <c r="I965" s="19"/>
      <c r="J965" s="19"/>
      <c r="K965" s="3"/>
      <c r="L965" s="3"/>
      <c r="M965" s="20"/>
      <c r="N965" s="20"/>
      <c r="O965" s="20"/>
      <c r="P965" s="21"/>
      <c r="Q965" s="22"/>
      <c r="R965" s="22"/>
      <c r="S965" s="19"/>
      <c r="T965" s="19"/>
      <c r="U965" s="19"/>
      <c r="V965" s="19"/>
      <c r="W965" s="26"/>
      <c r="X965" s="28"/>
    </row>
    <row r="966">
      <c r="A966" s="15"/>
      <c r="B966" s="16"/>
      <c r="C966" s="15"/>
      <c r="D966" s="15"/>
      <c r="E966" s="15"/>
      <c r="F966" s="3"/>
      <c r="G966" s="18"/>
      <c r="H966" s="3"/>
      <c r="I966" s="19"/>
      <c r="J966" s="19"/>
      <c r="K966" s="3"/>
      <c r="L966" s="3"/>
      <c r="M966" s="20"/>
      <c r="N966" s="20"/>
      <c r="O966" s="20"/>
      <c r="P966" s="21"/>
      <c r="Q966" s="22"/>
      <c r="R966" s="22"/>
      <c r="S966" s="19"/>
      <c r="T966" s="19"/>
      <c r="U966" s="19"/>
      <c r="V966" s="19"/>
      <c r="W966" s="26"/>
      <c r="X966" s="28"/>
    </row>
    <row r="967">
      <c r="A967" s="15"/>
      <c r="B967" s="16"/>
      <c r="C967" s="15"/>
      <c r="D967" s="15"/>
      <c r="E967" s="15"/>
      <c r="F967" s="3"/>
      <c r="G967" s="18"/>
      <c r="H967" s="3"/>
      <c r="I967" s="19"/>
      <c r="J967" s="19"/>
      <c r="K967" s="3"/>
      <c r="L967" s="3"/>
      <c r="M967" s="20"/>
      <c r="N967" s="20"/>
      <c r="O967" s="20"/>
      <c r="P967" s="21"/>
      <c r="Q967" s="22"/>
      <c r="R967" s="22"/>
      <c r="S967" s="19"/>
      <c r="T967" s="19"/>
      <c r="U967" s="19"/>
      <c r="V967" s="19"/>
      <c r="W967" s="26"/>
      <c r="X967" s="28"/>
    </row>
    <row r="968">
      <c r="A968" s="15"/>
      <c r="B968" s="16"/>
      <c r="C968" s="15"/>
      <c r="D968" s="15"/>
      <c r="E968" s="15"/>
      <c r="F968" s="3"/>
      <c r="G968" s="18"/>
      <c r="H968" s="3"/>
      <c r="I968" s="19"/>
      <c r="J968" s="19"/>
      <c r="K968" s="3"/>
      <c r="L968" s="3"/>
      <c r="M968" s="20"/>
      <c r="N968" s="20"/>
      <c r="O968" s="20"/>
      <c r="P968" s="21"/>
      <c r="Q968" s="22"/>
      <c r="R968" s="22"/>
      <c r="S968" s="19"/>
      <c r="T968" s="19"/>
      <c r="U968" s="19"/>
      <c r="V968" s="19"/>
      <c r="W968" s="26"/>
      <c r="X968" s="28"/>
    </row>
    <row r="969">
      <c r="A969" s="15"/>
      <c r="B969" s="16"/>
      <c r="C969" s="15"/>
      <c r="D969" s="15"/>
      <c r="E969" s="15"/>
      <c r="F969" s="3"/>
      <c r="G969" s="18"/>
      <c r="H969" s="3"/>
      <c r="I969" s="19"/>
      <c r="J969" s="19"/>
      <c r="K969" s="3"/>
      <c r="L969" s="3"/>
      <c r="M969" s="20"/>
      <c r="N969" s="20"/>
      <c r="O969" s="20"/>
      <c r="P969" s="21"/>
      <c r="Q969" s="22"/>
      <c r="R969" s="22"/>
      <c r="S969" s="19"/>
      <c r="T969" s="19"/>
      <c r="U969" s="19"/>
      <c r="V969" s="19"/>
      <c r="W969" s="26"/>
      <c r="X969" s="28"/>
    </row>
    <row r="970">
      <c r="A970" s="15"/>
      <c r="B970" s="16"/>
      <c r="C970" s="15"/>
      <c r="D970" s="15"/>
      <c r="E970" s="15"/>
      <c r="F970" s="3"/>
      <c r="G970" s="18"/>
      <c r="H970" s="3"/>
      <c r="I970" s="19"/>
      <c r="J970" s="19"/>
      <c r="K970" s="3"/>
      <c r="L970" s="3"/>
      <c r="M970" s="20"/>
      <c r="N970" s="20"/>
      <c r="O970" s="20"/>
      <c r="P970" s="21"/>
      <c r="Q970" s="22"/>
      <c r="R970" s="22"/>
      <c r="S970" s="19"/>
      <c r="T970" s="19"/>
      <c r="U970" s="19"/>
      <c r="V970" s="19"/>
      <c r="W970" s="26"/>
      <c r="X970" s="28"/>
    </row>
    <row r="971">
      <c r="A971" s="15"/>
      <c r="B971" s="16"/>
      <c r="C971" s="15"/>
      <c r="D971" s="15"/>
      <c r="E971" s="15"/>
      <c r="F971" s="3"/>
      <c r="G971" s="18"/>
      <c r="H971" s="3"/>
      <c r="I971" s="19"/>
      <c r="J971" s="19"/>
      <c r="K971" s="3"/>
      <c r="L971" s="3"/>
      <c r="M971" s="20"/>
      <c r="N971" s="20"/>
      <c r="O971" s="20"/>
      <c r="P971" s="21"/>
      <c r="Q971" s="22"/>
      <c r="R971" s="22"/>
      <c r="S971" s="19"/>
      <c r="T971" s="19"/>
      <c r="U971" s="19"/>
      <c r="V971" s="19"/>
      <c r="W971" s="26"/>
      <c r="X971" s="28"/>
    </row>
    <row r="972">
      <c r="A972" s="15"/>
      <c r="B972" s="16"/>
      <c r="C972" s="15"/>
      <c r="D972" s="15"/>
      <c r="E972" s="15"/>
      <c r="F972" s="3"/>
      <c r="G972" s="18"/>
      <c r="H972" s="3"/>
      <c r="I972" s="19"/>
      <c r="J972" s="19"/>
      <c r="K972" s="3"/>
      <c r="L972" s="3"/>
      <c r="M972" s="20"/>
      <c r="N972" s="20"/>
      <c r="O972" s="20"/>
      <c r="P972" s="21"/>
      <c r="Q972" s="22"/>
      <c r="R972" s="22"/>
      <c r="S972" s="19"/>
      <c r="T972" s="19"/>
      <c r="U972" s="19"/>
      <c r="V972" s="19"/>
      <c r="W972" s="26"/>
      <c r="X972" s="28"/>
    </row>
    <row r="973">
      <c r="A973" s="15"/>
      <c r="B973" s="16"/>
      <c r="C973" s="15"/>
      <c r="D973" s="15"/>
      <c r="E973" s="15"/>
      <c r="F973" s="3"/>
      <c r="G973" s="18"/>
      <c r="H973" s="3"/>
      <c r="I973" s="19"/>
      <c r="J973" s="19"/>
      <c r="K973" s="3"/>
      <c r="L973" s="3"/>
      <c r="M973" s="20"/>
      <c r="N973" s="20"/>
      <c r="O973" s="20"/>
      <c r="P973" s="21"/>
      <c r="Q973" s="22"/>
      <c r="R973" s="22"/>
      <c r="S973" s="19"/>
      <c r="T973" s="19"/>
      <c r="U973" s="19"/>
      <c r="V973" s="19"/>
      <c r="W973" s="26"/>
      <c r="X973" s="28"/>
    </row>
    <row r="974">
      <c r="A974" s="15"/>
      <c r="B974" s="16"/>
      <c r="C974" s="15"/>
      <c r="D974" s="15"/>
      <c r="E974" s="15"/>
      <c r="F974" s="3"/>
      <c r="G974" s="18"/>
      <c r="H974" s="3"/>
      <c r="I974" s="19"/>
      <c r="J974" s="19"/>
      <c r="K974" s="3"/>
      <c r="L974" s="3"/>
      <c r="M974" s="20"/>
      <c r="N974" s="20"/>
      <c r="O974" s="20"/>
      <c r="P974" s="21"/>
      <c r="Q974" s="22"/>
      <c r="R974" s="22"/>
      <c r="S974" s="19"/>
      <c r="T974" s="19"/>
      <c r="U974" s="19"/>
      <c r="V974" s="19"/>
      <c r="W974" s="26"/>
      <c r="X974" s="28"/>
    </row>
    <row r="975">
      <c r="A975" s="15"/>
      <c r="B975" s="16"/>
      <c r="C975" s="15"/>
      <c r="D975" s="15"/>
      <c r="E975" s="15"/>
      <c r="F975" s="3"/>
      <c r="G975" s="18"/>
      <c r="H975" s="3"/>
      <c r="I975" s="19"/>
      <c r="J975" s="19"/>
      <c r="K975" s="3"/>
      <c r="L975" s="3"/>
      <c r="M975" s="20"/>
      <c r="N975" s="20"/>
      <c r="O975" s="20"/>
      <c r="P975" s="21"/>
      <c r="Q975" s="22"/>
      <c r="R975" s="22"/>
      <c r="S975" s="19"/>
      <c r="T975" s="19"/>
      <c r="U975" s="19"/>
      <c r="V975" s="19"/>
      <c r="W975" s="26"/>
      <c r="X975" s="28"/>
    </row>
    <row r="976">
      <c r="A976" s="15"/>
      <c r="B976" s="16"/>
      <c r="C976" s="15"/>
      <c r="D976" s="15"/>
      <c r="E976" s="15"/>
      <c r="F976" s="3"/>
      <c r="G976" s="18"/>
      <c r="H976" s="3"/>
      <c r="I976" s="19"/>
      <c r="J976" s="19"/>
      <c r="K976" s="3"/>
      <c r="L976" s="3"/>
      <c r="M976" s="20"/>
      <c r="N976" s="20"/>
      <c r="O976" s="20"/>
      <c r="P976" s="21"/>
      <c r="Q976" s="22"/>
      <c r="R976" s="22"/>
      <c r="S976" s="19"/>
      <c r="T976" s="19"/>
      <c r="U976" s="19"/>
      <c r="V976" s="19"/>
      <c r="W976" s="26"/>
      <c r="X976" s="28"/>
    </row>
    <row r="977">
      <c r="A977" s="15"/>
      <c r="B977" s="16"/>
      <c r="C977" s="15"/>
      <c r="D977" s="15"/>
      <c r="E977" s="15"/>
      <c r="F977" s="3"/>
      <c r="G977" s="18"/>
      <c r="H977" s="3"/>
      <c r="I977" s="19"/>
      <c r="J977" s="19"/>
      <c r="K977" s="3"/>
      <c r="L977" s="3"/>
      <c r="M977" s="20"/>
      <c r="N977" s="20"/>
      <c r="O977" s="20"/>
      <c r="P977" s="21"/>
      <c r="Q977" s="22"/>
      <c r="R977" s="22"/>
      <c r="S977" s="19"/>
      <c r="T977" s="19"/>
      <c r="U977" s="19"/>
      <c r="V977" s="19"/>
      <c r="W977" s="26"/>
      <c r="X977" s="28"/>
    </row>
    <row r="978">
      <c r="A978" s="15"/>
      <c r="B978" s="16"/>
      <c r="C978" s="15"/>
      <c r="D978" s="15"/>
      <c r="E978" s="15"/>
      <c r="F978" s="3"/>
      <c r="G978" s="18"/>
      <c r="H978" s="3"/>
      <c r="I978" s="19"/>
      <c r="J978" s="19"/>
      <c r="K978" s="3"/>
      <c r="L978" s="3"/>
      <c r="M978" s="20"/>
      <c r="N978" s="20"/>
      <c r="O978" s="20"/>
      <c r="P978" s="21"/>
      <c r="Q978" s="22"/>
      <c r="R978" s="22"/>
      <c r="S978" s="19"/>
      <c r="T978" s="19"/>
      <c r="U978" s="19"/>
      <c r="V978" s="19"/>
      <c r="W978" s="26"/>
      <c r="X978" s="28"/>
    </row>
    <row r="979">
      <c r="A979" s="15"/>
      <c r="B979" s="16"/>
      <c r="C979" s="15"/>
      <c r="D979" s="15"/>
      <c r="E979" s="15"/>
      <c r="F979" s="3"/>
      <c r="G979" s="18"/>
      <c r="H979" s="3"/>
      <c r="I979" s="19"/>
      <c r="J979" s="19"/>
      <c r="K979" s="3"/>
      <c r="L979" s="3"/>
      <c r="M979" s="20"/>
      <c r="N979" s="20"/>
      <c r="O979" s="20"/>
      <c r="P979" s="21"/>
      <c r="Q979" s="22"/>
      <c r="R979" s="22"/>
      <c r="S979" s="19"/>
      <c r="T979" s="19"/>
      <c r="U979" s="19"/>
      <c r="V979" s="19"/>
      <c r="W979" s="26"/>
      <c r="X979" s="28"/>
    </row>
    <row r="980">
      <c r="A980" s="15"/>
      <c r="B980" s="16"/>
      <c r="C980" s="15"/>
      <c r="D980" s="15"/>
      <c r="E980" s="15"/>
      <c r="F980" s="3"/>
      <c r="G980" s="18"/>
      <c r="H980" s="3"/>
      <c r="I980" s="19"/>
      <c r="J980" s="19"/>
      <c r="K980" s="3"/>
      <c r="L980" s="3"/>
      <c r="M980" s="20"/>
      <c r="N980" s="20"/>
      <c r="O980" s="20"/>
      <c r="P980" s="21"/>
      <c r="Q980" s="22"/>
      <c r="R980" s="22"/>
      <c r="S980" s="19"/>
      <c r="T980" s="19"/>
      <c r="U980" s="19"/>
      <c r="V980" s="19"/>
      <c r="W980" s="26"/>
      <c r="X980" s="28"/>
    </row>
    <row r="981">
      <c r="A981" s="15"/>
      <c r="B981" s="16"/>
      <c r="C981" s="15"/>
      <c r="D981" s="15"/>
      <c r="E981" s="15"/>
      <c r="F981" s="3"/>
      <c r="G981" s="18"/>
      <c r="H981" s="3"/>
      <c r="I981" s="19"/>
      <c r="J981" s="19"/>
      <c r="K981" s="3"/>
      <c r="L981" s="3"/>
      <c r="M981" s="20"/>
      <c r="N981" s="20"/>
      <c r="O981" s="20"/>
      <c r="P981" s="21"/>
      <c r="Q981" s="22"/>
      <c r="R981" s="22"/>
      <c r="S981" s="19"/>
      <c r="T981" s="19"/>
      <c r="U981" s="19"/>
      <c r="V981" s="19"/>
      <c r="W981" s="26"/>
      <c r="X981" s="28"/>
    </row>
    <row r="982">
      <c r="A982" s="15"/>
      <c r="B982" s="16"/>
      <c r="C982" s="15"/>
      <c r="D982" s="15"/>
      <c r="E982" s="15"/>
      <c r="F982" s="3"/>
      <c r="G982" s="18"/>
      <c r="H982" s="3"/>
      <c r="I982" s="19"/>
      <c r="J982" s="19"/>
      <c r="K982" s="3"/>
      <c r="L982" s="3"/>
      <c r="M982" s="20"/>
      <c r="N982" s="20"/>
      <c r="O982" s="20"/>
      <c r="P982" s="21"/>
      <c r="Q982" s="22"/>
      <c r="R982" s="22"/>
      <c r="S982" s="19"/>
      <c r="T982" s="19"/>
      <c r="U982" s="19"/>
      <c r="V982" s="19"/>
      <c r="W982" s="26"/>
      <c r="X982" s="28"/>
    </row>
    <row r="983">
      <c r="A983" s="15"/>
      <c r="B983" s="16"/>
      <c r="C983" s="15"/>
      <c r="D983" s="15"/>
      <c r="E983" s="15"/>
      <c r="F983" s="3"/>
      <c r="G983" s="18"/>
      <c r="H983" s="3"/>
      <c r="I983" s="19"/>
      <c r="J983" s="19"/>
      <c r="K983" s="3"/>
      <c r="L983" s="3"/>
      <c r="M983" s="20"/>
      <c r="N983" s="20"/>
      <c r="O983" s="20"/>
      <c r="P983" s="21"/>
      <c r="Q983" s="22"/>
      <c r="R983" s="22"/>
      <c r="S983" s="19"/>
      <c r="T983" s="19"/>
      <c r="U983" s="19"/>
      <c r="V983" s="19"/>
      <c r="W983" s="26"/>
      <c r="X983" s="28"/>
    </row>
    <row r="984">
      <c r="A984" s="15"/>
      <c r="B984" s="16"/>
      <c r="C984" s="15"/>
      <c r="D984" s="15"/>
      <c r="E984" s="15"/>
      <c r="F984" s="3"/>
      <c r="G984" s="18"/>
      <c r="H984" s="3"/>
      <c r="I984" s="19"/>
      <c r="J984" s="19"/>
      <c r="K984" s="3"/>
      <c r="L984" s="3"/>
      <c r="M984" s="20"/>
      <c r="N984" s="20"/>
      <c r="O984" s="20"/>
      <c r="P984" s="21"/>
      <c r="Q984" s="22"/>
      <c r="R984" s="22"/>
      <c r="S984" s="19"/>
      <c r="T984" s="19"/>
      <c r="U984" s="19"/>
      <c r="V984" s="19"/>
      <c r="W984" s="26"/>
      <c r="X984" s="28"/>
    </row>
    <row r="985">
      <c r="A985" s="15"/>
      <c r="B985" s="16"/>
      <c r="C985" s="15"/>
      <c r="D985" s="15"/>
      <c r="E985" s="15"/>
      <c r="F985" s="3"/>
      <c r="G985" s="18"/>
      <c r="H985" s="3"/>
      <c r="I985" s="19"/>
      <c r="J985" s="19"/>
      <c r="K985" s="3"/>
      <c r="L985" s="3"/>
      <c r="M985" s="20"/>
      <c r="N985" s="20"/>
      <c r="O985" s="20"/>
      <c r="P985" s="21"/>
      <c r="Q985" s="22"/>
      <c r="R985" s="22"/>
      <c r="S985" s="19"/>
      <c r="T985" s="19"/>
      <c r="U985" s="19"/>
      <c r="V985" s="19"/>
      <c r="W985" s="26"/>
      <c r="X985" s="28"/>
    </row>
    <row r="986">
      <c r="A986" s="15"/>
      <c r="B986" s="16"/>
      <c r="C986" s="15"/>
      <c r="D986" s="15"/>
      <c r="E986" s="15"/>
      <c r="F986" s="3"/>
      <c r="G986" s="18"/>
      <c r="H986" s="3"/>
      <c r="I986" s="19"/>
      <c r="J986" s="19"/>
      <c r="K986" s="3"/>
      <c r="L986" s="3"/>
      <c r="M986" s="20"/>
      <c r="N986" s="20"/>
      <c r="O986" s="20"/>
      <c r="P986" s="21"/>
      <c r="Q986" s="22"/>
      <c r="R986" s="22"/>
      <c r="S986" s="19"/>
      <c r="T986" s="19"/>
      <c r="U986" s="19"/>
      <c r="V986" s="19"/>
      <c r="W986" s="26"/>
      <c r="X986" s="28"/>
    </row>
    <row r="987">
      <c r="A987" s="15"/>
      <c r="B987" s="16"/>
      <c r="C987" s="15"/>
      <c r="D987" s="15"/>
      <c r="E987" s="15"/>
      <c r="F987" s="3"/>
      <c r="G987" s="18"/>
      <c r="H987" s="3"/>
      <c r="I987" s="19"/>
      <c r="J987" s="19"/>
      <c r="K987" s="3"/>
      <c r="L987" s="3"/>
      <c r="M987" s="20"/>
      <c r="N987" s="20"/>
      <c r="O987" s="20"/>
      <c r="P987" s="21"/>
      <c r="Q987" s="22"/>
      <c r="R987" s="22"/>
      <c r="S987" s="19"/>
      <c r="T987" s="19"/>
      <c r="U987" s="19"/>
      <c r="V987" s="19"/>
      <c r="W987" s="26"/>
      <c r="X987" s="28"/>
    </row>
    <row r="988">
      <c r="A988" s="15"/>
      <c r="B988" s="16"/>
      <c r="C988" s="15"/>
      <c r="D988" s="15"/>
      <c r="E988" s="15"/>
      <c r="F988" s="3"/>
      <c r="G988" s="18"/>
      <c r="H988" s="3"/>
      <c r="I988" s="19"/>
      <c r="J988" s="19"/>
      <c r="K988" s="3"/>
      <c r="L988" s="3"/>
      <c r="M988" s="20"/>
      <c r="N988" s="20"/>
      <c r="O988" s="20"/>
      <c r="P988" s="21"/>
      <c r="Q988" s="22"/>
      <c r="R988" s="22"/>
      <c r="S988" s="19"/>
      <c r="T988" s="19"/>
      <c r="U988" s="19"/>
      <c r="V988" s="19"/>
      <c r="W988" s="26"/>
      <c r="X988" s="28"/>
    </row>
    <row r="989">
      <c r="A989" s="15"/>
      <c r="B989" s="16"/>
      <c r="C989" s="15"/>
      <c r="D989" s="15"/>
      <c r="E989" s="15"/>
      <c r="F989" s="3"/>
      <c r="G989" s="18"/>
      <c r="H989" s="3"/>
      <c r="I989" s="19"/>
      <c r="J989" s="19"/>
      <c r="K989" s="3"/>
      <c r="L989" s="3"/>
      <c r="M989" s="20"/>
      <c r="N989" s="20"/>
      <c r="O989" s="20"/>
      <c r="P989" s="21"/>
      <c r="Q989" s="22"/>
      <c r="R989" s="22"/>
      <c r="S989" s="19"/>
      <c r="T989" s="19"/>
      <c r="U989" s="19"/>
      <c r="V989" s="19"/>
      <c r="W989" s="26"/>
      <c r="X989" s="28"/>
    </row>
    <row r="990">
      <c r="A990" s="15"/>
      <c r="B990" s="16"/>
      <c r="C990" s="15"/>
      <c r="D990" s="15"/>
      <c r="E990" s="15"/>
      <c r="F990" s="3"/>
      <c r="G990" s="18"/>
      <c r="H990" s="3"/>
      <c r="I990" s="19"/>
      <c r="J990" s="19"/>
      <c r="K990" s="3"/>
      <c r="L990" s="3"/>
      <c r="M990" s="20"/>
      <c r="N990" s="20"/>
      <c r="O990" s="20"/>
      <c r="P990" s="21"/>
      <c r="Q990" s="22"/>
      <c r="R990" s="22"/>
      <c r="S990" s="19"/>
      <c r="T990" s="19"/>
      <c r="U990" s="19"/>
      <c r="V990" s="19"/>
      <c r="W990" s="26"/>
      <c r="X990" s="28"/>
    </row>
    <row r="991">
      <c r="A991" s="15"/>
      <c r="B991" s="16"/>
      <c r="C991" s="15"/>
      <c r="D991" s="15"/>
      <c r="E991" s="15"/>
      <c r="F991" s="3"/>
      <c r="G991" s="18"/>
      <c r="H991" s="3"/>
      <c r="I991" s="19"/>
      <c r="J991" s="19"/>
      <c r="K991" s="3"/>
      <c r="L991" s="3"/>
      <c r="M991" s="20"/>
      <c r="N991" s="20"/>
      <c r="O991" s="20"/>
      <c r="P991" s="21"/>
      <c r="Q991" s="22"/>
      <c r="R991" s="22"/>
      <c r="S991" s="19"/>
      <c r="T991" s="19"/>
      <c r="U991" s="19"/>
      <c r="V991" s="19"/>
      <c r="W991" s="26"/>
      <c r="X991" s="28"/>
    </row>
    <row r="992">
      <c r="A992" s="15"/>
      <c r="B992" s="16"/>
      <c r="C992" s="15"/>
      <c r="D992" s="15"/>
      <c r="E992" s="15"/>
      <c r="F992" s="3"/>
      <c r="G992" s="18"/>
      <c r="H992" s="3"/>
      <c r="I992" s="19"/>
      <c r="J992" s="19"/>
      <c r="K992" s="3"/>
      <c r="L992" s="3"/>
      <c r="M992" s="20"/>
      <c r="N992" s="20"/>
      <c r="O992" s="20"/>
      <c r="P992" s="21"/>
      <c r="Q992" s="22"/>
      <c r="R992" s="22"/>
      <c r="S992" s="19"/>
      <c r="T992" s="19"/>
      <c r="U992" s="19"/>
      <c r="V992" s="19"/>
      <c r="W992" s="26"/>
      <c r="X992" s="28"/>
    </row>
    <row r="993">
      <c r="A993" s="15"/>
      <c r="B993" s="16"/>
      <c r="C993" s="15"/>
      <c r="D993" s="15"/>
      <c r="E993" s="15"/>
      <c r="F993" s="3"/>
      <c r="G993" s="18"/>
      <c r="H993" s="3"/>
      <c r="I993" s="19"/>
      <c r="J993" s="19"/>
      <c r="K993" s="3"/>
      <c r="L993" s="3"/>
      <c r="M993" s="20"/>
      <c r="N993" s="20"/>
      <c r="O993" s="20"/>
      <c r="P993" s="21"/>
      <c r="Q993" s="22"/>
      <c r="R993" s="22"/>
      <c r="S993" s="19"/>
      <c r="T993" s="19"/>
      <c r="U993" s="19"/>
      <c r="V993" s="19"/>
      <c r="W993" s="26"/>
      <c r="X993" s="28"/>
    </row>
    <row r="994">
      <c r="A994" s="15"/>
      <c r="B994" s="16"/>
      <c r="C994" s="15"/>
      <c r="D994" s="15"/>
      <c r="E994" s="15"/>
      <c r="F994" s="3"/>
      <c r="G994" s="18"/>
      <c r="H994" s="3"/>
      <c r="I994" s="19"/>
      <c r="J994" s="19"/>
      <c r="K994" s="3"/>
      <c r="L994" s="3"/>
      <c r="M994" s="20"/>
      <c r="N994" s="20"/>
      <c r="O994" s="20"/>
      <c r="P994" s="21"/>
      <c r="Q994" s="22"/>
      <c r="R994" s="22"/>
      <c r="S994" s="19"/>
      <c r="T994" s="19"/>
      <c r="U994" s="19"/>
      <c r="V994" s="19"/>
      <c r="W994" s="26"/>
      <c r="X994" s="28"/>
    </row>
    <row r="995">
      <c r="A995" s="15"/>
      <c r="B995" s="16"/>
      <c r="C995" s="15"/>
      <c r="D995" s="15"/>
      <c r="E995" s="15"/>
      <c r="F995" s="3"/>
      <c r="G995" s="18"/>
      <c r="H995" s="3"/>
      <c r="I995" s="19"/>
      <c r="J995" s="19"/>
      <c r="K995" s="3"/>
      <c r="L995" s="3"/>
      <c r="M995" s="20"/>
      <c r="N995" s="20"/>
      <c r="O995" s="20"/>
      <c r="P995" s="21"/>
      <c r="Q995" s="22"/>
      <c r="R995" s="22"/>
      <c r="S995" s="19"/>
      <c r="T995" s="19"/>
      <c r="U995" s="19"/>
      <c r="V995" s="19"/>
      <c r="W995" s="26"/>
      <c r="X995" s="28"/>
    </row>
    <row r="996">
      <c r="A996" s="15"/>
      <c r="B996" s="16"/>
      <c r="C996" s="15"/>
      <c r="D996" s="15"/>
      <c r="E996" s="15"/>
      <c r="F996" s="3"/>
      <c r="G996" s="18"/>
      <c r="H996" s="3"/>
      <c r="I996" s="19"/>
      <c r="J996" s="19"/>
      <c r="K996" s="3"/>
      <c r="L996" s="3"/>
      <c r="M996" s="20"/>
      <c r="N996" s="20"/>
      <c r="O996" s="20"/>
      <c r="P996" s="21"/>
      <c r="Q996" s="22"/>
      <c r="R996" s="22"/>
      <c r="S996" s="19"/>
      <c r="T996" s="19"/>
      <c r="U996" s="19"/>
      <c r="V996" s="19"/>
      <c r="W996" s="26"/>
      <c r="X996" s="28"/>
    </row>
    <row r="997">
      <c r="A997" s="15"/>
      <c r="B997" s="16"/>
      <c r="C997" s="15"/>
      <c r="D997" s="15"/>
      <c r="E997" s="15"/>
      <c r="F997" s="3"/>
      <c r="G997" s="18"/>
      <c r="H997" s="3"/>
      <c r="I997" s="19"/>
      <c r="J997" s="19"/>
      <c r="K997" s="3"/>
      <c r="L997" s="3"/>
      <c r="M997" s="20"/>
      <c r="N997" s="20"/>
      <c r="O997" s="20"/>
      <c r="P997" s="21"/>
      <c r="Q997" s="22"/>
      <c r="R997" s="22"/>
      <c r="S997" s="19"/>
      <c r="T997" s="19"/>
      <c r="U997" s="19"/>
      <c r="V997" s="19"/>
      <c r="W997" s="26"/>
      <c r="X997" s="28"/>
    </row>
    <row r="998">
      <c r="A998" s="15"/>
      <c r="B998" s="16"/>
      <c r="C998" s="15"/>
      <c r="D998" s="15"/>
      <c r="E998" s="15"/>
      <c r="F998" s="3"/>
      <c r="G998" s="18"/>
      <c r="H998" s="3"/>
      <c r="I998" s="19"/>
      <c r="J998" s="19"/>
      <c r="K998" s="3"/>
      <c r="L998" s="3"/>
      <c r="M998" s="20"/>
      <c r="N998" s="20"/>
      <c r="O998" s="20"/>
      <c r="P998" s="21"/>
      <c r="Q998" s="22"/>
      <c r="R998" s="22"/>
      <c r="S998" s="19"/>
      <c r="T998" s="19"/>
      <c r="U998" s="19"/>
      <c r="V998" s="19"/>
      <c r="W998" s="26"/>
      <c r="X998" s="28"/>
    </row>
    <row r="999">
      <c r="A999" s="15"/>
      <c r="B999" s="16"/>
      <c r="C999" s="15"/>
      <c r="D999" s="15"/>
      <c r="E999" s="15"/>
      <c r="F999" s="3"/>
      <c r="G999" s="18"/>
      <c r="H999" s="3"/>
      <c r="I999" s="19"/>
      <c r="J999" s="19"/>
      <c r="K999" s="3"/>
      <c r="L999" s="3"/>
      <c r="M999" s="20"/>
      <c r="N999" s="20"/>
      <c r="O999" s="20"/>
      <c r="P999" s="21"/>
      <c r="Q999" s="22"/>
      <c r="R999" s="22"/>
      <c r="S999" s="19"/>
      <c r="T999" s="19"/>
      <c r="U999" s="19"/>
      <c r="V999" s="19"/>
      <c r="W999" s="26"/>
      <c r="X999" s="28"/>
    </row>
    <row r="1000">
      <c r="A1000" s="15"/>
      <c r="B1000" s="16"/>
      <c r="C1000" s="15"/>
      <c r="D1000" s="15"/>
      <c r="E1000" s="15"/>
      <c r="F1000" s="3"/>
      <c r="G1000" s="18"/>
      <c r="H1000" s="3"/>
      <c r="I1000" s="19"/>
      <c r="J1000" s="19"/>
      <c r="K1000" s="3"/>
      <c r="L1000" s="3"/>
      <c r="M1000" s="20"/>
      <c r="N1000" s="20"/>
      <c r="O1000" s="20"/>
      <c r="P1000" s="21"/>
      <c r="Q1000" s="22"/>
      <c r="R1000" s="22"/>
      <c r="S1000" s="19"/>
      <c r="T1000" s="19"/>
      <c r="U1000" s="19"/>
      <c r="V1000" s="19"/>
      <c r="W1000" s="26"/>
      <c r="X1000" s="28"/>
    </row>
    <row r="1001">
      <c r="A1001" s="15"/>
      <c r="B1001" s="16"/>
      <c r="C1001" s="15"/>
      <c r="D1001" s="15"/>
      <c r="E1001" s="15"/>
      <c r="F1001" s="3"/>
      <c r="G1001" s="18"/>
      <c r="H1001" s="3"/>
      <c r="I1001" s="19"/>
      <c r="J1001" s="19"/>
      <c r="K1001" s="3"/>
      <c r="L1001" s="3"/>
      <c r="M1001" s="20"/>
      <c r="N1001" s="20"/>
      <c r="O1001" s="20"/>
      <c r="P1001" s="21"/>
      <c r="Q1001" s="22"/>
      <c r="R1001" s="22"/>
      <c r="S1001" s="19"/>
      <c r="T1001" s="19"/>
      <c r="U1001" s="19"/>
      <c r="V1001" s="19"/>
      <c r="W1001" s="26"/>
      <c r="X1001" s="28"/>
    </row>
    <row r="1002">
      <c r="A1002" s="15"/>
      <c r="B1002" s="16"/>
      <c r="C1002" s="15"/>
      <c r="D1002" s="15"/>
      <c r="E1002" s="15"/>
      <c r="F1002" s="3"/>
      <c r="G1002" s="18"/>
      <c r="H1002" s="3"/>
      <c r="I1002" s="19"/>
      <c r="J1002" s="19"/>
      <c r="K1002" s="3"/>
      <c r="L1002" s="3"/>
      <c r="M1002" s="20"/>
      <c r="N1002" s="20"/>
      <c r="O1002" s="20"/>
      <c r="P1002" s="21"/>
      <c r="Q1002" s="22"/>
      <c r="R1002" s="22"/>
      <c r="S1002" s="19"/>
      <c r="T1002" s="19"/>
      <c r="U1002" s="19"/>
      <c r="V1002" s="19"/>
      <c r="W1002" s="26"/>
      <c r="X1002" s="28"/>
    </row>
    <row r="1003">
      <c r="A1003" s="15"/>
      <c r="B1003" s="16"/>
      <c r="C1003" s="15"/>
      <c r="D1003" s="15"/>
      <c r="E1003" s="15"/>
      <c r="F1003" s="3"/>
      <c r="G1003" s="18"/>
      <c r="H1003" s="3"/>
      <c r="I1003" s="19"/>
      <c r="J1003" s="19"/>
      <c r="K1003" s="3"/>
      <c r="L1003" s="3"/>
      <c r="M1003" s="20"/>
      <c r="N1003" s="20"/>
      <c r="O1003" s="20"/>
      <c r="P1003" s="21"/>
      <c r="Q1003" s="22"/>
      <c r="R1003" s="22"/>
      <c r="S1003" s="19"/>
      <c r="T1003" s="19"/>
      <c r="U1003" s="19"/>
      <c r="V1003" s="19"/>
      <c r="W1003" s="26"/>
      <c r="X1003" s="28"/>
    </row>
    <row r="1004">
      <c r="A1004" s="15"/>
      <c r="B1004" s="16"/>
      <c r="C1004" s="15"/>
      <c r="D1004" s="15"/>
      <c r="E1004" s="15"/>
      <c r="F1004" s="3"/>
      <c r="G1004" s="18"/>
      <c r="H1004" s="3"/>
      <c r="I1004" s="19"/>
      <c r="J1004" s="19"/>
      <c r="K1004" s="3"/>
      <c r="L1004" s="3"/>
      <c r="M1004" s="20"/>
      <c r="N1004" s="20"/>
      <c r="O1004" s="20"/>
      <c r="P1004" s="21"/>
      <c r="Q1004" s="22"/>
      <c r="R1004" s="22"/>
      <c r="S1004" s="19"/>
      <c r="T1004" s="19"/>
      <c r="U1004" s="19"/>
      <c r="V1004" s="19"/>
      <c r="W1004" s="26"/>
      <c r="X1004" s="28"/>
    </row>
    <row r="1005">
      <c r="A1005" s="15"/>
      <c r="B1005" s="16"/>
      <c r="C1005" s="15"/>
      <c r="D1005" s="15"/>
      <c r="E1005" s="15"/>
      <c r="F1005" s="3"/>
      <c r="G1005" s="18"/>
      <c r="H1005" s="3"/>
      <c r="I1005" s="19"/>
      <c r="J1005" s="19"/>
      <c r="K1005" s="3"/>
      <c r="L1005" s="3"/>
      <c r="M1005" s="20"/>
      <c r="N1005" s="20"/>
      <c r="O1005" s="20"/>
      <c r="P1005" s="21"/>
      <c r="Q1005" s="22"/>
      <c r="R1005" s="22"/>
      <c r="S1005" s="19"/>
      <c r="T1005" s="19"/>
      <c r="U1005" s="19"/>
      <c r="V1005" s="19"/>
      <c r="W1005" s="26"/>
      <c r="X1005" s="28"/>
    </row>
    <row r="1006">
      <c r="A1006" s="15"/>
      <c r="B1006" s="16"/>
      <c r="C1006" s="15"/>
      <c r="D1006" s="15"/>
      <c r="E1006" s="15"/>
      <c r="F1006" s="3"/>
      <c r="G1006" s="18"/>
      <c r="H1006" s="3"/>
      <c r="I1006" s="19"/>
      <c r="J1006" s="19"/>
      <c r="K1006" s="3"/>
      <c r="L1006" s="3"/>
      <c r="M1006" s="20"/>
      <c r="N1006" s="20"/>
      <c r="O1006" s="20"/>
      <c r="P1006" s="21"/>
      <c r="Q1006" s="22"/>
      <c r="R1006" s="22"/>
      <c r="S1006" s="19"/>
      <c r="T1006" s="19"/>
      <c r="U1006" s="19"/>
      <c r="V1006" s="19"/>
      <c r="W1006" s="26"/>
      <c r="X1006" s="28"/>
    </row>
    <row r="1007">
      <c r="A1007" s="15"/>
      <c r="B1007" s="16"/>
      <c r="C1007" s="15"/>
      <c r="D1007" s="15"/>
      <c r="E1007" s="15"/>
      <c r="F1007" s="3"/>
      <c r="G1007" s="18"/>
      <c r="H1007" s="3"/>
      <c r="I1007" s="19"/>
      <c r="J1007" s="19"/>
      <c r="K1007" s="3"/>
      <c r="L1007" s="3"/>
      <c r="M1007" s="20"/>
      <c r="N1007" s="20"/>
      <c r="O1007" s="20"/>
      <c r="P1007" s="21"/>
      <c r="Q1007" s="22"/>
      <c r="R1007" s="22"/>
      <c r="S1007" s="19"/>
      <c r="T1007" s="19"/>
      <c r="U1007" s="19"/>
      <c r="V1007" s="19"/>
      <c r="W1007" s="26"/>
      <c r="X1007" s="28"/>
    </row>
    <row r="1008">
      <c r="A1008" s="15"/>
      <c r="B1008" s="16"/>
      <c r="C1008" s="15"/>
      <c r="D1008" s="15"/>
      <c r="E1008" s="15"/>
      <c r="F1008" s="3"/>
      <c r="G1008" s="18"/>
      <c r="H1008" s="3"/>
      <c r="I1008" s="19"/>
      <c r="J1008" s="19"/>
      <c r="K1008" s="3"/>
      <c r="L1008" s="3"/>
      <c r="M1008" s="20"/>
      <c r="N1008" s="20"/>
      <c r="O1008" s="20"/>
      <c r="P1008" s="21"/>
      <c r="Q1008" s="22"/>
      <c r="R1008" s="22"/>
      <c r="S1008" s="19"/>
      <c r="T1008" s="19"/>
      <c r="U1008" s="19"/>
      <c r="V1008" s="19"/>
      <c r="W1008" s="26"/>
      <c r="X1008" s="28"/>
    </row>
    <row r="1009">
      <c r="A1009" s="15"/>
      <c r="B1009" s="16"/>
      <c r="C1009" s="15"/>
      <c r="D1009" s="15"/>
      <c r="E1009" s="15"/>
      <c r="F1009" s="3"/>
      <c r="G1009" s="18"/>
      <c r="H1009" s="3"/>
      <c r="I1009" s="19"/>
      <c r="J1009" s="19"/>
      <c r="K1009" s="3"/>
      <c r="L1009" s="3"/>
      <c r="M1009" s="20"/>
      <c r="N1009" s="20"/>
      <c r="O1009" s="20"/>
      <c r="P1009" s="21"/>
      <c r="Q1009" s="22"/>
      <c r="R1009" s="22"/>
      <c r="S1009" s="19"/>
      <c r="T1009" s="19"/>
      <c r="U1009" s="19"/>
      <c r="V1009" s="19"/>
      <c r="W1009" s="26"/>
      <c r="X1009" s="28"/>
    </row>
  </sheetData>
  <mergeCells count="322">
    <mergeCell ref="W43:W57"/>
    <mergeCell ref="X43:X57"/>
    <mergeCell ref="P43:P57"/>
    <mergeCell ref="Q43:Q57"/>
    <mergeCell ref="R43:R57"/>
    <mergeCell ref="S43:S57"/>
    <mergeCell ref="T43:T57"/>
    <mergeCell ref="U43:U57"/>
    <mergeCell ref="V43:V57"/>
    <mergeCell ref="W15:W22"/>
    <mergeCell ref="X15:X22"/>
    <mergeCell ref="P15:P22"/>
    <mergeCell ref="Q15:Q22"/>
    <mergeCell ref="R15:R22"/>
    <mergeCell ref="S15:S22"/>
    <mergeCell ref="T15:T22"/>
    <mergeCell ref="U15:U22"/>
    <mergeCell ref="V15:V22"/>
    <mergeCell ref="W24:W32"/>
    <mergeCell ref="X24:X32"/>
    <mergeCell ref="P24:P32"/>
    <mergeCell ref="Q24:Q32"/>
    <mergeCell ref="R24:R32"/>
    <mergeCell ref="S24:S32"/>
    <mergeCell ref="T24:T32"/>
    <mergeCell ref="U24:U32"/>
    <mergeCell ref="V24:V32"/>
    <mergeCell ref="W34:W41"/>
    <mergeCell ref="X34:X41"/>
    <mergeCell ref="P34:P41"/>
    <mergeCell ref="Q34:Q41"/>
    <mergeCell ref="R34:R41"/>
    <mergeCell ref="S34:S41"/>
    <mergeCell ref="T34:T41"/>
    <mergeCell ref="U34:U41"/>
    <mergeCell ref="V34:V41"/>
    <mergeCell ref="W90:W95"/>
    <mergeCell ref="X90:X95"/>
    <mergeCell ref="P90:P95"/>
    <mergeCell ref="Q90:Q95"/>
    <mergeCell ref="R90:R95"/>
    <mergeCell ref="S90:S95"/>
    <mergeCell ref="T90:T95"/>
    <mergeCell ref="U90:U95"/>
    <mergeCell ref="V90:V95"/>
    <mergeCell ref="A69:A77"/>
    <mergeCell ref="B69:B77"/>
    <mergeCell ref="C69:C77"/>
    <mergeCell ref="D69:D77"/>
    <mergeCell ref="E69:E77"/>
    <mergeCell ref="I69:I77"/>
    <mergeCell ref="J69:J77"/>
    <mergeCell ref="A79:A84"/>
    <mergeCell ref="B79:B84"/>
    <mergeCell ref="C79:C84"/>
    <mergeCell ref="D79:D84"/>
    <mergeCell ref="E79:E84"/>
    <mergeCell ref="I79:I84"/>
    <mergeCell ref="J79:J84"/>
    <mergeCell ref="A109:A110"/>
    <mergeCell ref="B109:B110"/>
    <mergeCell ref="C109:C110"/>
    <mergeCell ref="D109:D110"/>
    <mergeCell ref="E109:E110"/>
    <mergeCell ref="I109:I110"/>
    <mergeCell ref="J109:J110"/>
    <mergeCell ref="A112:A113"/>
    <mergeCell ref="B112:B113"/>
    <mergeCell ref="C112:C113"/>
    <mergeCell ref="D112:D113"/>
    <mergeCell ref="E112:E113"/>
    <mergeCell ref="I112:I113"/>
    <mergeCell ref="J112:J113"/>
    <mergeCell ref="A115:A122"/>
    <mergeCell ref="B115:B122"/>
    <mergeCell ref="C115:C122"/>
    <mergeCell ref="D115:D122"/>
    <mergeCell ref="E115:E122"/>
    <mergeCell ref="I115:I122"/>
    <mergeCell ref="J115:J122"/>
    <mergeCell ref="A124:A128"/>
    <mergeCell ref="B124:B128"/>
    <mergeCell ref="C124:C128"/>
    <mergeCell ref="D124:D128"/>
    <mergeCell ref="E124:E128"/>
    <mergeCell ref="I124:I128"/>
    <mergeCell ref="J124:J128"/>
    <mergeCell ref="A130:A137"/>
    <mergeCell ref="B130:B137"/>
    <mergeCell ref="C130:C137"/>
    <mergeCell ref="D130:D137"/>
    <mergeCell ref="E130:E137"/>
    <mergeCell ref="I130:I137"/>
    <mergeCell ref="J130:J137"/>
    <mergeCell ref="A139:A145"/>
    <mergeCell ref="B139:B145"/>
    <mergeCell ref="C139:C145"/>
    <mergeCell ref="D139:D145"/>
    <mergeCell ref="E139:E145"/>
    <mergeCell ref="I139:I145"/>
    <mergeCell ref="J139:J145"/>
    <mergeCell ref="I7:I13"/>
    <mergeCell ref="J7:J13"/>
    <mergeCell ref="G5:G6"/>
    <mergeCell ref="H5:H6"/>
    <mergeCell ref="A7:A13"/>
    <mergeCell ref="B7:B13"/>
    <mergeCell ref="C7:C13"/>
    <mergeCell ref="D7:D13"/>
    <mergeCell ref="E7:E13"/>
    <mergeCell ref="A24:A32"/>
    <mergeCell ref="B24:B32"/>
    <mergeCell ref="C24:C32"/>
    <mergeCell ref="D24:D32"/>
    <mergeCell ref="E24:E32"/>
    <mergeCell ref="I24:I32"/>
    <mergeCell ref="J24:J32"/>
    <mergeCell ref="A34:A41"/>
    <mergeCell ref="B34:B41"/>
    <mergeCell ref="C34:C41"/>
    <mergeCell ref="D34:D41"/>
    <mergeCell ref="E34:E41"/>
    <mergeCell ref="I34:I41"/>
    <mergeCell ref="J34:J41"/>
    <mergeCell ref="A43:A57"/>
    <mergeCell ref="B43:B57"/>
    <mergeCell ref="C43:C57"/>
    <mergeCell ref="D43:D57"/>
    <mergeCell ref="E43:E57"/>
    <mergeCell ref="I43:I57"/>
    <mergeCell ref="J43:J57"/>
    <mergeCell ref="A59:A67"/>
    <mergeCell ref="B59:B67"/>
    <mergeCell ref="C59:C67"/>
    <mergeCell ref="D59:D67"/>
    <mergeCell ref="E59:E67"/>
    <mergeCell ref="I59:I67"/>
    <mergeCell ref="J59:J67"/>
    <mergeCell ref="A147:A153"/>
    <mergeCell ref="B147:B153"/>
    <mergeCell ref="C147:C153"/>
    <mergeCell ref="D147:D153"/>
    <mergeCell ref="E147:E153"/>
    <mergeCell ref="I147:I153"/>
    <mergeCell ref="J147:J153"/>
    <mergeCell ref="W112:W113"/>
    <mergeCell ref="X112:X113"/>
    <mergeCell ref="P112:P113"/>
    <mergeCell ref="Q112:Q113"/>
    <mergeCell ref="R112:R113"/>
    <mergeCell ref="S112:S113"/>
    <mergeCell ref="T112:T113"/>
    <mergeCell ref="U112:U113"/>
    <mergeCell ref="V112:V113"/>
    <mergeCell ref="W115:W122"/>
    <mergeCell ref="X115:X122"/>
    <mergeCell ref="P115:P122"/>
    <mergeCell ref="Q115:Q122"/>
    <mergeCell ref="R115:R122"/>
    <mergeCell ref="S115:S122"/>
    <mergeCell ref="T115:T122"/>
    <mergeCell ref="U115:U122"/>
    <mergeCell ref="V115:V122"/>
    <mergeCell ref="W124:W128"/>
    <mergeCell ref="X124:X128"/>
    <mergeCell ref="P124:P128"/>
    <mergeCell ref="Q124:Q128"/>
    <mergeCell ref="R124:R128"/>
    <mergeCell ref="S124:S128"/>
    <mergeCell ref="T124:T128"/>
    <mergeCell ref="U124:U128"/>
    <mergeCell ref="V124:V128"/>
    <mergeCell ref="W130:W137"/>
    <mergeCell ref="X130:X137"/>
    <mergeCell ref="P130:P137"/>
    <mergeCell ref="Q130:Q137"/>
    <mergeCell ref="R130:R137"/>
    <mergeCell ref="S130:S137"/>
    <mergeCell ref="T130:T137"/>
    <mergeCell ref="U130:U137"/>
    <mergeCell ref="V130:V137"/>
    <mergeCell ref="W139:W145"/>
    <mergeCell ref="X139:X145"/>
    <mergeCell ref="P139:P145"/>
    <mergeCell ref="Q139:Q145"/>
    <mergeCell ref="R139:R145"/>
    <mergeCell ref="S139:S145"/>
    <mergeCell ref="T139:T145"/>
    <mergeCell ref="U139:U145"/>
    <mergeCell ref="V139:V145"/>
    <mergeCell ref="W86:W88"/>
    <mergeCell ref="X86:X88"/>
    <mergeCell ref="P86:P88"/>
    <mergeCell ref="Q86:Q88"/>
    <mergeCell ref="R86:R88"/>
    <mergeCell ref="S86:S88"/>
    <mergeCell ref="T86:T88"/>
    <mergeCell ref="U86:U88"/>
    <mergeCell ref="V86:V88"/>
    <mergeCell ref="W97:W104"/>
    <mergeCell ref="X97:X104"/>
    <mergeCell ref="P97:P104"/>
    <mergeCell ref="Q97:Q104"/>
    <mergeCell ref="R97:R104"/>
    <mergeCell ref="S97:S104"/>
    <mergeCell ref="T97:T104"/>
    <mergeCell ref="U97:U104"/>
    <mergeCell ref="V97:V104"/>
    <mergeCell ref="W106:W107"/>
    <mergeCell ref="X106:X107"/>
    <mergeCell ref="P106:P107"/>
    <mergeCell ref="Q106:Q107"/>
    <mergeCell ref="R106:R107"/>
    <mergeCell ref="S106:S107"/>
    <mergeCell ref="T106:T107"/>
    <mergeCell ref="U106:U107"/>
    <mergeCell ref="V106:V107"/>
    <mergeCell ref="W147:W153"/>
    <mergeCell ref="X147:X153"/>
    <mergeCell ref="P147:P153"/>
    <mergeCell ref="Q147:Q153"/>
    <mergeCell ref="R147:R153"/>
    <mergeCell ref="S147:S153"/>
    <mergeCell ref="T147:T153"/>
    <mergeCell ref="U147:U153"/>
    <mergeCell ref="V147:V153"/>
    <mergeCell ref="I5:I6"/>
    <mergeCell ref="J5:J6"/>
    <mergeCell ref="K5:N5"/>
    <mergeCell ref="O5:O6"/>
    <mergeCell ref="T5:T6"/>
    <mergeCell ref="U5:W5"/>
    <mergeCell ref="C1:X2"/>
    <mergeCell ref="S3:T3"/>
    <mergeCell ref="A5:A6"/>
    <mergeCell ref="B5:B6"/>
    <mergeCell ref="C5:D5"/>
    <mergeCell ref="E5:E6"/>
    <mergeCell ref="F5:F6"/>
    <mergeCell ref="X5:X6"/>
    <mergeCell ref="U7:U13"/>
    <mergeCell ref="V7:V13"/>
    <mergeCell ref="W7:W13"/>
    <mergeCell ref="X7:X13"/>
    <mergeCell ref="A15:A22"/>
    <mergeCell ref="B15:B22"/>
    <mergeCell ref="C15:C22"/>
    <mergeCell ref="D15:D22"/>
    <mergeCell ref="E15:E22"/>
    <mergeCell ref="I15:I22"/>
    <mergeCell ref="J15:J22"/>
    <mergeCell ref="P5:P6"/>
    <mergeCell ref="Q5:S5"/>
    <mergeCell ref="P7:P13"/>
    <mergeCell ref="Q7:Q13"/>
    <mergeCell ref="R7:R13"/>
    <mergeCell ref="S7:S13"/>
    <mergeCell ref="T7:T13"/>
    <mergeCell ref="W59:W67"/>
    <mergeCell ref="X59:X67"/>
    <mergeCell ref="P59:P67"/>
    <mergeCell ref="Q59:Q67"/>
    <mergeCell ref="R59:R67"/>
    <mergeCell ref="S59:S67"/>
    <mergeCell ref="T59:T67"/>
    <mergeCell ref="U59:U67"/>
    <mergeCell ref="V59:V67"/>
    <mergeCell ref="W69:W77"/>
    <mergeCell ref="X69:X77"/>
    <mergeCell ref="P69:P77"/>
    <mergeCell ref="Q69:Q77"/>
    <mergeCell ref="R69:R77"/>
    <mergeCell ref="S69:S77"/>
    <mergeCell ref="T69:T77"/>
    <mergeCell ref="U69:U77"/>
    <mergeCell ref="V69:V77"/>
    <mergeCell ref="W79:W84"/>
    <mergeCell ref="X79:X84"/>
    <mergeCell ref="P79:P84"/>
    <mergeCell ref="Q79:Q84"/>
    <mergeCell ref="R79:R84"/>
    <mergeCell ref="S79:S84"/>
    <mergeCell ref="T79:T84"/>
    <mergeCell ref="U79:U84"/>
    <mergeCell ref="V79:V84"/>
    <mergeCell ref="A86:A88"/>
    <mergeCell ref="B86:B88"/>
    <mergeCell ref="C86:C88"/>
    <mergeCell ref="D86:D88"/>
    <mergeCell ref="E86:E88"/>
    <mergeCell ref="I86:I88"/>
    <mergeCell ref="J86:J88"/>
    <mergeCell ref="A90:A95"/>
    <mergeCell ref="B90:B95"/>
    <mergeCell ref="C90:C95"/>
    <mergeCell ref="D90:D95"/>
    <mergeCell ref="E90:E95"/>
    <mergeCell ref="I90:I95"/>
    <mergeCell ref="J90:J95"/>
    <mergeCell ref="A97:A104"/>
    <mergeCell ref="B97:B104"/>
    <mergeCell ref="C97:C104"/>
    <mergeCell ref="D97:D104"/>
    <mergeCell ref="E97:E104"/>
    <mergeCell ref="I97:I104"/>
    <mergeCell ref="J97:J104"/>
    <mergeCell ref="A106:A107"/>
    <mergeCell ref="B106:B107"/>
    <mergeCell ref="C106:C107"/>
    <mergeCell ref="D106:D107"/>
    <mergeCell ref="E106:E107"/>
    <mergeCell ref="I106:I107"/>
    <mergeCell ref="J106:J107"/>
    <mergeCell ref="W109:W110"/>
    <mergeCell ref="X109:X110"/>
    <mergeCell ref="P109:P110"/>
    <mergeCell ref="Q109:Q110"/>
    <mergeCell ref="R109:R110"/>
    <mergeCell ref="S109:S110"/>
    <mergeCell ref="T109:T110"/>
    <mergeCell ref="U109:U110"/>
    <mergeCell ref="V109:V1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0</v>
      </c>
      <c r="D2" s="1" t="s">
        <v>2</v>
      </c>
      <c r="E2" s="1" t="s">
        <v>3</v>
      </c>
    </row>
    <row r="3">
      <c r="A3" s="2" t="s">
        <v>4</v>
      </c>
      <c r="B3" s="4" t="s">
        <v>5</v>
      </c>
      <c r="C3" s="2" t="s">
        <v>6</v>
      </c>
      <c r="D3" s="2">
        <v>1.0</v>
      </c>
      <c r="E3" s="2" t="s">
        <v>7</v>
      </c>
    </row>
    <row r="4">
      <c r="A4" s="2" t="s">
        <v>4</v>
      </c>
      <c r="B4" s="4" t="s">
        <v>8</v>
      </c>
      <c r="C4" s="2" t="s">
        <v>9</v>
      </c>
      <c r="D4" s="2">
        <v>1.0</v>
      </c>
      <c r="E4" s="2" t="s">
        <v>7</v>
      </c>
    </row>
    <row r="5">
      <c r="A5" s="2" t="s">
        <v>4</v>
      </c>
      <c r="B5" s="5" t="s">
        <v>10</v>
      </c>
      <c r="C5" s="6" t="s">
        <v>11</v>
      </c>
      <c r="D5" s="5">
        <v>1.0</v>
      </c>
      <c r="E5" s="2" t="s">
        <v>7</v>
      </c>
    </row>
    <row r="6">
      <c r="A6" s="5" t="s">
        <v>12</v>
      </c>
      <c r="B6" s="4" t="s">
        <v>8</v>
      </c>
      <c r="C6" s="2" t="s">
        <v>9</v>
      </c>
      <c r="D6" s="2">
        <v>1.0</v>
      </c>
      <c r="E6" s="2" t="s">
        <v>7</v>
      </c>
    </row>
    <row r="7">
      <c r="A7" s="5" t="s">
        <v>12</v>
      </c>
      <c r="B7" s="8" t="s">
        <v>15</v>
      </c>
      <c r="C7" s="8" t="s">
        <v>17</v>
      </c>
      <c r="D7" s="2">
        <v>1.0</v>
      </c>
      <c r="E7" s="2" t="s">
        <v>7</v>
      </c>
    </row>
    <row r="8">
      <c r="A8" s="5" t="s">
        <v>12</v>
      </c>
      <c r="B8" s="8" t="s">
        <v>19</v>
      </c>
      <c r="C8" s="8" t="s">
        <v>21</v>
      </c>
      <c r="D8" s="5">
        <v>1.0</v>
      </c>
      <c r="E8" s="2" t="s">
        <v>7</v>
      </c>
    </row>
    <row r="9">
      <c r="A9" s="5" t="s">
        <v>12</v>
      </c>
      <c r="B9" s="5" t="s">
        <v>10</v>
      </c>
      <c r="C9" s="6" t="s">
        <v>11</v>
      </c>
      <c r="D9" s="5">
        <v>1.0</v>
      </c>
      <c r="E9" s="2" t="s">
        <v>7</v>
      </c>
    </row>
    <row r="10">
      <c r="A10" s="5" t="s">
        <v>24</v>
      </c>
      <c r="B10" s="5" t="s">
        <v>25</v>
      </c>
      <c r="C10" s="5" t="s">
        <v>26</v>
      </c>
      <c r="D10" s="5">
        <v>1.0</v>
      </c>
      <c r="E10" s="5" t="s">
        <v>27</v>
      </c>
    </row>
    <row r="11">
      <c r="A11" s="5" t="s">
        <v>24</v>
      </c>
      <c r="B11" s="6" t="s">
        <v>28</v>
      </c>
      <c r="C11" s="6" t="s">
        <v>29</v>
      </c>
      <c r="D11" s="5">
        <v>1.0</v>
      </c>
      <c r="E11" s="5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4.75"/>
    <col customWidth="1" min="5" max="5" width="14.38"/>
    <col customWidth="1" min="7" max="7" width="13.75"/>
    <col customWidth="1" min="9" max="9" width="14.13"/>
  </cols>
  <sheetData>
    <row r="1">
      <c r="A1" s="3"/>
      <c r="B1" s="3"/>
      <c r="C1" s="3"/>
      <c r="D1" s="3"/>
      <c r="E1" s="3"/>
      <c r="F1" s="3"/>
      <c r="G1" s="3"/>
      <c r="H1" s="3"/>
      <c r="I1" s="3"/>
    </row>
    <row r="2">
      <c r="A2" s="7" t="s">
        <v>0</v>
      </c>
      <c r="B2" s="7" t="s">
        <v>13</v>
      </c>
      <c r="C2" s="7" t="s">
        <v>14</v>
      </c>
      <c r="D2" s="9" t="s">
        <v>16</v>
      </c>
      <c r="E2" s="7" t="s">
        <v>18</v>
      </c>
      <c r="F2" s="9" t="s">
        <v>3</v>
      </c>
      <c r="G2" s="7" t="s">
        <v>20</v>
      </c>
      <c r="H2" s="7" t="s">
        <v>22</v>
      </c>
      <c r="I2" s="9" t="s">
        <v>23</v>
      </c>
    </row>
    <row r="3">
      <c r="A3" s="10" t="str">
        <f>IFERROR(__xludf.DUMMYFUNCTION("FILTER({'BPP Dapur'!A7:A1001, 'BPP Dapur'!P7:W1001}, 'BPP Dapur'!A7:A1001&lt;&gt;"""")"),"Saus Asam Manis")</f>
        <v>Saus Asam Manis</v>
      </c>
      <c r="B3" s="12">
        <f>IFERROR(__xludf.DUMMYFUNCTION("""COMPUTED_VALUE"""),15260.17613167534)</f>
        <v>15260.17613</v>
      </c>
      <c r="C3" s="12">
        <f>IFERROR(__xludf.DUMMYFUNCTION("""COMPUTED_VALUE"""),11739.82386832466)</f>
        <v>11739.82387</v>
      </c>
      <c r="D3" s="14">
        <f>IFERROR(__xludf.DUMMYFUNCTION("""COMPUTED_VALUE"""),0.5651917085805681)</f>
        <v>0.5651917086</v>
      </c>
      <c r="E3" s="12">
        <f>IFERROR(__xludf.DUMMYFUNCTION("""COMPUTED_VALUE"""),27000.0)</f>
        <v>27000</v>
      </c>
      <c r="F3" s="17" t="str">
        <f>IFERROR(__xludf.DUMMYFUNCTION("""COMPUTED_VALUE"""),"Kg")</f>
        <v>Kg</v>
      </c>
      <c r="G3" s="12">
        <f>IFERROR(__xludf.DUMMYFUNCTION("""COMPUTED_VALUE"""),27000.0)</f>
        <v>27000</v>
      </c>
      <c r="H3" s="12">
        <f>IFERROR(__xludf.DUMMYFUNCTION("""COMPUTED_VALUE"""),11739.82386832466)</f>
        <v>11739.82387</v>
      </c>
      <c r="I3" s="14">
        <f>IFERROR(__xludf.DUMMYFUNCTION("""COMPUTED_VALUE"""),0.5651917085805681)</f>
        <v>0.5651917086</v>
      </c>
    </row>
    <row r="4">
      <c r="A4" s="10" t="str">
        <f>IFERROR(__xludf.DUMMYFUNCTION("""COMPUTED_VALUE"""),"Saus Lada Hitam ")</f>
        <v>Saus Lada Hitam </v>
      </c>
      <c r="B4" s="12">
        <f>IFERROR(__xludf.DUMMYFUNCTION("""COMPUTED_VALUE"""),30175.36313596491)</f>
        <v>30175.36314</v>
      </c>
      <c r="C4" s="12">
        <f>IFERROR(__xludf.DUMMYFUNCTION("""COMPUTED_VALUE"""),4824.636864035088)</f>
        <v>4824.636864</v>
      </c>
      <c r="D4" s="14">
        <f>IFERROR(__xludf.DUMMYFUNCTION("""COMPUTED_VALUE"""),0.8621532324561403)</f>
        <v>0.8621532325</v>
      </c>
      <c r="E4" s="12">
        <f>IFERROR(__xludf.DUMMYFUNCTION("""COMPUTED_VALUE"""),35000.0)</f>
        <v>35000</v>
      </c>
      <c r="F4" s="17" t="str">
        <f>IFERROR(__xludf.DUMMYFUNCTION("""COMPUTED_VALUE"""),"Kg")</f>
        <v>Kg</v>
      </c>
      <c r="G4" s="12">
        <f>IFERROR(__xludf.DUMMYFUNCTION("""COMPUTED_VALUE"""),35000.0)</f>
        <v>35000</v>
      </c>
      <c r="H4" s="12">
        <f>IFERROR(__xludf.DUMMYFUNCTION("""COMPUTED_VALUE"""),4824.636864035088)</f>
        <v>4824.636864</v>
      </c>
      <c r="I4" s="14">
        <f>IFERROR(__xludf.DUMMYFUNCTION("""COMPUTED_VALUE"""),0.8621532324561403)</f>
        <v>0.8621532325</v>
      </c>
    </row>
    <row r="5">
      <c r="A5" s="10" t="str">
        <f>IFERROR(__xludf.DUMMYFUNCTION("""COMPUTED_VALUE"""),"Saus Hot Sapi")</f>
        <v>Saus Hot Sapi</v>
      </c>
      <c r="B5" s="12">
        <f>IFERROR(__xludf.DUMMYFUNCTION("""COMPUTED_VALUE"""),31777.795854545453)</f>
        <v>31777.79585</v>
      </c>
      <c r="C5" s="12">
        <f>IFERROR(__xludf.DUMMYFUNCTION("""COMPUTED_VALUE"""),6222.204145454547)</f>
        <v>6222.204145</v>
      </c>
      <c r="D5" s="14">
        <f>IFERROR(__xludf.DUMMYFUNCTION("""COMPUTED_VALUE"""),0.836257785645933)</f>
        <v>0.8362577856</v>
      </c>
      <c r="E5" s="12">
        <f>IFERROR(__xludf.DUMMYFUNCTION("""COMPUTED_VALUE"""),38000.0)</f>
        <v>38000</v>
      </c>
      <c r="F5" s="17" t="str">
        <f>IFERROR(__xludf.DUMMYFUNCTION("""COMPUTED_VALUE"""),"Kg")</f>
        <v>Kg</v>
      </c>
      <c r="G5" s="12">
        <f>IFERROR(__xludf.DUMMYFUNCTION("""COMPUTED_VALUE"""),38000.0)</f>
        <v>38000</v>
      </c>
      <c r="H5" s="12">
        <f>IFERROR(__xludf.DUMMYFUNCTION("""COMPUTED_VALUE"""),6222.204145454547)</f>
        <v>6222.204145</v>
      </c>
      <c r="I5" s="14">
        <f>IFERROR(__xludf.DUMMYFUNCTION("""COMPUTED_VALUE"""),0.836257785645933)</f>
        <v>0.8362577856</v>
      </c>
    </row>
    <row r="6">
      <c r="A6" s="34" t="str">
        <f>IFERROR(__xludf.DUMMYFUNCTION("""COMPUTED_VALUE"""),"Saus Hot Ayam")</f>
        <v>Saus Hot Ayam</v>
      </c>
      <c r="B6" s="12">
        <f>IFERROR(__xludf.DUMMYFUNCTION("""COMPUTED_VALUE"""),31108.044041055717)</f>
        <v>31108.04404</v>
      </c>
      <c r="C6" s="12">
        <f>IFERROR(__xludf.DUMMYFUNCTION("""COMPUTED_VALUE"""),6891.955958944283)</f>
        <v>6891.955959</v>
      </c>
      <c r="D6" s="14">
        <f>IFERROR(__xludf.DUMMYFUNCTION("""COMPUTED_VALUE"""),0.8186327379225189)</f>
        <v>0.8186327379</v>
      </c>
      <c r="E6" s="12">
        <f>IFERROR(__xludf.DUMMYFUNCTION("""COMPUTED_VALUE"""),38000.0)</f>
        <v>38000</v>
      </c>
      <c r="F6" s="17" t="str">
        <f>IFERROR(__xludf.DUMMYFUNCTION("""COMPUTED_VALUE"""),"Kg")</f>
        <v>Kg</v>
      </c>
      <c r="G6" s="12">
        <f>IFERROR(__xludf.DUMMYFUNCTION("""COMPUTED_VALUE"""),38000.0)</f>
        <v>38000</v>
      </c>
      <c r="H6" s="44">
        <f>IFERROR(__xludf.DUMMYFUNCTION("""COMPUTED_VALUE"""),6891.955958944283)</f>
        <v>6891.955959</v>
      </c>
      <c r="I6" s="14">
        <f>IFERROR(__xludf.DUMMYFUNCTION("""COMPUTED_VALUE"""),0.8186327379225189)</f>
        <v>0.8186327379</v>
      </c>
    </row>
    <row r="7">
      <c r="A7" s="10" t="str">
        <f>IFERROR(__xludf.DUMMYFUNCTION("""COMPUTED_VALUE"""),"Saus Vietnam")</f>
        <v>Saus Vietnam</v>
      </c>
      <c r="B7" s="12">
        <f>IFERROR(__xludf.DUMMYFUNCTION("""COMPUTED_VALUE"""),21028.974735764237)</f>
        <v>21028.97474</v>
      </c>
      <c r="C7" s="12">
        <f>IFERROR(__xludf.DUMMYFUNCTION("""COMPUTED_VALUE"""),9971.025264235763)</f>
        <v>9971.025264</v>
      </c>
      <c r="D7" s="14">
        <f>IFERROR(__xludf.DUMMYFUNCTION("""COMPUTED_VALUE"""),0.6783540237343302)</f>
        <v>0.6783540237</v>
      </c>
      <c r="E7" s="12">
        <f>IFERROR(__xludf.DUMMYFUNCTION("""COMPUTED_VALUE"""),31000.0)</f>
        <v>31000</v>
      </c>
      <c r="F7" s="17" t="str">
        <f>IFERROR(__xludf.DUMMYFUNCTION("""COMPUTED_VALUE"""),"Kg")</f>
        <v>Kg</v>
      </c>
      <c r="G7" s="12">
        <f>IFERROR(__xludf.DUMMYFUNCTION("""COMPUTED_VALUE"""),31000.0)</f>
        <v>31000</v>
      </c>
      <c r="H7" s="12">
        <f>IFERROR(__xludf.DUMMYFUNCTION("""COMPUTED_VALUE"""),9971.025264235763)</f>
        <v>9971.025264</v>
      </c>
      <c r="I7" s="14">
        <f>IFERROR(__xludf.DUMMYFUNCTION("""COMPUTED_VALUE"""),0.6783540237343302)</f>
        <v>0.6783540237</v>
      </c>
    </row>
    <row r="8">
      <c r="A8" s="10" t="str">
        <f>IFERROR(__xludf.DUMMYFUNCTION("""COMPUTED_VALUE"""),"Saus Madu")</f>
        <v>Saus Madu</v>
      </c>
      <c r="B8" s="12">
        <f>IFERROR(__xludf.DUMMYFUNCTION("""COMPUTED_VALUE"""),25780.903376942355)</f>
        <v>25780.90338</v>
      </c>
      <c r="C8" s="12">
        <f>IFERROR(__xludf.DUMMYFUNCTION("""COMPUTED_VALUE"""),12219.096623057645)</f>
        <v>12219.09662</v>
      </c>
      <c r="D8" s="14">
        <f>IFERROR(__xludf.DUMMYFUNCTION("""COMPUTED_VALUE"""),0.6784448257090093)</f>
        <v>0.6784448257</v>
      </c>
      <c r="E8" s="12">
        <f>IFERROR(__xludf.DUMMYFUNCTION("""COMPUTED_VALUE"""),38000.0)</f>
        <v>38000</v>
      </c>
      <c r="F8" s="17" t="str">
        <f>IFERROR(__xludf.DUMMYFUNCTION("""COMPUTED_VALUE"""),"Kg")</f>
        <v>Kg</v>
      </c>
      <c r="G8" s="12">
        <f>IFERROR(__xludf.DUMMYFUNCTION("""COMPUTED_VALUE"""),38000.0)</f>
        <v>38000</v>
      </c>
      <c r="H8" s="12">
        <f>IFERROR(__xludf.DUMMYFUNCTION("""COMPUTED_VALUE"""),12219.096623057645)</f>
        <v>12219.09662</v>
      </c>
      <c r="I8" s="14">
        <f>IFERROR(__xludf.DUMMYFUNCTION("""COMPUTED_VALUE"""),0.6784448257090093)</f>
        <v>0.6784448257</v>
      </c>
    </row>
    <row r="9">
      <c r="A9" s="34" t="str">
        <f>IFERROR(__xludf.DUMMYFUNCTION("""COMPUTED_VALUE"""),"Sambel Jawa")</f>
        <v>Sambel Jawa</v>
      </c>
      <c r="B9" s="12">
        <f>IFERROR(__xludf.DUMMYFUNCTION("""COMPUTED_VALUE"""),39194.75263400926)</f>
        <v>39194.75263</v>
      </c>
      <c r="C9" s="44">
        <f>IFERROR(__xludf.DUMMYFUNCTION("""COMPUTED_VALUE"""),5805.247365990741)</f>
        <v>5805.247366</v>
      </c>
      <c r="D9" s="14">
        <f>IFERROR(__xludf.DUMMYFUNCTION("""COMPUTED_VALUE"""),0.8709945029779835)</f>
        <v>0.870994503</v>
      </c>
      <c r="E9" s="12">
        <f>IFERROR(__xludf.DUMMYFUNCTION("""COMPUTED_VALUE"""),45000.0)</f>
        <v>45000</v>
      </c>
      <c r="F9" s="17" t="str">
        <f>IFERROR(__xludf.DUMMYFUNCTION("""COMPUTED_VALUE"""),"Kg")</f>
        <v>Kg</v>
      </c>
      <c r="G9" s="12">
        <f>IFERROR(__xludf.DUMMYFUNCTION("""COMPUTED_VALUE"""),45000.0)</f>
        <v>45000</v>
      </c>
      <c r="H9" s="44">
        <f>IFERROR(__xludf.DUMMYFUNCTION("""COMPUTED_VALUE"""),5805.247365990741)</f>
        <v>5805.247366</v>
      </c>
      <c r="I9" s="14">
        <f>IFERROR(__xludf.DUMMYFUNCTION("""COMPUTED_VALUE"""),0.8709945029779835)</f>
        <v>0.870994503</v>
      </c>
    </row>
    <row r="10">
      <c r="A10" s="34" t="str">
        <f>IFERROR(__xludf.DUMMYFUNCTION("""COMPUTED_VALUE"""),"Saus Teriyaki")</f>
        <v>Saus Teriyaki</v>
      </c>
      <c r="B10" s="12">
        <f>IFERROR(__xludf.DUMMYFUNCTION("""COMPUTED_VALUE"""),25564.604393659592)</f>
        <v>25564.60439</v>
      </c>
      <c r="C10" s="12">
        <f>IFERROR(__xludf.DUMMYFUNCTION("""COMPUTED_VALUE"""),10435.395606340408)</f>
        <v>10435.39561</v>
      </c>
      <c r="D10" s="14">
        <f>IFERROR(__xludf.DUMMYFUNCTION("""COMPUTED_VALUE"""),0.7101278998238776)</f>
        <v>0.7101278998</v>
      </c>
      <c r="E10" s="12">
        <f>IFERROR(__xludf.DUMMYFUNCTION("""COMPUTED_VALUE"""),36000.0)</f>
        <v>36000</v>
      </c>
      <c r="F10" s="17" t="str">
        <f>IFERROR(__xludf.DUMMYFUNCTION("""COMPUTED_VALUE"""),"Kg")</f>
        <v>Kg</v>
      </c>
      <c r="G10" s="12">
        <f>IFERROR(__xludf.DUMMYFUNCTION("""COMPUTED_VALUE"""),36000.0)</f>
        <v>36000</v>
      </c>
      <c r="H10" s="44">
        <f>IFERROR(__xludf.DUMMYFUNCTION("""COMPUTED_VALUE"""),10435.395606340408)</f>
        <v>10435.39561</v>
      </c>
      <c r="I10" s="14">
        <f>IFERROR(__xludf.DUMMYFUNCTION("""COMPUTED_VALUE"""),0.7101278998238776)</f>
        <v>0.7101278998</v>
      </c>
    </row>
    <row r="11">
      <c r="A11" s="34" t="str">
        <f>IFERROR(__xludf.DUMMYFUNCTION("""COMPUTED_VALUE"""),"Kacang Teriyaki")</f>
        <v>Kacang Teriyaki</v>
      </c>
      <c r="B11" s="12">
        <f>IFERROR(__xludf.DUMMYFUNCTION("""COMPUTED_VALUE"""),0.0)</f>
        <v>0</v>
      </c>
      <c r="C11" s="44">
        <f>IFERROR(__xludf.DUMMYFUNCTION("""COMPUTED_VALUE"""),42706.8)</f>
        <v>42706.8</v>
      </c>
      <c r="D11" s="14">
        <f>IFERROR(__xludf.DUMMYFUNCTION("""COMPUTED_VALUE"""),0.0)</f>
        <v>0</v>
      </c>
      <c r="E11" s="71">
        <f>IFERROR(__xludf.DUMMYFUNCTION("""COMPUTED_VALUE"""),42706.8)</f>
        <v>42706.8</v>
      </c>
      <c r="F11" s="10" t="str">
        <f>IFERROR(__xludf.DUMMYFUNCTION("""COMPUTED_VALUE"""),"Kg")</f>
        <v>Kg</v>
      </c>
      <c r="G11" s="12">
        <f>IFERROR(__xludf.DUMMYFUNCTION("""COMPUTED_VALUE"""),42706.8)</f>
        <v>42706.8</v>
      </c>
      <c r="H11" s="44">
        <f>IFERROR(__xludf.DUMMYFUNCTION("""COMPUTED_VALUE"""),42706.8)</f>
        <v>42706.8</v>
      </c>
      <c r="I11" s="14">
        <f>IFERROR(__xludf.DUMMYFUNCTION("""COMPUTED_VALUE"""),0.0)</f>
        <v>0</v>
      </c>
    </row>
    <row r="12">
      <c r="A12" s="34" t="str">
        <f>IFERROR(__xludf.DUMMYFUNCTION("""COMPUTED_VALUE"""),"Ayam Fillet Kecil @50gr")</f>
        <v>Ayam Fillet Kecil @50gr</v>
      </c>
      <c r="B12" s="12">
        <f>IFERROR(__xludf.DUMMYFUNCTION("""COMPUTED_VALUE"""),57304.11611111112)</f>
        <v>57304.11611</v>
      </c>
      <c r="C12" s="12">
        <f>IFERROR(__xludf.DUMMYFUNCTION("""COMPUTED_VALUE"""),5695.883888888879)</f>
        <v>5695.883889</v>
      </c>
      <c r="D12" s="14">
        <f>IFERROR(__xludf.DUMMYFUNCTION("""COMPUTED_VALUE"""),0.9095891446208114)</f>
        <v>0.9095891446</v>
      </c>
      <c r="E12" s="12">
        <f>IFERROR(__xludf.DUMMYFUNCTION("""COMPUTED_VALUE"""),63000.0)</f>
        <v>63000</v>
      </c>
      <c r="F12" s="17" t="str">
        <f>IFERROR(__xludf.DUMMYFUNCTION("""COMPUTED_VALUE"""),"Kg")</f>
        <v>Kg</v>
      </c>
      <c r="G12" s="12">
        <f>IFERROR(__xludf.DUMMYFUNCTION("""COMPUTED_VALUE"""),63000.0)</f>
        <v>63000</v>
      </c>
      <c r="H12" s="44">
        <f>IFERROR(__xludf.DUMMYFUNCTION("""COMPUTED_VALUE"""),5695.883888888879)</f>
        <v>5695.883889</v>
      </c>
      <c r="I12" s="14">
        <f>IFERROR(__xludf.DUMMYFUNCTION("""COMPUTED_VALUE"""),0.9095891446208114)</f>
        <v>0.9095891446</v>
      </c>
    </row>
    <row r="13">
      <c r="A13" s="10" t="str">
        <f>IFERROR(__xludf.DUMMYFUNCTION("""COMPUTED_VALUE"""),"Ayam Rice Bowl @500gr")</f>
        <v>Ayam Rice Bowl @500gr</v>
      </c>
      <c r="B13" s="12">
        <f>IFERROR(__xludf.DUMMYFUNCTION("""COMPUTED_VALUE"""),47526.09426881721)</f>
        <v>47526.09427</v>
      </c>
      <c r="C13" s="12">
        <f>IFERROR(__xludf.DUMMYFUNCTION("""COMPUTED_VALUE"""),19473.905731182793)</f>
        <v>19473.90573</v>
      </c>
      <c r="D13" s="14">
        <f>IFERROR(__xludf.DUMMYFUNCTION("""COMPUTED_VALUE"""),0.7093446905793613)</f>
        <v>0.7093446906</v>
      </c>
      <c r="E13" s="12">
        <f>IFERROR(__xludf.DUMMYFUNCTION("""COMPUTED_VALUE"""),67000.0)</f>
        <v>67000</v>
      </c>
      <c r="F13" s="17" t="str">
        <f>IFERROR(__xludf.DUMMYFUNCTION("""COMPUTED_VALUE"""),"Kg")</f>
        <v>Kg</v>
      </c>
      <c r="G13" s="12">
        <f>IFERROR(__xludf.DUMMYFUNCTION("""COMPUTED_VALUE"""),67000.0)</f>
        <v>67000</v>
      </c>
      <c r="H13" s="12">
        <f>IFERROR(__xludf.DUMMYFUNCTION("""COMPUTED_VALUE"""),19473.905731182793)</f>
        <v>19473.90573</v>
      </c>
      <c r="I13" s="14">
        <f>IFERROR(__xludf.DUMMYFUNCTION("""COMPUTED_VALUE"""),0.7093446905793613)</f>
        <v>0.7093446906</v>
      </c>
    </row>
    <row r="14">
      <c r="A14" s="10" t="str">
        <f>IFERROR(__xludf.DUMMYFUNCTION("""COMPUTED_VALUE"""),"Gula Mix (Es campur)")</f>
        <v>Gula Mix (Es campur)</v>
      </c>
      <c r="B14" s="12">
        <f>IFERROR(__xludf.DUMMYFUNCTION("""COMPUTED_VALUE"""),21502.96875)</f>
        <v>21502.96875</v>
      </c>
      <c r="C14" s="12">
        <f>IFERROR(__xludf.DUMMYFUNCTION("""COMPUTED_VALUE"""),3497.03125)</f>
        <v>3497.03125</v>
      </c>
      <c r="D14" s="14">
        <f>IFERROR(__xludf.DUMMYFUNCTION("""COMPUTED_VALUE"""),0.86011875)</f>
        <v>0.86011875</v>
      </c>
      <c r="E14" s="12">
        <f>IFERROR(__xludf.DUMMYFUNCTION("""COMPUTED_VALUE"""),25000.0)</f>
        <v>25000</v>
      </c>
      <c r="F14" s="17" t="str">
        <f>IFERROR(__xludf.DUMMYFUNCTION("""COMPUTED_VALUE"""),"Ltr")</f>
        <v>Ltr</v>
      </c>
      <c r="G14" s="12">
        <f>IFERROR(__xludf.DUMMYFUNCTION("""COMPUTED_VALUE"""),25000.0)</f>
        <v>25000</v>
      </c>
      <c r="H14" s="12">
        <f>IFERROR(__xludf.DUMMYFUNCTION("""COMPUTED_VALUE"""),3497.03125)</f>
        <v>3497.03125</v>
      </c>
      <c r="I14" s="14">
        <f>IFERROR(__xludf.DUMMYFUNCTION("""COMPUTED_VALUE"""),0.86011875)</f>
        <v>0.86011875</v>
      </c>
    </row>
    <row r="15">
      <c r="A15" s="34" t="str">
        <f>IFERROR(__xludf.DUMMYFUNCTION("""COMPUTED_VALUE"""),"Kacang Merah (Matang)")</f>
        <v>Kacang Merah (Matang)</v>
      </c>
      <c r="B15" s="12">
        <f>IFERROR(__xludf.DUMMYFUNCTION("""COMPUTED_VALUE"""),20403.0)</f>
        <v>20403</v>
      </c>
      <c r="C15" s="44">
        <f>IFERROR(__xludf.DUMMYFUNCTION("""COMPUTED_VALUE"""),4597.0)</f>
        <v>4597</v>
      </c>
      <c r="D15" s="14">
        <f>IFERROR(__xludf.DUMMYFUNCTION("""COMPUTED_VALUE"""),0.81612)</f>
        <v>0.81612</v>
      </c>
      <c r="E15" s="12">
        <f>IFERROR(__xludf.DUMMYFUNCTION("""COMPUTED_VALUE"""),25000.0)</f>
        <v>25000</v>
      </c>
      <c r="F15" s="17" t="str">
        <f>IFERROR(__xludf.DUMMYFUNCTION("""COMPUTED_VALUE"""),"Kg")</f>
        <v>Kg</v>
      </c>
      <c r="G15" s="12">
        <f>IFERROR(__xludf.DUMMYFUNCTION("""COMPUTED_VALUE"""),25000.0)</f>
        <v>25000</v>
      </c>
      <c r="H15" s="44">
        <f>IFERROR(__xludf.DUMMYFUNCTION("""COMPUTED_VALUE"""),4597.0)</f>
        <v>4597</v>
      </c>
      <c r="I15" s="14">
        <f>IFERROR(__xludf.DUMMYFUNCTION("""COMPUTED_VALUE"""),0.81612)</f>
        <v>0.81612</v>
      </c>
    </row>
    <row r="16">
      <c r="A16" s="10" t="str">
        <f>IFERROR(__xludf.DUMMYFUNCTION("""COMPUTED_VALUE"""),"Kacang Hijau (Matang)")</f>
        <v>Kacang Hijau (Matang)</v>
      </c>
      <c r="B16" s="12">
        <f>IFERROR(__xludf.DUMMYFUNCTION("""COMPUTED_VALUE"""),12489.066666666666)</f>
        <v>12489.06667</v>
      </c>
      <c r="C16" s="12">
        <f>IFERROR(__xludf.DUMMYFUNCTION("""COMPUTED_VALUE"""),5510.933333333334)</f>
        <v>5510.933333</v>
      </c>
      <c r="D16" s="14">
        <f>IFERROR(__xludf.DUMMYFUNCTION("""COMPUTED_VALUE"""),0.693837037037037)</f>
        <v>0.693837037</v>
      </c>
      <c r="E16" s="12">
        <f>IFERROR(__xludf.DUMMYFUNCTION("""COMPUTED_VALUE"""),18000.0)</f>
        <v>18000</v>
      </c>
      <c r="F16" s="17" t="str">
        <f>IFERROR(__xludf.DUMMYFUNCTION("""COMPUTED_VALUE"""),"Kg")</f>
        <v>Kg</v>
      </c>
      <c r="G16" s="12">
        <f>IFERROR(__xludf.DUMMYFUNCTION("""COMPUTED_VALUE"""),18000.0)</f>
        <v>18000</v>
      </c>
      <c r="H16" s="12">
        <f>IFERROR(__xludf.DUMMYFUNCTION("""COMPUTED_VALUE"""),5510.933333333334)</f>
        <v>5510.933333</v>
      </c>
      <c r="I16" s="14">
        <f>IFERROR(__xludf.DUMMYFUNCTION("""COMPUTED_VALUE"""),0.693837037037037)</f>
        <v>0.693837037</v>
      </c>
    </row>
    <row r="17">
      <c r="A17" s="10" t="str">
        <f>IFERROR(__xludf.DUMMYFUNCTION("""COMPUTED_VALUE"""),"Toping Ayam Jamur @500gr")</f>
        <v>Toping Ayam Jamur @500gr</v>
      </c>
      <c r="B17" s="12">
        <f>IFERROR(__xludf.DUMMYFUNCTION("""COMPUTED_VALUE"""),26950.27335193512)</f>
        <v>26950.27335</v>
      </c>
      <c r="C17" s="12">
        <f>IFERROR(__xludf.DUMMYFUNCTION("""COMPUTED_VALUE"""),14549.72664806488)</f>
        <v>14549.72665</v>
      </c>
      <c r="D17" s="14">
        <f>IFERROR(__xludf.DUMMYFUNCTION("""COMPUTED_VALUE"""),0.6494041771550632)</f>
        <v>0.6494041772</v>
      </c>
      <c r="E17" s="12">
        <f>IFERROR(__xludf.DUMMYFUNCTION("""COMPUTED_VALUE"""),41500.0)</f>
        <v>41500</v>
      </c>
      <c r="F17" s="17" t="str">
        <f>IFERROR(__xludf.DUMMYFUNCTION("""COMPUTED_VALUE"""),"500gr")</f>
        <v>500gr</v>
      </c>
      <c r="G17" s="12">
        <f>IFERROR(__xludf.DUMMYFUNCTION("""COMPUTED_VALUE"""),41500.0)</f>
        <v>41500</v>
      </c>
      <c r="H17" s="12">
        <f>IFERROR(__xludf.DUMMYFUNCTION("""COMPUTED_VALUE"""),14549.72664806488)</f>
        <v>14549.72665</v>
      </c>
      <c r="I17" s="14">
        <f>IFERROR(__xludf.DUMMYFUNCTION("""COMPUTED_VALUE"""),0.6494041771550632)</f>
        <v>0.6494041772</v>
      </c>
    </row>
    <row r="18">
      <c r="A18" s="10" t="str">
        <f>IFERROR(__xludf.DUMMYFUNCTION("""COMPUTED_VALUE"""),"Toping Ayam Kecap @500gr")</f>
        <v>Toping Ayam Kecap @500gr</v>
      </c>
      <c r="B18" s="12">
        <f>IFERROR(__xludf.DUMMYFUNCTION("""COMPUTED_VALUE"""),28520.76140151515)</f>
        <v>28520.7614</v>
      </c>
      <c r="C18" s="12">
        <f>IFERROR(__xludf.DUMMYFUNCTION("""COMPUTED_VALUE"""),12979.238598484852)</f>
        <v>12979.2386</v>
      </c>
      <c r="D18" s="14">
        <f>IFERROR(__xludf.DUMMYFUNCTION("""COMPUTED_VALUE"""),0.687247262687112)</f>
        <v>0.6872472627</v>
      </c>
      <c r="E18" s="12">
        <f>IFERROR(__xludf.DUMMYFUNCTION("""COMPUTED_VALUE"""),41500.0)</f>
        <v>41500</v>
      </c>
      <c r="F18" s="17" t="str">
        <f>IFERROR(__xludf.DUMMYFUNCTION("""COMPUTED_VALUE"""),"500gr")</f>
        <v>500gr</v>
      </c>
      <c r="G18" s="12">
        <f>IFERROR(__xludf.DUMMYFUNCTION("""COMPUTED_VALUE"""),41500.0)</f>
        <v>41500</v>
      </c>
      <c r="H18" s="12">
        <f>IFERROR(__xludf.DUMMYFUNCTION("""COMPUTED_VALUE"""),12979.238598484852)</f>
        <v>12979.2386</v>
      </c>
      <c r="I18" s="14">
        <f>IFERROR(__xludf.DUMMYFUNCTION("""COMPUTED_VALUE"""),0.687247262687112)</f>
        <v>0.6872472627</v>
      </c>
    </row>
    <row r="19">
      <c r="A19" s="34" t="str">
        <f>IFERROR(__xludf.DUMMYFUNCTION("""COMPUTED_VALUE"""),"Toping Ayam Pedas @500gr")</f>
        <v>Toping Ayam Pedas @500gr</v>
      </c>
      <c r="B19" s="12">
        <f>IFERROR(__xludf.DUMMYFUNCTION("""COMPUTED_VALUE"""),23286.61611785095)</f>
        <v>23286.61612</v>
      </c>
      <c r="C19" s="44">
        <f>IFERROR(__xludf.DUMMYFUNCTION("""COMPUTED_VALUE"""),11713.38388214905)</f>
        <v>11713.38388</v>
      </c>
      <c r="D19" s="14">
        <f>IFERROR(__xludf.DUMMYFUNCTION("""COMPUTED_VALUE"""),0.6653318890814557)</f>
        <v>0.6653318891</v>
      </c>
      <c r="E19" s="12">
        <f>IFERROR(__xludf.DUMMYFUNCTION("""COMPUTED_VALUE"""),35000.0)</f>
        <v>35000</v>
      </c>
      <c r="F19" s="17" t="str">
        <f>IFERROR(__xludf.DUMMYFUNCTION("""COMPUTED_VALUE"""),"500gr")</f>
        <v>500gr</v>
      </c>
      <c r="G19" s="12">
        <f>IFERROR(__xludf.DUMMYFUNCTION("""COMPUTED_VALUE"""),35000.0)</f>
        <v>35000</v>
      </c>
      <c r="H19" s="44">
        <f>IFERROR(__xludf.DUMMYFUNCTION("""COMPUTED_VALUE"""),11713.38388214905)</f>
        <v>11713.38388</v>
      </c>
      <c r="I19" s="14">
        <f>IFERROR(__xludf.DUMMYFUNCTION("""COMPUTED_VALUE"""),0.6653318890814557)</f>
        <v>0.6653318891</v>
      </c>
    </row>
    <row r="20">
      <c r="A20" s="10" t="str">
        <f>IFERROR(__xludf.DUMMYFUNCTION("""COMPUTED_VALUE"""),"Kuah Mie")</f>
        <v>Kuah Mie</v>
      </c>
      <c r="B20" s="12">
        <f>IFERROR(__xludf.DUMMYFUNCTION("""COMPUTED_VALUE"""),9954.01)</f>
        <v>9954.01</v>
      </c>
      <c r="C20" s="12">
        <f>IFERROR(__xludf.DUMMYFUNCTION("""COMPUTED_VALUE"""),12045.99)</f>
        <v>12045.99</v>
      </c>
      <c r="D20" s="14">
        <f>IFERROR(__xludf.DUMMYFUNCTION("""COMPUTED_VALUE"""),0.452455)</f>
        <v>0.452455</v>
      </c>
      <c r="E20" s="12">
        <f>IFERROR(__xludf.DUMMYFUNCTION("""COMPUTED_VALUE"""),22000.0)</f>
        <v>22000</v>
      </c>
      <c r="F20" s="17" t="str">
        <f>IFERROR(__xludf.DUMMYFUNCTION("""COMPUTED_VALUE"""),"Ltr")</f>
        <v>Ltr</v>
      </c>
      <c r="G20" s="12">
        <f>IFERROR(__xludf.DUMMYFUNCTION("""COMPUTED_VALUE"""),22000.0)</f>
        <v>22000</v>
      </c>
      <c r="H20" s="12">
        <f>IFERROR(__xludf.DUMMYFUNCTION("""COMPUTED_VALUE"""),12045.99)</f>
        <v>12045.99</v>
      </c>
      <c r="I20" s="14">
        <f>IFERROR(__xludf.DUMMYFUNCTION("""COMPUTED_VALUE"""),0.452455)</f>
        <v>0.452455</v>
      </c>
    </row>
    <row r="21">
      <c r="A21" s="10" t="str">
        <f>IFERROR(__xludf.DUMMYFUNCTION("""COMPUTED_VALUE"""),"Mie Basah")</f>
        <v>Mie Basah</v>
      </c>
      <c r="B21" s="12">
        <f>IFERROR(__xludf.DUMMYFUNCTION("""COMPUTED_VALUE"""),1224.7295454545454)</f>
        <v>1224.729545</v>
      </c>
      <c r="C21" s="12">
        <f>IFERROR(__xludf.DUMMYFUNCTION("""COMPUTED_VALUE"""),1775.2704545454546)</f>
        <v>1775.270455</v>
      </c>
      <c r="D21" s="14">
        <f>IFERROR(__xludf.DUMMYFUNCTION("""COMPUTED_VALUE"""),0.4082431818181818)</f>
        <v>0.4082431818</v>
      </c>
      <c r="E21" s="12">
        <f>IFERROR(__xludf.DUMMYFUNCTION("""COMPUTED_VALUE"""),3000.0)</f>
        <v>3000</v>
      </c>
      <c r="F21" s="17" t="str">
        <f>IFERROR(__xludf.DUMMYFUNCTION("""COMPUTED_VALUE"""),"Porsi")</f>
        <v>Porsi</v>
      </c>
      <c r="G21" s="12">
        <f>IFERROR(__xludf.DUMMYFUNCTION("""COMPUTED_VALUE"""),3000.0)</f>
        <v>3000</v>
      </c>
      <c r="H21" s="12">
        <f>IFERROR(__xludf.DUMMYFUNCTION("""COMPUTED_VALUE"""),1775.2704545454546)</f>
        <v>1775.270455</v>
      </c>
      <c r="I21" s="14">
        <f>IFERROR(__xludf.DUMMYFUNCTION("""COMPUTED_VALUE"""),0.4082431818181818)</f>
        <v>0.4082431818</v>
      </c>
    </row>
    <row r="22">
      <c r="A22" s="3"/>
      <c r="B22" s="88"/>
      <c r="C22" s="88"/>
      <c r="D22" s="89"/>
      <c r="E22" s="88"/>
      <c r="F22" s="3"/>
      <c r="G22" s="88"/>
      <c r="H22" s="88"/>
      <c r="I22" s="89"/>
    </row>
    <row r="23">
      <c r="A23" s="3"/>
      <c r="B23" s="88"/>
      <c r="C23" s="88"/>
      <c r="D23" s="89"/>
      <c r="E23" s="88"/>
      <c r="F23" s="3"/>
      <c r="G23" s="88"/>
      <c r="H23" s="88"/>
      <c r="I23" s="89"/>
    </row>
    <row r="24">
      <c r="A24" s="3"/>
      <c r="B24" s="88"/>
      <c r="C24" s="88"/>
      <c r="D24" s="89"/>
      <c r="E24" s="88"/>
      <c r="F24" s="3"/>
      <c r="G24" s="88"/>
      <c r="H24" s="88"/>
      <c r="I24" s="89"/>
    </row>
    <row r="25">
      <c r="A25" s="3"/>
      <c r="B25" s="88"/>
      <c r="C25" s="88"/>
      <c r="D25" s="89"/>
      <c r="E25" s="88"/>
      <c r="F25" s="3"/>
      <c r="G25" s="88"/>
      <c r="H25" s="88"/>
      <c r="I25" s="89"/>
    </row>
    <row r="26">
      <c r="A26" s="3"/>
      <c r="B26" s="88"/>
      <c r="C26" s="88"/>
      <c r="D26" s="89"/>
      <c r="E26" s="88"/>
      <c r="F26" s="3"/>
      <c r="G26" s="88"/>
      <c r="H26" s="88"/>
      <c r="I26" s="89"/>
    </row>
    <row r="27">
      <c r="A27" s="3"/>
      <c r="B27" s="88"/>
      <c r="C27" s="88"/>
      <c r="D27" s="89"/>
      <c r="E27" s="88"/>
      <c r="F27" s="3"/>
      <c r="G27" s="88"/>
      <c r="H27" s="88"/>
      <c r="I27" s="89"/>
    </row>
    <row r="28">
      <c r="A28" s="3"/>
      <c r="B28" s="88"/>
      <c r="C28" s="88"/>
      <c r="D28" s="89"/>
      <c r="E28" s="88"/>
      <c r="F28" s="3"/>
      <c r="G28" s="88"/>
      <c r="H28" s="88"/>
      <c r="I28" s="89"/>
    </row>
    <row r="29">
      <c r="A29" s="3"/>
      <c r="B29" s="88"/>
      <c r="C29" s="88"/>
      <c r="D29" s="89"/>
      <c r="E29" s="88"/>
      <c r="F29" s="3"/>
      <c r="G29" s="88"/>
      <c r="H29" s="88"/>
      <c r="I29" s="89"/>
    </row>
    <row r="30">
      <c r="A30" s="3"/>
      <c r="B30" s="88"/>
      <c r="C30" s="88"/>
      <c r="D30" s="89"/>
      <c r="E30" s="88"/>
      <c r="F30" s="3"/>
      <c r="G30" s="88"/>
      <c r="H30" s="88"/>
      <c r="I30" s="89"/>
    </row>
    <row r="31">
      <c r="A31" s="3"/>
      <c r="B31" s="88"/>
      <c r="C31" s="88"/>
      <c r="D31" s="89"/>
      <c r="E31" s="88"/>
      <c r="F31" s="3"/>
      <c r="G31" s="88"/>
      <c r="H31" s="88"/>
      <c r="I31" s="89"/>
    </row>
    <row r="32">
      <c r="A32" s="3"/>
      <c r="B32" s="88"/>
      <c r="C32" s="88"/>
      <c r="D32" s="89"/>
      <c r="E32" s="88"/>
      <c r="F32" s="3"/>
      <c r="G32" s="88"/>
      <c r="H32" s="88"/>
      <c r="I32" s="89"/>
    </row>
    <row r="33">
      <c r="A33" s="3"/>
      <c r="B33" s="88"/>
      <c r="C33" s="88"/>
      <c r="D33" s="89"/>
      <c r="E33" s="88"/>
      <c r="F33" s="3"/>
      <c r="G33" s="88"/>
      <c r="H33" s="88"/>
      <c r="I33" s="89"/>
    </row>
    <row r="34">
      <c r="A34" s="3"/>
      <c r="B34" s="88"/>
      <c r="C34" s="88"/>
      <c r="D34" s="89"/>
      <c r="E34" s="88"/>
      <c r="F34" s="3"/>
      <c r="G34" s="88"/>
      <c r="H34" s="88"/>
      <c r="I34" s="89"/>
    </row>
    <row r="35">
      <c r="A35" s="3"/>
      <c r="B35" s="88"/>
      <c r="C35" s="88"/>
      <c r="D35" s="89"/>
      <c r="E35" s="88"/>
      <c r="F35" s="3"/>
      <c r="G35" s="88"/>
      <c r="H35" s="88"/>
      <c r="I35" s="89"/>
    </row>
    <row r="36">
      <c r="A36" s="3"/>
      <c r="B36" s="88"/>
      <c r="C36" s="88"/>
      <c r="D36" s="89"/>
      <c r="E36" s="88"/>
      <c r="F36" s="3"/>
      <c r="G36" s="88"/>
      <c r="H36" s="88"/>
      <c r="I36" s="89"/>
    </row>
    <row r="37">
      <c r="A37" s="3"/>
      <c r="B37" s="88"/>
      <c r="C37" s="88"/>
      <c r="D37" s="89"/>
      <c r="E37" s="88"/>
      <c r="F37" s="3"/>
      <c r="G37" s="88"/>
      <c r="H37" s="88"/>
      <c r="I37" s="89"/>
    </row>
    <row r="38">
      <c r="A38" s="3"/>
      <c r="B38" s="88"/>
      <c r="C38" s="88"/>
      <c r="D38" s="89"/>
      <c r="E38" s="88"/>
      <c r="F38" s="3"/>
      <c r="G38" s="88"/>
      <c r="H38" s="88"/>
      <c r="I38" s="89"/>
    </row>
    <row r="39">
      <c r="A39" s="3"/>
      <c r="B39" s="88"/>
      <c r="C39" s="88"/>
      <c r="D39" s="89"/>
      <c r="E39" s="88"/>
      <c r="F39" s="3"/>
      <c r="G39" s="88"/>
      <c r="H39" s="88"/>
      <c r="I39" s="89"/>
    </row>
    <row r="40">
      <c r="A40" s="3"/>
      <c r="B40" s="88"/>
      <c r="C40" s="88"/>
      <c r="D40" s="89"/>
      <c r="E40" s="88"/>
      <c r="F40" s="3"/>
      <c r="G40" s="88"/>
      <c r="H40" s="88"/>
      <c r="I40" s="89"/>
    </row>
    <row r="41">
      <c r="A41" s="3"/>
      <c r="B41" s="88"/>
      <c r="C41" s="88"/>
      <c r="D41" s="89"/>
      <c r="E41" s="88"/>
      <c r="F41" s="3"/>
      <c r="G41" s="88"/>
      <c r="H41" s="88"/>
      <c r="I41" s="89"/>
    </row>
    <row r="42">
      <c r="A42" s="3"/>
      <c r="B42" s="88"/>
      <c r="C42" s="88"/>
      <c r="D42" s="89"/>
      <c r="E42" s="88"/>
      <c r="F42" s="3"/>
      <c r="G42" s="88"/>
      <c r="H42" s="88"/>
      <c r="I42" s="89"/>
    </row>
    <row r="43">
      <c r="A43" s="3"/>
      <c r="B43" s="88"/>
      <c r="C43" s="88"/>
      <c r="D43" s="89"/>
      <c r="E43" s="88"/>
      <c r="F43" s="3"/>
      <c r="G43" s="88"/>
      <c r="H43" s="88"/>
      <c r="I43" s="89"/>
    </row>
    <row r="44">
      <c r="A44" s="3"/>
      <c r="B44" s="88"/>
      <c r="C44" s="88"/>
      <c r="D44" s="89"/>
      <c r="E44" s="88"/>
      <c r="F44" s="3"/>
      <c r="G44" s="88"/>
      <c r="H44" s="88"/>
      <c r="I44" s="89"/>
    </row>
    <row r="45">
      <c r="A45" s="3"/>
      <c r="B45" s="88"/>
      <c r="C45" s="88"/>
      <c r="D45" s="89"/>
      <c r="E45" s="88"/>
      <c r="F45" s="3"/>
      <c r="G45" s="88"/>
      <c r="H45" s="88"/>
      <c r="I45" s="89"/>
    </row>
    <row r="46">
      <c r="A46" s="3"/>
      <c r="B46" s="88"/>
      <c r="C46" s="88"/>
      <c r="D46" s="89"/>
      <c r="E46" s="88"/>
      <c r="F46" s="3"/>
      <c r="G46" s="88"/>
      <c r="H46" s="88"/>
      <c r="I46" s="89"/>
    </row>
    <row r="47">
      <c r="A47" s="3"/>
      <c r="B47" s="88"/>
      <c r="C47" s="88"/>
      <c r="D47" s="89"/>
      <c r="E47" s="88"/>
      <c r="F47" s="3"/>
      <c r="G47" s="88"/>
      <c r="H47" s="88"/>
      <c r="I47" s="89"/>
    </row>
    <row r="48">
      <c r="A48" s="3"/>
      <c r="B48" s="88"/>
      <c r="C48" s="88"/>
      <c r="D48" s="89"/>
      <c r="E48" s="88"/>
      <c r="F48" s="3"/>
      <c r="G48" s="88"/>
      <c r="H48" s="88"/>
      <c r="I48" s="89"/>
    </row>
    <row r="49">
      <c r="A49" s="3"/>
      <c r="B49" s="88"/>
      <c r="C49" s="88"/>
      <c r="D49" s="89"/>
      <c r="E49" s="88"/>
      <c r="F49" s="3"/>
      <c r="G49" s="88"/>
      <c r="H49" s="88"/>
      <c r="I49" s="89"/>
    </row>
    <row r="50">
      <c r="A50" s="3"/>
      <c r="B50" s="88"/>
      <c r="C50" s="88"/>
      <c r="D50" s="89"/>
      <c r="E50" s="88"/>
      <c r="F50" s="3"/>
      <c r="G50" s="88"/>
      <c r="H50" s="88"/>
      <c r="I50" s="89"/>
    </row>
    <row r="51">
      <c r="A51" s="3"/>
      <c r="B51" s="88"/>
      <c r="C51" s="88"/>
      <c r="D51" s="89"/>
      <c r="E51" s="88"/>
      <c r="F51" s="3"/>
      <c r="G51" s="88"/>
      <c r="H51" s="88"/>
      <c r="I51" s="89"/>
    </row>
    <row r="52">
      <c r="A52" s="3"/>
      <c r="B52" s="88"/>
      <c r="C52" s="88"/>
      <c r="D52" s="89"/>
      <c r="E52" s="88"/>
      <c r="F52" s="3"/>
      <c r="G52" s="88"/>
      <c r="H52" s="88"/>
      <c r="I52" s="89"/>
    </row>
    <row r="53">
      <c r="A53" s="3"/>
      <c r="B53" s="88"/>
      <c r="C53" s="88"/>
      <c r="D53" s="89"/>
      <c r="E53" s="88"/>
      <c r="F53" s="3"/>
      <c r="G53" s="88"/>
      <c r="H53" s="88"/>
      <c r="I53" s="89"/>
    </row>
    <row r="54">
      <c r="A54" s="3"/>
      <c r="B54" s="88"/>
      <c r="C54" s="88"/>
      <c r="D54" s="89"/>
      <c r="E54" s="88"/>
      <c r="F54" s="3"/>
      <c r="G54" s="88"/>
      <c r="H54" s="88"/>
      <c r="I54" s="89"/>
    </row>
    <row r="55">
      <c r="A55" s="3"/>
      <c r="B55" s="88"/>
      <c r="C55" s="88"/>
      <c r="D55" s="89"/>
      <c r="E55" s="88"/>
      <c r="F55" s="3"/>
      <c r="G55" s="88"/>
      <c r="H55" s="88"/>
      <c r="I55" s="89"/>
    </row>
    <row r="56">
      <c r="A56" s="3"/>
      <c r="B56" s="88"/>
      <c r="C56" s="88"/>
      <c r="D56" s="89"/>
      <c r="E56" s="88"/>
      <c r="F56" s="3"/>
      <c r="G56" s="88"/>
      <c r="H56" s="88"/>
      <c r="I56" s="89"/>
    </row>
    <row r="57">
      <c r="A57" s="3"/>
      <c r="B57" s="88"/>
      <c r="C57" s="88"/>
      <c r="D57" s="89"/>
      <c r="E57" s="88"/>
      <c r="F57" s="3"/>
      <c r="G57" s="88"/>
      <c r="H57" s="88"/>
      <c r="I57" s="89"/>
    </row>
    <row r="58">
      <c r="A58" s="3"/>
      <c r="B58" s="88"/>
      <c r="C58" s="88"/>
      <c r="D58" s="89"/>
      <c r="E58" s="88"/>
      <c r="F58" s="3"/>
      <c r="G58" s="88"/>
      <c r="H58" s="88"/>
      <c r="I58" s="89"/>
    </row>
    <row r="59">
      <c r="A59" s="3"/>
      <c r="B59" s="88"/>
      <c r="C59" s="88"/>
      <c r="D59" s="89"/>
      <c r="E59" s="88"/>
      <c r="F59" s="3"/>
      <c r="G59" s="88"/>
      <c r="H59" s="88"/>
      <c r="I59" s="89"/>
    </row>
    <row r="60">
      <c r="A60" s="3"/>
      <c r="B60" s="88"/>
      <c r="C60" s="88"/>
      <c r="D60" s="89"/>
      <c r="E60" s="88"/>
      <c r="F60" s="3"/>
      <c r="G60" s="88"/>
      <c r="H60" s="88"/>
      <c r="I60" s="89"/>
    </row>
    <row r="61">
      <c r="A61" s="3"/>
      <c r="B61" s="88"/>
      <c r="C61" s="88"/>
      <c r="D61" s="89"/>
      <c r="E61" s="88"/>
      <c r="F61" s="3"/>
      <c r="G61" s="88"/>
      <c r="H61" s="88"/>
      <c r="I61" s="89"/>
    </row>
    <row r="62">
      <c r="A62" s="3"/>
      <c r="B62" s="88"/>
      <c r="C62" s="88"/>
      <c r="D62" s="89"/>
      <c r="E62" s="88"/>
      <c r="F62" s="3"/>
      <c r="G62" s="88"/>
      <c r="H62" s="88"/>
      <c r="I62" s="89"/>
    </row>
    <row r="63">
      <c r="A63" s="3"/>
      <c r="B63" s="88"/>
      <c r="C63" s="88"/>
      <c r="D63" s="89"/>
      <c r="E63" s="88"/>
      <c r="F63" s="3"/>
      <c r="G63" s="88"/>
      <c r="H63" s="88"/>
      <c r="I63" s="89"/>
    </row>
    <row r="64">
      <c r="A64" s="3"/>
      <c r="B64" s="88"/>
      <c r="C64" s="88"/>
      <c r="D64" s="89"/>
      <c r="E64" s="88"/>
      <c r="F64" s="3"/>
      <c r="G64" s="88"/>
      <c r="H64" s="88"/>
      <c r="I64" s="89"/>
    </row>
    <row r="65">
      <c r="A65" s="3"/>
      <c r="B65" s="88"/>
      <c r="C65" s="88"/>
      <c r="D65" s="89"/>
      <c r="E65" s="88"/>
      <c r="F65" s="3"/>
      <c r="G65" s="88"/>
      <c r="H65" s="88"/>
      <c r="I65" s="89"/>
    </row>
    <row r="66">
      <c r="A66" s="3"/>
      <c r="B66" s="88"/>
      <c r="C66" s="88"/>
      <c r="D66" s="89"/>
      <c r="E66" s="88"/>
      <c r="F66" s="3"/>
      <c r="G66" s="88"/>
      <c r="H66" s="88"/>
      <c r="I66" s="89"/>
    </row>
    <row r="67">
      <c r="A67" s="3"/>
      <c r="B67" s="88"/>
      <c r="C67" s="88"/>
      <c r="D67" s="89"/>
      <c r="E67" s="88"/>
      <c r="F67" s="3"/>
      <c r="G67" s="88"/>
      <c r="H67" s="88"/>
      <c r="I67" s="89"/>
    </row>
    <row r="68">
      <c r="A68" s="3"/>
      <c r="B68" s="88"/>
      <c r="C68" s="88"/>
      <c r="D68" s="89"/>
      <c r="E68" s="88"/>
      <c r="F68" s="3"/>
      <c r="G68" s="88"/>
      <c r="H68" s="88"/>
      <c r="I68" s="89"/>
    </row>
    <row r="69">
      <c r="A69" s="3"/>
      <c r="B69" s="88"/>
      <c r="C69" s="88"/>
      <c r="D69" s="89"/>
      <c r="E69" s="88"/>
      <c r="F69" s="3"/>
      <c r="G69" s="88"/>
      <c r="H69" s="88"/>
      <c r="I69" s="89"/>
    </row>
    <row r="70">
      <c r="A70" s="3"/>
      <c r="B70" s="88"/>
      <c r="C70" s="88"/>
      <c r="D70" s="89"/>
      <c r="E70" s="88"/>
      <c r="F70" s="3"/>
      <c r="G70" s="88"/>
      <c r="H70" s="88"/>
      <c r="I70" s="89"/>
    </row>
    <row r="71">
      <c r="A71" s="3"/>
      <c r="B71" s="88"/>
      <c r="C71" s="88"/>
      <c r="D71" s="89"/>
      <c r="E71" s="88"/>
      <c r="F71" s="3"/>
      <c r="G71" s="88"/>
      <c r="H71" s="88"/>
      <c r="I71" s="89"/>
    </row>
    <row r="72">
      <c r="A72" s="3"/>
      <c r="B72" s="88"/>
      <c r="C72" s="88"/>
      <c r="D72" s="89"/>
      <c r="E72" s="88"/>
      <c r="F72" s="3"/>
      <c r="G72" s="88"/>
      <c r="H72" s="88"/>
      <c r="I72" s="89"/>
    </row>
    <row r="73">
      <c r="A73" s="3"/>
      <c r="B73" s="88"/>
      <c r="C73" s="88"/>
      <c r="D73" s="89"/>
      <c r="E73" s="88"/>
      <c r="F73" s="3"/>
      <c r="G73" s="88"/>
      <c r="H73" s="88"/>
      <c r="I73" s="89"/>
    </row>
    <row r="74">
      <c r="A74" s="3"/>
      <c r="B74" s="88"/>
      <c r="C74" s="88"/>
      <c r="D74" s="89"/>
      <c r="E74" s="88"/>
      <c r="F74" s="3"/>
      <c r="G74" s="88"/>
      <c r="H74" s="88"/>
      <c r="I74" s="89"/>
    </row>
    <row r="75">
      <c r="A75" s="3"/>
      <c r="B75" s="88"/>
      <c r="C75" s="88"/>
      <c r="D75" s="89"/>
      <c r="E75" s="88"/>
      <c r="F75" s="3"/>
      <c r="G75" s="88"/>
      <c r="H75" s="88"/>
      <c r="I75" s="89"/>
    </row>
    <row r="76">
      <c r="A76" s="3"/>
      <c r="B76" s="88"/>
      <c r="C76" s="88"/>
      <c r="D76" s="89"/>
      <c r="E76" s="88"/>
      <c r="F76" s="3"/>
      <c r="G76" s="88"/>
      <c r="H76" s="88"/>
      <c r="I76" s="89"/>
    </row>
    <row r="77">
      <c r="A77" s="3"/>
      <c r="B77" s="88"/>
      <c r="C77" s="88"/>
      <c r="D77" s="89"/>
      <c r="E77" s="88"/>
      <c r="F77" s="3"/>
      <c r="G77" s="88"/>
      <c r="H77" s="88"/>
      <c r="I77" s="89"/>
    </row>
    <row r="78">
      <c r="A78" s="3"/>
      <c r="B78" s="88"/>
      <c r="C78" s="88"/>
      <c r="D78" s="89"/>
      <c r="E78" s="88"/>
      <c r="F78" s="3"/>
      <c r="G78" s="88"/>
      <c r="H78" s="88"/>
      <c r="I78" s="89"/>
    </row>
    <row r="79">
      <c r="A79" s="3"/>
      <c r="B79" s="88"/>
      <c r="C79" s="88"/>
      <c r="D79" s="89"/>
      <c r="E79" s="88"/>
      <c r="F79" s="3"/>
      <c r="G79" s="88"/>
      <c r="H79" s="88"/>
      <c r="I79" s="89"/>
    </row>
    <row r="80">
      <c r="A80" s="3"/>
      <c r="B80" s="88"/>
      <c r="C80" s="88"/>
      <c r="D80" s="89"/>
      <c r="E80" s="88"/>
      <c r="F80" s="3"/>
      <c r="G80" s="88"/>
      <c r="H80" s="88"/>
      <c r="I80" s="89"/>
    </row>
    <row r="81">
      <c r="A81" s="3"/>
      <c r="B81" s="88"/>
      <c r="C81" s="88"/>
      <c r="D81" s="89"/>
      <c r="E81" s="88"/>
      <c r="F81" s="3"/>
      <c r="G81" s="88"/>
      <c r="H81" s="88"/>
      <c r="I81" s="89"/>
    </row>
    <row r="82">
      <c r="A82" s="3"/>
      <c r="B82" s="88"/>
      <c r="C82" s="88"/>
      <c r="D82" s="89"/>
      <c r="E82" s="88"/>
      <c r="F82" s="3"/>
      <c r="G82" s="88"/>
      <c r="H82" s="88"/>
      <c r="I82" s="89"/>
    </row>
    <row r="83">
      <c r="A83" s="3"/>
      <c r="B83" s="88"/>
      <c r="C83" s="88"/>
      <c r="D83" s="89"/>
      <c r="E83" s="88"/>
      <c r="F83" s="3"/>
      <c r="G83" s="88"/>
      <c r="H83" s="88"/>
      <c r="I83" s="89"/>
    </row>
    <row r="84">
      <c r="A84" s="3"/>
      <c r="B84" s="88"/>
      <c r="C84" s="88"/>
      <c r="D84" s="89"/>
      <c r="E84" s="88"/>
      <c r="F84" s="3"/>
      <c r="G84" s="88"/>
      <c r="H84" s="88"/>
      <c r="I84" s="89"/>
    </row>
    <row r="85">
      <c r="A85" s="3"/>
      <c r="B85" s="88"/>
      <c r="C85" s="88"/>
      <c r="D85" s="89"/>
      <c r="E85" s="88"/>
      <c r="F85" s="3"/>
      <c r="G85" s="88"/>
      <c r="H85" s="88"/>
      <c r="I85" s="89"/>
    </row>
    <row r="86">
      <c r="A86" s="3"/>
      <c r="B86" s="88"/>
      <c r="C86" s="88"/>
      <c r="D86" s="89"/>
      <c r="E86" s="88"/>
      <c r="F86" s="3"/>
      <c r="G86" s="88"/>
      <c r="H86" s="88"/>
      <c r="I86" s="89"/>
    </row>
    <row r="87">
      <c r="A87" s="3"/>
      <c r="B87" s="88"/>
      <c r="C87" s="88"/>
      <c r="D87" s="89"/>
      <c r="E87" s="88"/>
      <c r="F87" s="3"/>
      <c r="G87" s="88"/>
      <c r="H87" s="88"/>
      <c r="I87" s="89"/>
    </row>
    <row r="88">
      <c r="A88" s="3"/>
      <c r="B88" s="88"/>
      <c r="C88" s="88"/>
      <c r="D88" s="89"/>
      <c r="E88" s="88"/>
      <c r="F88" s="3"/>
      <c r="G88" s="88"/>
      <c r="H88" s="88"/>
      <c r="I88" s="89"/>
    </row>
    <row r="89">
      <c r="A89" s="3"/>
      <c r="B89" s="88"/>
      <c r="C89" s="88"/>
      <c r="D89" s="89"/>
      <c r="E89" s="88"/>
      <c r="F89" s="3"/>
      <c r="G89" s="88"/>
      <c r="H89" s="88"/>
      <c r="I89" s="89"/>
    </row>
    <row r="90">
      <c r="A90" s="3"/>
      <c r="B90" s="88"/>
      <c r="C90" s="88"/>
      <c r="D90" s="89"/>
      <c r="E90" s="88"/>
      <c r="F90" s="3"/>
      <c r="G90" s="88"/>
      <c r="H90" s="88"/>
      <c r="I90" s="89"/>
    </row>
    <row r="91">
      <c r="A91" s="3"/>
      <c r="B91" s="88"/>
      <c r="C91" s="88"/>
      <c r="D91" s="89"/>
      <c r="E91" s="88"/>
      <c r="F91" s="3"/>
      <c r="G91" s="88"/>
      <c r="H91" s="88"/>
      <c r="I91" s="89"/>
    </row>
    <row r="92">
      <c r="A92" s="3"/>
      <c r="B92" s="88"/>
      <c r="C92" s="88"/>
      <c r="D92" s="89"/>
      <c r="E92" s="88"/>
      <c r="F92" s="3"/>
      <c r="G92" s="88"/>
      <c r="H92" s="88"/>
      <c r="I92" s="89"/>
    </row>
    <row r="93">
      <c r="A93" s="3"/>
      <c r="B93" s="88"/>
      <c r="C93" s="88"/>
      <c r="D93" s="89"/>
      <c r="E93" s="88"/>
      <c r="F93" s="3"/>
      <c r="G93" s="88"/>
      <c r="H93" s="88"/>
      <c r="I93" s="89"/>
    </row>
    <row r="94">
      <c r="A94" s="3"/>
      <c r="B94" s="88"/>
      <c r="C94" s="88"/>
      <c r="D94" s="89"/>
      <c r="E94" s="88"/>
      <c r="F94" s="3"/>
      <c r="G94" s="88"/>
      <c r="H94" s="88"/>
      <c r="I94" s="89"/>
    </row>
    <row r="95">
      <c r="A95" s="3"/>
      <c r="B95" s="88"/>
      <c r="C95" s="88"/>
      <c r="D95" s="89"/>
      <c r="E95" s="88"/>
      <c r="F95" s="3"/>
      <c r="G95" s="88"/>
      <c r="H95" s="88"/>
      <c r="I95" s="89"/>
    </row>
    <row r="96">
      <c r="A96" s="3"/>
      <c r="B96" s="88"/>
      <c r="C96" s="88"/>
      <c r="D96" s="89"/>
      <c r="E96" s="88"/>
      <c r="F96" s="3"/>
      <c r="G96" s="88"/>
      <c r="H96" s="88"/>
      <c r="I96" s="89"/>
    </row>
    <row r="97">
      <c r="A97" s="3"/>
      <c r="B97" s="88"/>
      <c r="C97" s="88"/>
      <c r="D97" s="89"/>
      <c r="E97" s="88"/>
      <c r="F97" s="3"/>
      <c r="G97" s="88"/>
      <c r="H97" s="88"/>
      <c r="I97" s="89"/>
    </row>
    <row r="98">
      <c r="A98" s="3"/>
      <c r="B98" s="88"/>
      <c r="C98" s="88"/>
      <c r="D98" s="89"/>
      <c r="E98" s="88"/>
      <c r="F98" s="3"/>
      <c r="G98" s="88"/>
      <c r="H98" s="88"/>
      <c r="I98" s="89"/>
    </row>
    <row r="99">
      <c r="A99" s="3"/>
      <c r="B99" s="88"/>
      <c r="C99" s="88"/>
      <c r="D99" s="89"/>
      <c r="E99" s="88"/>
      <c r="F99" s="3"/>
      <c r="G99" s="88"/>
      <c r="H99" s="88"/>
      <c r="I99" s="89"/>
    </row>
    <row r="100">
      <c r="A100" s="3"/>
      <c r="B100" s="88"/>
      <c r="C100" s="88"/>
      <c r="D100" s="89"/>
      <c r="E100" s="88"/>
      <c r="F100" s="3"/>
      <c r="G100" s="88"/>
      <c r="H100" s="88"/>
      <c r="I100" s="89"/>
    </row>
    <row r="101">
      <c r="A101" s="3"/>
      <c r="B101" s="88"/>
      <c r="C101" s="88"/>
      <c r="D101" s="89"/>
      <c r="E101" s="88"/>
      <c r="F101" s="3"/>
      <c r="G101" s="88"/>
      <c r="H101" s="88"/>
      <c r="I101" s="89"/>
    </row>
    <row r="102">
      <c r="A102" s="3"/>
      <c r="B102" s="88"/>
      <c r="C102" s="88"/>
      <c r="D102" s="89"/>
      <c r="E102" s="88"/>
      <c r="F102" s="3"/>
      <c r="G102" s="88"/>
      <c r="H102" s="88"/>
      <c r="I102" s="89"/>
    </row>
    <row r="103">
      <c r="A103" s="3"/>
      <c r="B103" s="88"/>
      <c r="C103" s="88"/>
      <c r="D103" s="89"/>
      <c r="E103" s="88"/>
      <c r="F103" s="3"/>
      <c r="G103" s="88"/>
      <c r="H103" s="88"/>
      <c r="I103" s="89"/>
    </row>
    <row r="104">
      <c r="A104" s="3"/>
      <c r="B104" s="88"/>
      <c r="C104" s="88"/>
      <c r="D104" s="89"/>
      <c r="E104" s="88"/>
      <c r="F104" s="3"/>
      <c r="G104" s="88"/>
      <c r="H104" s="88"/>
      <c r="I104" s="89"/>
    </row>
    <row r="105">
      <c r="A105" s="3"/>
      <c r="B105" s="88"/>
      <c r="C105" s="88"/>
      <c r="D105" s="89"/>
      <c r="E105" s="88"/>
      <c r="F105" s="3"/>
      <c r="G105" s="88"/>
      <c r="H105" s="88"/>
      <c r="I105" s="89"/>
    </row>
    <row r="106">
      <c r="A106" s="3"/>
      <c r="B106" s="88"/>
      <c r="C106" s="88"/>
      <c r="D106" s="89"/>
      <c r="E106" s="88"/>
      <c r="F106" s="3"/>
      <c r="G106" s="88"/>
      <c r="H106" s="88"/>
      <c r="I106" s="89"/>
    </row>
    <row r="107">
      <c r="A107" s="3"/>
      <c r="B107" s="88"/>
      <c r="C107" s="88"/>
      <c r="D107" s="89"/>
      <c r="E107" s="88"/>
      <c r="F107" s="3"/>
      <c r="G107" s="88"/>
      <c r="H107" s="88"/>
      <c r="I107" s="89"/>
    </row>
    <row r="108">
      <c r="A108" s="3"/>
      <c r="B108" s="88"/>
      <c r="C108" s="88"/>
      <c r="D108" s="89"/>
      <c r="E108" s="88"/>
      <c r="F108" s="3"/>
      <c r="G108" s="88"/>
      <c r="H108" s="88"/>
      <c r="I108" s="89"/>
    </row>
    <row r="109">
      <c r="A109" s="3"/>
      <c r="B109" s="88"/>
      <c r="C109" s="88"/>
      <c r="D109" s="89"/>
      <c r="E109" s="88"/>
      <c r="F109" s="3"/>
      <c r="G109" s="88"/>
      <c r="H109" s="88"/>
      <c r="I109" s="89"/>
    </row>
    <row r="110">
      <c r="A110" s="3"/>
      <c r="B110" s="88"/>
      <c r="C110" s="88"/>
      <c r="D110" s="89"/>
      <c r="E110" s="88"/>
      <c r="F110" s="3"/>
      <c r="G110" s="88"/>
      <c r="H110" s="88"/>
      <c r="I110" s="89"/>
    </row>
    <row r="111">
      <c r="A111" s="3"/>
      <c r="B111" s="88"/>
      <c r="C111" s="88"/>
      <c r="D111" s="89"/>
      <c r="E111" s="88"/>
      <c r="F111" s="3"/>
      <c r="G111" s="88"/>
      <c r="H111" s="88"/>
      <c r="I111" s="89"/>
    </row>
    <row r="112">
      <c r="A112" s="3"/>
      <c r="B112" s="88"/>
      <c r="C112" s="88"/>
      <c r="D112" s="89"/>
      <c r="E112" s="88"/>
      <c r="F112" s="3"/>
      <c r="G112" s="88"/>
      <c r="H112" s="88"/>
      <c r="I112" s="89"/>
    </row>
    <row r="113">
      <c r="A113" s="3"/>
      <c r="B113" s="88"/>
      <c r="C113" s="88"/>
      <c r="D113" s="89"/>
      <c r="E113" s="88"/>
      <c r="F113" s="3"/>
      <c r="G113" s="88"/>
      <c r="H113" s="88"/>
      <c r="I113" s="89"/>
    </row>
    <row r="114">
      <c r="A114" s="3"/>
      <c r="B114" s="88"/>
      <c r="C114" s="88"/>
      <c r="D114" s="89"/>
      <c r="E114" s="88"/>
      <c r="F114" s="3"/>
      <c r="G114" s="88"/>
      <c r="H114" s="88"/>
      <c r="I114" s="89"/>
    </row>
    <row r="115">
      <c r="A115" s="3"/>
      <c r="B115" s="88"/>
      <c r="C115" s="88"/>
      <c r="D115" s="89"/>
      <c r="E115" s="88"/>
      <c r="F115" s="3"/>
      <c r="G115" s="88"/>
      <c r="H115" s="88"/>
      <c r="I115" s="89"/>
    </row>
    <row r="116">
      <c r="A116" s="3"/>
      <c r="B116" s="88"/>
      <c r="C116" s="88"/>
      <c r="D116" s="89"/>
      <c r="E116" s="88"/>
      <c r="F116" s="3"/>
      <c r="G116" s="88"/>
      <c r="H116" s="88"/>
      <c r="I116" s="89"/>
    </row>
    <row r="117">
      <c r="A117" s="3"/>
      <c r="B117" s="88"/>
      <c r="C117" s="88"/>
      <c r="D117" s="89"/>
      <c r="E117" s="88"/>
      <c r="F117" s="3"/>
      <c r="G117" s="88"/>
      <c r="H117" s="88"/>
      <c r="I117" s="89"/>
    </row>
    <row r="118">
      <c r="A118" s="3"/>
      <c r="B118" s="88"/>
      <c r="C118" s="88"/>
      <c r="D118" s="89"/>
      <c r="E118" s="88"/>
      <c r="F118" s="3"/>
      <c r="G118" s="88"/>
      <c r="H118" s="88"/>
      <c r="I118" s="89"/>
    </row>
    <row r="119">
      <c r="A119" s="3"/>
      <c r="B119" s="88"/>
      <c r="C119" s="88"/>
      <c r="D119" s="89"/>
      <c r="E119" s="88"/>
      <c r="F119" s="3"/>
      <c r="G119" s="88"/>
      <c r="H119" s="88"/>
      <c r="I119" s="89"/>
    </row>
    <row r="120">
      <c r="A120" s="3"/>
      <c r="B120" s="88"/>
      <c r="C120" s="88"/>
      <c r="D120" s="89"/>
      <c r="E120" s="88"/>
      <c r="F120" s="3"/>
      <c r="G120" s="88"/>
      <c r="H120" s="88"/>
      <c r="I120" s="89"/>
    </row>
    <row r="121">
      <c r="A121" s="3"/>
      <c r="B121" s="88"/>
      <c r="C121" s="88"/>
      <c r="D121" s="89"/>
      <c r="E121" s="88"/>
      <c r="F121" s="3"/>
      <c r="G121" s="88"/>
      <c r="H121" s="88"/>
      <c r="I121" s="89"/>
    </row>
    <row r="122">
      <c r="A122" s="3"/>
      <c r="B122" s="88"/>
      <c r="C122" s="88"/>
      <c r="D122" s="89"/>
      <c r="E122" s="88"/>
      <c r="F122" s="3"/>
      <c r="G122" s="88"/>
      <c r="H122" s="88"/>
      <c r="I122" s="89"/>
    </row>
    <row r="123">
      <c r="A123" s="3"/>
      <c r="B123" s="88"/>
      <c r="C123" s="88"/>
      <c r="D123" s="89"/>
      <c r="E123" s="88"/>
      <c r="F123" s="3"/>
      <c r="G123" s="88"/>
      <c r="H123" s="88"/>
      <c r="I123" s="89"/>
    </row>
    <row r="124">
      <c r="A124" s="3"/>
      <c r="B124" s="88"/>
      <c r="C124" s="88"/>
      <c r="D124" s="89"/>
      <c r="E124" s="88"/>
      <c r="F124" s="3"/>
      <c r="G124" s="88"/>
      <c r="H124" s="88"/>
      <c r="I124" s="89"/>
    </row>
    <row r="125">
      <c r="A125" s="3"/>
      <c r="B125" s="88"/>
      <c r="C125" s="88"/>
      <c r="D125" s="89"/>
      <c r="E125" s="88"/>
      <c r="F125" s="3"/>
      <c r="G125" s="88"/>
      <c r="H125" s="88"/>
      <c r="I125" s="89"/>
    </row>
    <row r="126">
      <c r="A126" s="3"/>
      <c r="B126" s="88"/>
      <c r="C126" s="88"/>
      <c r="D126" s="89"/>
      <c r="E126" s="88"/>
      <c r="F126" s="3"/>
      <c r="G126" s="88"/>
      <c r="H126" s="88"/>
      <c r="I126" s="89"/>
    </row>
    <row r="127">
      <c r="A127" s="3"/>
      <c r="B127" s="88"/>
      <c r="C127" s="88"/>
      <c r="D127" s="89"/>
      <c r="E127" s="88"/>
      <c r="F127" s="3"/>
      <c r="G127" s="88"/>
      <c r="H127" s="88"/>
      <c r="I127" s="89"/>
    </row>
    <row r="128">
      <c r="A128" s="3"/>
      <c r="B128" s="88"/>
      <c r="C128" s="88"/>
      <c r="D128" s="89"/>
      <c r="E128" s="88"/>
      <c r="F128" s="3"/>
      <c r="G128" s="88"/>
      <c r="H128" s="88"/>
      <c r="I128" s="89"/>
    </row>
    <row r="129">
      <c r="A129" s="3"/>
      <c r="B129" s="88"/>
      <c r="C129" s="88"/>
      <c r="D129" s="89"/>
      <c r="E129" s="88"/>
      <c r="F129" s="3"/>
      <c r="G129" s="88"/>
      <c r="H129" s="88"/>
      <c r="I129" s="89"/>
    </row>
    <row r="130">
      <c r="A130" s="3"/>
      <c r="B130" s="88"/>
      <c r="C130" s="88"/>
      <c r="D130" s="89"/>
      <c r="E130" s="88"/>
      <c r="F130" s="3"/>
      <c r="G130" s="88"/>
      <c r="H130" s="88"/>
      <c r="I130" s="89"/>
    </row>
    <row r="131">
      <c r="A131" s="3"/>
      <c r="B131" s="88"/>
      <c r="C131" s="88"/>
      <c r="D131" s="89"/>
      <c r="E131" s="88"/>
      <c r="F131" s="3"/>
      <c r="G131" s="88"/>
      <c r="H131" s="88"/>
      <c r="I131" s="89"/>
    </row>
    <row r="132">
      <c r="A132" s="3"/>
      <c r="B132" s="88"/>
      <c r="C132" s="88"/>
      <c r="D132" s="89"/>
      <c r="E132" s="88"/>
      <c r="F132" s="3"/>
      <c r="G132" s="88"/>
      <c r="H132" s="88"/>
      <c r="I132" s="89"/>
    </row>
    <row r="133">
      <c r="A133" s="3"/>
      <c r="B133" s="88"/>
      <c r="C133" s="88"/>
      <c r="D133" s="89"/>
      <c r="E133" s="88"/>
      <c r="F133" s="3"/>
      <c r="G133" s="88"/>
      <c r="H133" s="88"/>
      <c r="I133" s="89"/>
    </row>
    <row r="134">
      <c r="A134" s="3"/>
      <c r="B134" s="88"/>
      <c r="C134" s="88"/>
      <c r="D134" s="89"/>
      <c r="E134" s="88"/>
      <c r="F134" s="3"/>
      <c r="G134" s="88"/>
      <c r="H134" s="88"/>
      <c r="I134" s="89"/>
    </row>
    <row r="135">
      <c r="A135" s="3"/>
      <c r="B135" s="88"/>
      <c r="C135" s="88"/>
      <c r="D135" s="89"/>
      <c r="E135" s="88"/>
      <c r="F135" s="3"/>
      <c r="G135" s="88"/>
      <c r="H135" s="88"/>
      <c r="I135" s="89"/>
    </row>
    <row r="136">
      <c r="A136" s="3"/>
      <c r="B136" s="88"/>
      <c r="C136" s="88"/>
      <c r="D136" s="89"/>
      <c r="E136" s="88"/>
      <c r="F136" s="3"/>
      <c r="G136" s="88"/>
      <c r="H136" s="88"/>
      <c r="I136" s="89"/>
    </row>
    <row r="137">
      <c r="A137" s="3"/>
      <c r="B137" s="88"/>
      <c r="C137" s="88"/>
      <c r="D137" s="89"/>
      <c r="E137" s="88"/>
      <c r="F137" s="3"/>
      <c r="G137" s="88"/>
      <c r="H137" s="88"/>
      <c r="I137" s="89"/>
    </row>
    <row r="138">
      <c r="A138" s="3"/>
      <c r="B138" s="88"/>
      <c r="C138" s="88"/>
      <c r="D138" s="89"/>
      <c r="E138" s="88"/>
      <c r="F138" s="3"/>
      <c r="G138" s="88"/>
      <c r="H138" s="88"/>
      <c r="I138" s="89"/>
    </row>
    <row r="139">
      <c r="A139" s="3"/>
      <c r="B139" s="88"/>
      <c r="C139" s="88"/>
      <c r="D139" s="89"/>
      <c r="E139" s="88"/>
      <c r="F139" s="3"/>
      <c r="G139" s="88"/>
      <c r="H139" s="88"/>
      <c r="I139" s="89"/>
    </row>
    <row r="140">
      <c r="A140" s="3"/>
      <c r="B140" s="88"/>
      <c r="C140" s="88"/>
      <c r="D140" s="89"/>
      <c r="E140" s="88"/>
      <c r="F140" s="3"/>
      <c r="G140" s="88"/>
      <c r="H140" s="88"/>
      <c r="I140" s="89"/>
    </row>
    <row r="141">
      <c r="A141" s="3"/>
      <c r="B141" s="88"/>
      <c r="C141" s="88"/>
      <c r="D141" s="89"/>
      <c r="E141" s="88"/>
      <c r="F141" s="3"/>
      <c r="G141" s="88"/>
      <c r="H141" s="88"/>
      <c r="I141" s="89"/>
    </row>
    <row r="142">
      <c r="A142" s="3"/>
      <c r="B142" s="88"/>
      <c r="C142" s="88"/>
      <c r="D142" s="89"/>
      <c r="E142" s="88"/>
      <c r="F142" s="3"/>
      <c r="G142" s="88"/>
      <c r="H142" s="88"/>
      <c r="I142" s="89"/>
    </row>
    <row r="143">
      <c r="A143" s="3"/>
      <c r="B143" s="88"/>
      <c r="C143" s="88"/>
      <c r="D143" s="89"/>
      <c r="E143" s="88"/>
      <c r="F143" s="3"/>
      <c r="G143" s="88"/>
      <c r="H143" s="88"/>
      <c r="I143" s="89"/>
    </row>
    <row r="144">
      <c r="A144" s="3"/>
      <c r="B144" s="88"/>
      <c r="C144" s="88"/>
      <c r="D144" s="89"/>
      <c r="E144" s="88"/>
      <c r="F144" s="3"/>
      <c r="G144" s="88"/>
      <c r="H144" s="88"/>
      <c r="I144" s="89"/>
    </row>
    <row r="145">
      <c r="A145" s="3"/>
      <c r="B145" s="88"/>
      <c r="C145" s="88"/>
      <c r="D145" s="89"/>
      <c r="E145" s="88"/>
      <c r="F145" s="3"/>
      <c r="G145" s="88"/>
      <c r="H145" s="88"/>
      <c r="I145" s="89"/>
    </row>
    <row r="146">
      <c r="A146" s="3"/>
      <c r="B146" s="88"/>
      <c r="C146" s="88"/>
      <c r="D146" s="89"/>
      <c r="E146" s="88"/>
      <c r="F146" s="3"/>
      <c r="G146" s="88"/>
      <c r="H146" s="88"/>
      <c r="I146" s="89"/>
    </row>
    <row r="147">
      <c r="A147" s="3"/>
      <c r="B147" s="88"/>
      <c r="C147" s="88"/>
      <c r="D147" s="89"/>
      <c r="E147" s="88"/>
      <c r="F147" s="3"/>
      <c r="G147" s="88"/>
      <c r="H147" s="88"/>
      <c r="I147" s="89"/>
    </row>
    <row r="148">
      <c r="A148" s="3"/>
      <c r="B148" s="88"/>
      <c r="C148" s="88"/>
      <c r="D148" s="89"/>
      <c r="E148" s="88"/>
      <c r="F148" s="3"/>
      <c r="G148" s="88"/>
      <c r="H148" s="88"/>
      <c r="I148" s="89"/>
    </row>
    <row r="149">
      <c r="A149" s="3"/>
      <c r="B149" s="88"/>
      <c r="C149" s="88"/>
      <c r="D149" s="89"/>
      <c r="E149" s="88"/>
      <c r="F149" s="3"/>
      <c r="G149" s="88"/>
      <c r="H149" s="88"/>
      <c r="I149" s="89"/>
    </row>
    <row r="150">
      <c r="A150" s="3"/>
      <c r="B150" s="88"/>
      <c r="C150" s="88"/>
      <c r="D150" s="89"/>
      <c r="E150" s="88"/>
      <c r="F150" s="3"/>
      <c r="G150" s="88"/>
      <c r="H150" s="88"/>
      <c r="I150" s="89"/>
    </row>
    <row r="151">
      <c r="A151" s="3"/>
      <c r="B151" s="88"/>
      <c r="C151" s="88"/>
      <c r="D151" s="89"/>
      <c r="E151" s="88"/>
      <c r="F151" s="3"/>
      <c r="G151" s="88"/>
      <c r="H151" s="88"/>
      <c r="I151" s="89"/>
    </row>
    <row r="152">
      <c r="A152" s="3"/>
      <c r="B152" s="88"/>
      <c r="C152" s="88"/>
      <c r="D152" s="89"/>
      <c r="E152" s="88"/>
      <c r="F152" s="3"/>
      <c r="G152" s="88"/>
      <c r="H152" s="88"/>
      <c r="I152" s="89"/>
    </row>
    <row r="153">
      <c r="A153" s="3"/>
      <c r="B153" s="88"/>
      <c r="C153" s="88"/>
      <c r="D153" s="89"/>
      <c r="E153" s="88"/>
      <c r="F153" s="3"/>
      <c r="G153" s="88"/>
      <c r="H153" s="88"/>
      <c r="I153" s="89"/>
    </row>
    <row r="154">
      <c r="A154" s="3"/>
      <c r="B154" s="88"/>
      <c r="C154" s="88"/>
      <c r="D154" s="89"/>
      <c r="E154" s="88"/>
      <c r="F154" s="3"/>
      <c r="G154" s="88"/>
      <c r="H154" s="88"/>
      <c r="I154" s="89"/>
    </row>
    <row r="155">
      <c r="A155" s="3"/>
      <c r="B155" s="88"/>
      <c r="C155" s="88"/>
      <c r="D155" s="89"/>
      <c r="E155" s="88"/>
      <c r="F155" s="3"/>
      <c r="G155" s="88"/>
      <c r="H155" s="88"/>
      <c r="I155" s="89"/>
    </row>
    <row r="156">
      <c r="A156" s="3"/>
      <c r="B156" s="88"/>
      <c r="C156" s="88"/>
      <c r="D156" s="89"/>
      <c r="E156" s="88"/>
      <c r="F156" s="3"/>
      <c r="G156" s="88"/>
      <c r="H156" s="88"/>
      <c r="I156" s="89"/>
    </row>
    <row r="157">
      <c r="A157" s="3"/>
      <c r="B157" s="88"/>
      <c r="C157" s="88"/>
      <c r="D157" s="89"/>
      <c r="E157" s="88"/>
      <c r="F157" s="3"/>
      <c r="G157" s="88"/>
      <c r="H157" s="88"/>
      <c r="I157" s="89"/>
    </row>
    <row r="158">
      <c r="A158" s="3"/>
      <c r="B158" s="88"/>
      <c r="C158" s="88"/>
      <c r="D158" s="89"/>
      <c r="E158" s="88"/>
      <c r="F158" s="3"/>
      <c r="G158" s="88"/>
      <c r="H158" s="88"/>
      <c r="I158" s="89"/>
    </row>
    <row r="159">
      <c r="A159" s="3"/>
      <c r="B159" s="88"/>
      <c r="C159" s="88"/>
      <c r="D159" s="89"/>
      <c r="E159" s="88"/>
      <c r="F159" s="3"/>
      <c r="G159" s="88"/>
      <c r="H159" s="88"/>
      <c r="I159" s="89"/>
    </row>
    <row r="160">
      <c r="A160" s="3"/>
      <c r="B160" s="88"/>
      <c r="C160" s="88"/>
      <c r="D160" s="89"/>
      <c r="E160" s="88"/>
      <c r="F160" s="3"/>
      <c r="G160" s="88"/>
      <c r="H160" s="88"/>
      <c r="I160" s="89"/>
    </row>
    <row r="161">
      <c r="A161" s="3"/>
      <c r="B161" s="88"/>
      <c r="C161" s="88"/>
      <c r="D161" s="89"/>
      <c r="E161" s="88"/>
      <c r="F161" s="3"/>
      <c r="G161" s="88"/>
      <c r="H161" s="88"/>
      <c r="I161" s="89"/>
    </row>
    <row r="162">
      <c r="A162" s="3"/>
      <c r="B162" s="88"/>
      <c r="C162" s="88"/>
      <c r="D162" s="89"/>
      <c r="E162" s="88"/>
      <c r="F162" s="3"/>
      <c r="G162" s="88"/>
      <c r="H162" s="88"/>
      <c r="I162" s="89"/>
    </row>
    <row r="163">
      <c r="A163" s="3"/>
      <c r="B163" s="88"/>
      <c r="C163" s="88"/>
      <c r="D163" s="89"/>
      <c r="E163" s="88"/>
      <c r="F163" s="3"/>
      <c r="G163" s="88"/>
      <c r="H163" s="88"/>
      <c r="I163" s="89"/>
    </row>
    <row r="164">
      <c r="A164" s="3"/>
      <c r="B164" s="88"/>
      <c r="C164" s="88"/>
      <c r="D164" s="89"/>
      <c r="E164" s="88"/>
      <c r="F164" s="3"/>
      <c r="G164" s="88"/>
      <c r="H164" s="88"/>
      <c r="I164" s="89"/>
    </row>
    <row r="165">
      <c r="A165" s="3"/>
      <c r="B165" s="88"/>
      <c r="C165" s="88"/>
      <c r="D165" s="89"/>
      <c r="E165" s="88"/>
      <c r="F165" s="3"/>
      <c r="G165" s="88"/>
      <c r="H165" s="88"/>
      <c r="I165" s="89"/>
    </row>
    <row r="166">
      <c r="A166" s="3"/>
      <c r="B166" s="88"/>
      <c r="C166" s="88"/>
      <c r="D166" s="89"/>
      <c r="E166" s="88"/>
      <c r="F166" s="3"/>
      <c r="G166" s="88"/>
      <c r="H166" s="88"/>
      <c r="I166" s="89"/>
    </row>
    <row r="167">
      <c r="A167" s="3"/>
      <c r="B167" s="88"/>
      <c r="C167" s="88"/>
      <c r="D167" s="89"/>
      <c r="E167" s="88"/>
      <c r="F167" s="3"/>
      <c r="G167" s="88"/>
      <c r="H167" s="88"/>
      <c r="I167" s="89"/>
    </row>
    <row r="168">
      <c r="A168" s="3"/>
      <c r="B168" s="88"/>
      <c r="C168" s="88"/>
      <c r="D168" s="89"/>
      <c r="E168" s="88"/>
      <c r="F168" s="3"/>
      <c r="G168" s="88"/>
      <c r="H168" s="88"/>
      <c r="I168" s="89"/>
    </row>
    <row r="169">
      <c r="A169" s="3"/>
      <c r="B169" s="88"/>
      <c r="C169" s="88"/>
      <c r="D169" s="89"/>
      <c r="E169" s="88"/>
      <c r="F169" s="3"/>
      <c r="G169" s="88"/>
      <c r="H169" s="88"/>
      <c r="I169" s="89"/>
    </row>
    <row r="170">
      <c r="A170" s="3"/>
      <c r="B170" s="88"/>
      <c r="C170" s="88"/>
      <c r="D170" s="89"/>
      <c r="E170" s="88"/>
      <c r="F170" s="3"/>
      <c r="G170" s="88"/>
      <c r="H170" s="88"/>
      <c r="I170" s="89"/>
    </row>
    <row r="171">
      <c r="A171" s="3"/>
      <c r="B171" s="88"/>
      <c r="C171" s="88"/>
      <c r="D171" s="89"/>
      <c r="E171" s="88"/>
      <c r="F171" s="3"/>
      <c r="G171" s="88"/>
      <c r="H171" s="88"/>
      <c r="I171" s="89"/>
    </row>
    <row r="172">
      <c r="A172" s="3"/>
      <c r="B172" s="88"/>
      <c r="C172" s="88"/>
      <c r="D172" s="89"/>
      <c r="E172" s="88"/>
      <c r="F172" s="3"/>
      <c r="G172" s="88"/>
      <c r="H172" s="88"/>
      <c r="I172" s="89"/>
    </row>
    <row r="173">
      <c r="A173" s="3"/>
      <c r="B173" s="88"/>
      <c r="C173" s="88"/>
      <c r="D173" s="89"/>
      <c r="E173" s="88"/>
      <c r="F173" s="3"/>
      <c r="G173" s="88"/>
      <c r="H173" s="88"/>
      <c r="I173" s="89"/>
    </row>
    <row r="174">
      <c r="A174" s="3"/>
      <c r="B174" s="88"/>
      <c r="C174" s="88"/>
      <c r="D174" s="89"/>
      <c r="E174" s="88"/>
      <c r="F174" s="3"/>
      <c r="G174" s="88"/>
      <c r="H174" s="88"/>
      <c r="I174" s="89"/>
    </row>
    <row r="175">
      <c r="A175" s="3"/>
      <c r="B175" s="88"/>
      <c r="C175" s="88"/>
      <c r="D175" s="89"/>
      <c r="E175" s="88"/>
      <c r="F175" s="3"/>
      <c r="G175" s="88"/>
      <c r="H175" s="88"/>
      <c r="I175" s="89"/>
    </row>
    <row r="176">
      <c r="A176" s="3"/>
      <c r="B176" s="88"/>
      <c r="C176" s="88"/>
      <c r="D176" s="89"/>
      <c r="E176" s="88"/>
      <c r="F176" s="3"/>
      <c r="G176" s="88"/>
      <c r="H176" s="88"/>
      <c r="I176" s="89"/>
    </row>
    <row r="177">
      <c r="A177" s="3"/>
      <c r="B177" s="88"/>
      <c r="C177" s="88"/>
      <c r="D177" s="89"/>
      <c r="E177" s="88"/>
      <c r="F177" s="3"/>
      <c r="G177" s="88"/>
      <c r="H177" s="88"/>
      <c r="I177" s="89"/>
    </row>
    <row r="178">
      <c r="A178" s="3"/>
      <c r="B178" s="88"/>
      <c r="C178" s="88"/>
      <c r="D178" s="89"/>
      <c r="E178" s="88"/>
      <c r="F178" s="3"/>
      <c r="G178" s="88"/>
      <c r="H178" s="88"/>
      <c r="I178" s="89"/>
    </row>
    <row r="179">
      <c r="A179" s="3"/>
      <c r="B179" s="88"/>
      <c r="C179" s="88"/>
      <c r="D179" s="89"/>
      <c r="E179" s="88"/>
      <c r="F179" s="3"/>
      <c r="G179" s="88"/>
      <c r="H179" s="88"/>
      <c r="I179" s="89"/>
    </row>
    <row r="180">
      <c r="A180" s="3"/>
      <c r="B180" s="88"/>
      <c r="C180" s="88"/>
      <c r="D180" s="89"/>
      <c r="E180" s="88"/>
      <c r="F180" s="3"/>
      <c r="G180" s="88"/>
      <c r="H180" s="88"/>
      <c r="I180" s="89"/>
    </row>
    <row r="181">
      <c r="A181" s="3"/>
      <c r="B181" s="88"/>
      <c r="C181" s="88"/>
      <c r="D181" s="89"/>
      <c r="E181" s="88"/>
      <c r="F181" s="3"/>
      <c r="G181" s="88"/>
      <c r="H181" s="88"/>
      <c r="I181" s="89"/>
    </row>
    <row r="182">
      <c r="A182" s="3"/>
      <c r="B182" s="88"/>
      <c r="C182" s="88"/>
      <c r="D182" s="89"/>
      <c r="E182" s="88"/>
      <c r="F182" s="3"/>
      <c r="G182" s="88"/>
      <c r="H182" s="88"/>
      <c r="I182" s="89"/>
    </row>
    <row r="183">
      <c r="A183" s="3"/>
      <c r="B183" s="88"/>
      <c r="C183" s="88"/>
      <c r="D183" s="89"/>
      <c r="E183" s="88"/>
      <c r="F183" s="3"/>
      <c r="G183" s="88"/>
      <c r="H183" s="88"/>
      <c r="I183" s="89"/>
    </row>
    <row r="184">
      <c r="A184" s="3"/>
      <c r="B184" s="88"/>
      <c r="C184" s="88"/>
      <c r="D184" s="89"/>
      <c r="E184" s="88"/>
      <c r="F184" s="3"/>
      <c r="G184" s="88"/>
      <c r="H184" s="88"/>
      <c r="I184" s="89"/>
    </row>
    <row r="185">
      <c r="A185" s="3"/>
      <c r="B185" s="88"/>
      <c r="C185" s="88"/>
      <c r="D185" s="89"/>
      <c r="E185" s="88"/>
      <c r="F185" s="3"/>
      <c r="G185" s="88"/>
      <c r="H185" s="88"/>
      <c r="I185" s="89"/>
    </row>
    <row r="186">
      <c r="A186" s="3"/>
      <c r="B186" s="88"/>
      <c r="C186" s="88"/>
      <c r="D186" s="89"/>
      <c r="E186" s="88"/>
      <c r="F186" s="3"/>
      <c r="G186" s="88"/>
      <c r="H186" s="88"/>
      <c r="I186" s="89"/>
    </row>
    <row r="187">
      <c r="A187" s="3"/>
      <c r="B187" s="88"/>
      <c r="C187" s="88"/>
      <c r="D187" s="89"/>
      <c r="E187" s="88"/>
      <c r="F187" s="3"/>
      <c r="G187" s="88"/>
      <c r="H187" s="88"/>
      <c r="I187" s="89"/>
    </row>
    <row r="188">
      <c r="A188" s="3"/>
      <c r="B188" s="88"/>
      <c r="C188" s="88"/>
      <c r="D188" s="89"/>
      <c r="E188" s="88"/>
      <c r="F188" s="3"/>
      <c r="G188" s="88"/>
      <c r="H188" s="88"/>
      <c r="I188" s="89"/>
    </row>
    <row r="189">
      <c r="A189" s="3"/>
      <c r="B189" s="88"/>
      <c r="C189" s="88"/>
      <c r="D189" s="89"/>
      <c r="E189" s="88"/>
      <c r="F189" s="3"/>
      <c r="G189" s="88"/>
      <c r="H189" s="88"/>
      <c r="I189" s="89"/>
    </row>
    <row r="190">
      <c r="A190" s="3"/>
      <c r="B190" s="88"/>
      <c r="C190" s="88"/>
      <c r="D190" s="89"/>
      <c r="E190" s="88"/>
      <c r="F190" s="3"/>
      <c r="G190" s="88"/>
      <c r="H190" s="88"/>
      <c r="I190" s="89"/>
    </row>
    <row r="191">
      <c r="A191" s="3"/>
      <c r="B191" s="88"/>
      <c r="C191" s="88"/>
      <c r="D191" s="89"/>
      <c r="E191" s="88"/>
      <c r="F191" s="3"/>
      <c r="G191" s="88"/>
      <c r="H191" s="88"/>
      <c r="I191" s="89"/>
    </row>
    <row r="192">
      <c r="A192" s="3"/>
      <c r="B192" s="88"/>
      <c r="C192" s="88"/>
      <c r="D192" s="89"/>
      <c r="E192" s="88"/>
      <c r="F192" s="3"/>
      <c r="G192" s="88"/>
      <c r="H192" s="88"/>
      <c r="I192" s="89"/>
    </row>
    <row r="193">
      <c r="A193" s="3"/>
      <c r="B193" s="88"/>
      <c r="C193" s="88"/>
      <c r="D193" s="89"/>
      <c r="E193" s="88"/>
      <c r="F193" s="3"/>
      <c r="G193" s="88"/>
      <c r="H193" s="88"/>
      <c r="I193" s="89"/>
    </row>
    <row r="194">
      <c r="A194" s="3"/>
      <c r="B194" s="88"/>
      <c r="C194" s="88"/>
      <c r="D194" s="89"/>
      <c r="E194" s="88"/>
      <c r="F194" s="3"/>
      <c r="G194" s="88"/>
      <c r="H194" s="88"/>
      <c r="I194" s="89"/>
    </row>
    <row r="195">
      <c r="A195" s="3"/>
      <c r="B195" s="88"/>
      <c r="C195" s="88"/>
      <c r="D195" s="89"/>
      <c r="E195" s="88"/>
      <c r="F195" s="3"/>
      <c r="G195" s="88"/>
      <c r="H195" s="88"/>
      <c r="I195" s="89"/>
    </row>
    <row r="196">
      <c r="A196" s="3"/>
      <c r="B196" s="88"/>
      <c r="C196" s="88"/>
      <c r="D196" s="89"/>
      <c r="E196" s="88"/>
      <c r="F196" s="3"/>
      <c r="G196" s="88"/>
      <c r="H196" s="88"/>
      <c r="I196" s="89"/>
    </row>
    <row r="197">
      <c r="A197" s="3"/>
      <c r="B197" s="88"/>
      <c r="C197" s="88"/>
      <c r="D197" s="89"/>
      <c r="E197" s="88"/>
      <c r="F197" s="3"/>
      <c r="G197" s="88"/>
      <c r="H197" s="88"/>
      <c r="I197" s="89"/>
    </row>
    <row r="198">
      <c r="A198" s="3"/>
      <c r="B198" s="88"/>
      <c r="C198" s="88"/>
      <c r="D198" s="89"/>
      <c r="E198" s="88"/>
      <c r="F198" s="3"/>
      <c r="G198" s="88"/>
      <c r="H198" s="88"/>
      <c r="I198" s="89"/>
    </row>
    <row r="199">
      <c r="A199" s="3"/>
      <c r="B199" s="88"/>
      <c r="C199" s="88"/>
      <c r="D199" s="89"/>
      <c r="E199" s="88"/>
      <c r="F199" s="3"/>
      <c r="G199" s="88"/>
      <c r="H199" s="88"/>
      <c r="I199" s="89"/>
    </row>
    <row r="200">
      <c r="A200" s="3"/>
      <c r="B200" s="88"/>
      <c r="C200" s="88"/>
      <c r="D200" s="89"/>
      <c r="E200" s="88"/>
      <c r="F200" s="3"/>
      <c r="G200" s="88"/>
      <c r="H200" s="88"/>
      <c r="I200" s="89"/>
    </row>
    <row r="201">
      <c r="A201" s="3"/>
      <c r="B201" s="88"/>
      <c r="C201" s="88"/>
      <c r="D201" s="89"/>
      <c r="E201" s="88"/>
      <c r="F201" s="3"/>
      <c r="G201" s="88"/>
      <c r="H201" s="88"/>
      <c r="I201" s="89"/>
    </row>
    <row r="202">
      <c r="A202" s="3"/>
      <c r="B202" s="88"/>
      <c r="C202" s="88"/>
      <c r="D202" s="89"/>
      <c r="E202" s="88"/>
      <c r="F202" s="3"/>
      <c r="G202" s="88"/>
      <c r="H202" s="88"/>
      <c r="I202" s="89"/>
    </row>
    <row r="203">
      <c r="A203" s="3"/>
      <c r="B203" s="88"/>
      <c r="C203" s="88"/>
      <c r="D203" s="89"/>
      <c r="E203" s="88"/>
      <c r="F203" s="3"/>
      <c r="G203" s="88"/>
      <c r="H203" s="88"/>
      <c r="I203" s="89"/>
    </row>
    <row r="204">
      <c r="A204" s="3"/>
      <c r="B204" s="88"/>
      <c r="C204" s="88"/>
      <c r="D204" s="89"/>
      <c r="E204" s="88"/>
      <c r="F204" s="3"/>
      <c r="G204" s="88"/>
      <c r="H204" s="88"/>
      <c r="I204" s="89"/>
    </row>
    <row r="205">
      <c r="A205" s="3"/>
      <c r="B205" s="88"/>
      <c r="C205" s="88"/>
      <c r="D205" s="89"/>
      <c r="E205" s="88"/>
      <c r="F205" s="3"/>
      <c r="G205" s="88"/>
      <c r="H205" s="88"/>
      <c r="I205" s="89"/>
    </row>
    <row r="206">
      <c r="A206" s="3"/>
      <c r="B206" s="88"/>
      <c r="C206" s="88"/>
      <c r="D206" s="89"/>
      <c r="E206" s="88"/>
      <c r="F206" s="3"/>
      <c r="G206" s="88"/>
      <c r="H206" s="88"/>
      <c r="I206" s="89"/>
    </row>
    <row r="207">
      <c r="A207" s="3"/>
      <c r="B207" s="88"/>
      <c r="C207" s="88"/>
      <c r="D207" s="89"/>
      <c r="E207" s="88"/>
      <c r="F207" s="3"/>
      <c r="G207" s="88"/>
      <c r="H207" s="88"/>
      <c r="I207" s="89"/>
    </row>
    <row r="208">
      <c r="A208" s="3"/>
      <c r="B208" s="88"/>
      <c r="C208" s="88"/>
      <c r="D208" s="89"/>
      <c r="E208" s="88"/>
      <c r="F208" s="3"/>
      <c r="G208" s="88"/>
      <c r="H208" s="88"/>
      <c r="I208" s="89"/>
    </row>
    <row r="209">
      <c r="A209" s="3"/>
      <c r="B209" s="88"/>
      <c r="C209" s="88"/>
      <c r="D209" s="89"/>
      <c r="E209" s="88"/>
      <c r="F209" s="3"/>
      <c r="G209" s="88"/>
      <c r="H209" s="88"/>
      <c r="I209" s="89"/>
    </row>
    <row r="210">
      <c r="A210" s="3"/>
      <c r="B210" s="88"/>
      <c r="C210" s="88"/>
      <c r="D210" s="89"/>
      <c r="E210" s="88"/>
      <c r="F210" s="3"/>
      <c r="G210" s="88"/>
      <c r="H210" s="88"/>
      <c r="I210" s="89"/>
    </row>
    <row r="211">
      <c r="A211" s="3"/>
      <c r="B211" s="88"/>
      <c r="C211" s="88"/>
      <c r="D211" s="89"/>
      <c r="E211" s="88"/>
      <c r="F211" s="3"/>
      <c r="G211" s="88"/>
      <c r="H211" s="88"/>
      <c r="I211" s="89"/>
    </row>
    <row r="212">
      <c r="A212" s="3"/>
      <c r="B212" s="88"/>
      <c r="C212" s="88"/>
      <c r="D212" s="89"/>
      <c r="E212" s="88"/>
      <c r="F212" s="3"/>
      <c r="G212" s="88"/>
      <c r="H212" s="88"/>
      <c r="I212" s="89"/>
    </row>
    <row r="213">
      <c r="A213" s="3"/>
      <c r="B213" s="88"/>
      <c r="C213" s="88"/>
      <c r="D213" s="89"/>
      <c r="E213" s="88"/>
      <c r="F213" s="3"/>
      <c r="G213" s="88"/>
      <c r="H213" s="88"/>
      <c r="I213" s="89"/>
    </row>
    <row r="214">
      <c r="A214" s="3"/>
      <c r="B214" s="88"/>
      <c r="C214" s="88"/>
      <c r="D214" s="89"/>
      <c r="E214" s="88"/>
      <c r="F214" s="3"/>
      <c r="G214" s="88"/>
      <c r="H214" s="88"/>
      <c r="I214" s="89"/>
    </row>
    <row r="215">
      <c r="A215" s="3"/>
      <c r="B215" s="88"/>
      <c r="C215" s="88"/>
      <c r="D215" s="89"/>
      <c r="E215" s="88"/>
      <c r="F215" s="3"/>
      <c r="G215" s="88"/>
      <c r="H215" s="88"/>
      <c r="I215" s="89"/>
    </row>
    <row r="216">
      <c r="A216" s="3"/>
      <c r="B216" s="88"/>
      <c r="C216" s="88"/>
      <c r="D216" s="89"/>
      <c r="E216" s="88"/>
      <c r="F216" s="3"/>
      <c r="G216" s="88"/>
      <c r="H216" s="88"/>
      <c r="I216" s="89"/>
    </row>
    <row r="217">
      <c r="A217" s="3"/>
      <c r="B217" s="88"/>
      <c r="C217" s="88"/>
      <c r="D217" s="89"/>
      <c r="E217" s="88"/>
      <c r="F217" s="3"/>
      <c r="G217" s="88"/>
      <c r="H217" s="88"/>
      <c r="I217" s="89"/>
    </row>
    <row r="218">
      <c r="A218" s="3"/>
      <c r="B218" s="88"/>
      <c r="C218" s="88"/>
      <c r="D218" s="89"/>
      <c r="E218" s="88"/>
      <c r="F218" s="3"/>
      <c r="G218" s="88"/>
      <c r="H218" s="88"/>
      <c r="I218" s="89"/>
    </row>
    <row r="219">
      <c r="A219" s="3"/>
      <c r="B219" s="88"/>
      <c r="C219" s="88"/>
      <c r="D219" s="89"/>
      <c r="E219" s="88"/>
      <c r="F219" s="3"/>
      <c r="G219" s="88"/>
      <c r="H219" s="88"/>
      <c r="I219" s="89"/>
    </row>
    <row r="220">
      <c r="A220" s="3"/>
      <c r="B220" s="88"/>
      <c r="C220" s="88"/>
      <c r="D220" s="89"/>
      <c r="E220" s="88"/>
      <c r="F220" s="3"/>
      <c r="G220" s="88"/>
      <c r="H220" s="88"/>
      <c r="I220" s="89"/>
    </row>
    <row r="221">
      <c r="A221" s="3"/>
      <c r="B221" s="88"/>
      <c r="C221" s="88"/>
      <c r="D221" s="89"/>
      <c r="E221" s="88"/>
      <c r="F221" s="3"/>
      <c r="G221" s="88"/>
      <c r="H221" s="88"/>
      <c r="I221" s="89"/>
    </row>
    <row r="222">
      <c r="A222" s="3"/>
      <c r="B222" s="88"/>
      <c r="C222" s="88"/>
      <c r="D222" s="89"/>
      <c r="E222" s="88"/>
      <c r="F222" s="3"/>
      <c r="G222" s="88"/>
      <c r="H222" s="88"/>
      <c r="I222" s="89"/>
    </row>
    <row r="223">
      <c r="A223" s="3"/>
      <c r="B223" s="88"/>
      <c r="C223" s="88"/>
      <c r="D223" s="89"/>
      <c r="E223" s="88"/>
      <c r="F223" s="3"/>
      <c r="G223" s="88"/>
      <c r="H223" s="88"/>
      <c r="I223" s="89"/>
    </row>
    <row r="224">
      <c r="A224" s="3"/>
      <c r="B224" s="88"/>
      <c r="C224" s="88"/>
      <c r="D224" s="89"/>
      <c r="E224" s="88"/>
      <c r="F224" s="3"/>
      <c r="G224" s="88"/>
      <c r="H224" s="88"/>
      <c r="I224" s="89"/>
    </row>
    <row r="225">
      <c r="A225" s="3"/>
      <c r="B225" s="88"/>
      <c r="C225" s="88"/>
      <c r="D225" s="89"/>
      <c r="E225" s="88"/>
      <c r="F225" s="3"/>
      <c r="G225" s="88"/>
      <c r="H225" s="88"/>
      <c r="I225" s="89"/>
    </row>
    <row r="226">
      <c r="A226" s="3"/>
      <c r="B226" s="88"/>
      <c r="C226" s="88"/>
      <c r="D226" s="89"/>
      <c r="E226" s="88"/>
      <c r="F226" s="3"/>
      <c r="G226" s="88"/>
      <c r="H226" s="88"/>
      <c r="I226" s="89"/>
    </row>
    <row r="227">
      <c r="A227" s="3"/>
      <c r="B227" s="88"/>
      <c r="C227" s="88"/>
      <c r="D227" s="89"/>
      <c r="E227" s="88"/>
      <c r="F227" s="3"/>
      <c r="G227" s="88"/>
      <c r="H227" s="88"/>
      <c r="I227" s="89"/>
    </row>
    <row r="228">
      <c r="A228" s="3"/>
      <c r="B228" s="88"/>
      <c r="C228" s="88"/>
      <c r="D228" s="89"/>
      <c r="E228" s="88"/>
      <c r="F228" s="3"/>
      <c r="G228" s="88"/>
      <c r="H228" s="88"/>
      <c r="I228" s="89"/>
    </row>
    <row r="229">
      <c r="A229" s="3"/>
      <c r="B229" s="88"/>
      <c r="C229" s="88"/>
      <c r="D229" s="89"/>
      <c r="E229" s="88"/>
      <c r="F229" s="3"/>
      <c r="G229" s="88"/>
      <c r="H229" s="88"/>
      <c r="I229" s="89"/>
    </row>
    <row r="230">
      <c r="A230" s="3"/>
      <c r="B230" s="88"/>
      <c r="C230" s="88"/>
      <c r="D230" s="89"/>
      <c r="E230" s="88"/>
      <c r="F230" s="3"/>
      <c r="G230" s="88"/>
      <c r="H230" s="88"/>
      <c r="I230" s="89"/>
    </row>
    <row r="231">
      <c r="A231" s="3"/>
      <c r="B231" s="88"/>
      <c r="C231" s="88"/>
      <c r="D231" s="89"/>
      <c r="E231" s="88"/>
      <c r="F231" s="3"/>
      <c r="G231" s="88"/>
      <c r="H231" s="88"/>
      <c r="I231" s="89"/>
    </row>
    <row r="232">
      <c r="A232" s="3"/>
      <c r="B232" s="88"/>
      <c r="C232" s="88"/>
      <c r="D232" s="89"/>
      <c r="E232" s="88"/>
      <c r="F232" s="3"/>
      <c r="G232" s="88"/>
      <c r="H232" s="88"/>
      <c r="I232" s="89"/>
    </row>
    <row r="233">
      <c r="A233" s="3"/>
      <c r="B233" s="88"/>
      <c r="C233" s="88"/>
      <c r="D233" s="89"/>
      <c r="E233" s="88"/>
      <c r="F233" s="3"/>
      <c r="G233" s="88"/>
      <c r="H233" s="88"/>
      <c r="I233" s="89"/>
    </row>
    <row r="234">
      <c r="A234" s="3"/>
      <c r="B234" s="88"/>
      <c r="C234" s="88"/>
      <c r="D234" s="89"/>
      <c r="E234" s="88"/>
      <c r="F234" s="3"/>
      <c r="G234" s="88"/>
      <c r="H234" s="88"/>
      <c r="I234" s="89"/>
    </row>
    <row r="235">
      <c r="A235" s="3"/>
      <c r="B235" s="88"/>
      <c r="C235" s="88"/>
      <c r="D235" s="89"/>
      <c r="E235" s="88"/>
      <c r="F235" s="3"/>
      <c r="G235" s="88"/>
      <c r="H235" s="88"/>
      <c r="I235" s="89"/>
    </row>
    <row r="236">
      <c r="A236" s="3"/>
      <c r="B236" s="88"/>
      <c r="C236" s="88"/>
      <c r="D236" s="89"/>
      <c r="E236" s="88"/>
      <c r="F236" s="3"/>
      <c r="G236" s="88"/>
      <c r="H236" s="88"/>
      <c r="I236" s="89"/>
    </row>
    <row r="237">
      <c r="A237" s="3"/>
      <c r="B237" s="88"/>
      <c r="C237" s="88"/>
      <c r="D237" s="89"/>
      <c r="E237" s="88"/>
      <c r="F237" s="3"/>
      <c r="G237" s="88"/>
      <c r="H237" s="88"/>
      <c r="I237" s="89"/>
    </row>
    <row r="238">
      <c r="A238" s="3"/>
      <c r="B238" s="88"/>
      <c r="C238" s="88"/>
      <c r="D238" s="89"/>
      <c r="E238" s="88"/>
      <c r="F238" s="3"/>
      <c r="G238" s="88"/>
      <c r="H238" s="88"/>
      <c r="I238" s="89"/>
    </row>
    <row r="239">
      <c r="A239" s="3"/>
      <c r="B239" s="88"/>
      <c r="C239" s="88"/>
      <c r="D239" s="89"/>
      <c r="E239" s="88"/>
      <c r="F239" s="3"/>
      <c r="G239" s="88"/>
      <c r="H239" s="88"/>
      <c r="I239" s="89"/>
    </row>
    <row r="240">
      <c r="A240" s="3"/>
      <c r="B240" s="88"/>
      <c r="C240" s="88"/>
      <c r="D240" s="89"/>
      <c r="E240" s="88"/>
      <c r="F240" s="3"/>
      <c r="G240" s="88"/>
      <c r="H240" s="88"/>
      <c r="I240" s="89"/>
    </row>
    <row r="241">
      <c r="A241" s="3"/>
      <c r="B241" s="88"/>
      <c r="C241" s="88"/>
      <c r="D241" s="89"/>
      <c r="E241" s="88"/>
      <c r="F241" s="3"/>
      <c r="G241" s="88"/>
      <c r="H241" s="88"/>
      <c r="I241" s="89"/>
    </row>
    <row r="242">
      <c r="A242" s="3"/>
      <c r="B242" s="88"/>
      <c r="C242" s="88"/>
      <c r="D242" s="89"/>
      <c r="E242" s="88"/>
      <c r="F242" s="3"/>
      <c r="G242" s="88"/>
      <c r="H242" s="88"/>
      <c r="I242" s="89"/>
    </row>
    <row r="243">
      <c r="A243" s="3"/>
      <c r="B243" s="88"/>
      <c r="C243" s="88"/>
      <c r="D243" s="89"/>
      <c r="E243" s="88"/>
      <c r="F243" s="3"/>
      <c r="G243" s="88"/>
      <c r="H243" s="88"/>
      <c r="I243" s="89"/>
    </row>
    <row r="244">
      <c r="A244" s="3"/>
      <c r="B244" s="88"/>
      <c r="C244" s="88"/>
      <c r="D244" s="89"/>
      <c r="E244" s="88"/>
      <c r="F244" s="3"/>
      <c r="G244" s="88"/>
      <c r="H244" s="88"/>
      <c r="I244" s="89"/>
    </row>
    <row r="245">
      <c r="A245" s="3"/>
      <c r="B245" s="88"/>
      <c r="C245" s="88"/>
      <c r="D245" s="89"/>
      <c r="E245" s="88"/>
      <c r="F245" s="3"/>
      <c r="G245" s="88"/>
      <c r="H245" s="88"/>
      <c r="I245" s="89"/>
    </row>
    <row r="246">
      <c r="A246" s="3"/>
      <c r="B246" s="88"/>
      <c r="C246" s="88"/>
      <c r="D246" s="89"/>
      <c r="E246" s="88"/>
      <c r="F246" s="3"/>
      <c r="G246" s="88"/>
      <c r="H246" s="88"/>
      <c r="I246" s="89"/>
    </row>
    <row r="247">
      <c r="A247" s="3"/>
      <c r="B247" s="88"/>
      <c r="C247" s="88"/>
      <c r="D247" s="89"/>
      <c r="E247" s="88"/>
      <c r="F247" s="3"/>
      <c r="G247" s="88"/>
      <c r="H247" s="88"/>
      <c r="I247" s="89"/>
    </row>
    <row r="248">
      <c r="A248" s="3"/>
      <c r="B248" s="88"/>
      <c r="C248" s="88"/>
      <c r="D248" s="89"/>
      <c r="E248" s="88"/>
      <c r="F248" s="3"/>
      <c r="G248" s="88"/>
      <c r="H248" s="88"/>
      <c r="I248" s="89"/>
    </row>
    <row r="249">
      <c r="A249" s="3"/>
      <c r="B249" s="88"/>
      <c r="C249" s="88"/>
      <c r="D249" s="89"/>
      <c r="E249" s="88"/>
      <c r="F249" s="3"/>
      <c r="G249" s="88"/>
      <c r="H249" s="88"/>
      <c r="I249" s="89"/>
    </row>
    <row r="250">
      <c r="A250" s="3"/>
      <c r="B250" s="88"/>
      <c r="C250" s="88"/>
      <c r="D250" s="89"/>
      <c r="E250" s="88"/>
      <c r="F250" s="3"/>
      <c r="G250" s="88"/>
      <c r="H250" s="88"/>
      <c r="I250" s="89"/>
    </row>
    <row r="251">
      <c r="A251" s="3"/>
      <c r="B251" s="88"/>
      <c r="C251" s="88"/>
      <c r="D251" s="89"/>
      <c r="E251" s="88"/>
      <c r="F251" s="3"/>
      <c r="G251" s="88"/>
      <c r="H251" s="88"/>
      <c r="I251" s="89"/>
    </row>
    <row r="252">
      <c r="A252" s="3"/>
      <c r="B252" s="88"/>
      <c r="C252" s="88"/>
      <c r="D252" s="89"/>
      <c r="E252" s="88"/>
      <c r="F252" s="3"/>
      <c r="G252" s="88"/>
      <c r="H252" s="88"/>
      <c r="I252" s="89"/>
    </row>
    <row r="253">
      <c r="A253" s="3"/>
      <c r="B253" s="88"/>
      <c r="C253" s="88"/>
      <c r="D253" s="89"/>
      <c r="E253" s="88"/>
      <c r="F253" s="3"/>
      <c r="G253" s="88"/>
      <c r="H253" s="88"/>
      <c r="I253" s="89"/>
    </row>
    <row r="254">
      <c r="A254" s="3"/>
      <c r="B254" s="88"/>
      <c r="C254" s="88"/>
      <c r="D254" s="89"/>
      <c r="E254" s="88"/>
      <c r="F254" s="3"/>
      <c r="G254" s="88"/>
      <c r="H254" s="88"/>
      <c r="I254" s="89"/>
    </row>
    <row r="255">
      <c r="A255" s="3"/>
      <c r="B255" s="88"/>
      <c r="C255" s="88"/>
      <c r="D255" s="89"/>
      <c r="E255" s="88"/>
      <c r="F255" s="3"/>
      <c r="G255" s="88"/>
      <c r="H255" s="88"/>
      <c r="I255" s="89"/>
    </row>
    <row r="256">
      <c r="A256" s="3"/>
      <c r="B256" s="88"/>
      <c r="C256" s="88"/>
      <c r="D256" s="89"/>
      <c r="E256" s="88"/>
      <c r="F256" s="3"/>
      <c r="G256" s="88"/>
      <c r="H256" s="88"/>
      <c r="I256" s="89"/>
    </row>
    <row r="257">
      <c r="A257" s="3"/>
      <c r="B257" s="88"/>
      <c r="C257" s="88"/>
      <c r="D257" s="89"/>
      <c r="E257" s="88"/>
      <c r="F257" s="3"/>
      <c r="G257" s="88"/>
      <c r="H257" s="88"/>
      <c r="I257" s="89"/>
    </row>
    <row r="258">
      <c r="A258" s="3"/>
      <c r="B258" s="88"/>
      <c r="C258" s="88"/>
      <c r="D258" s="89"/>
      <c r="E258" s="88"/>
      <c r="F258" s="3"/>
      <c r="G258" s="88"/>
      <c r="H258" s="88"/>
      <c r="I258" s="89"/>
    </row>
    <row r="259">
      <c r="A259" s="3"/>
      <c r="B259" s="88"/>
      <c r="C259" s="88"/>
      <c r="D259" s="89"/>
      <c r="E259" s="88"/>
      <c r="F259" s="3"/>
      <c r="G259" s="88"/>
      <c r="H259" s="88"/>
      <c r="I259" s="89"/>
    </row>
    <row r="260">
      <c r="A260" s="3"/>
      <c r="B260" s="88"/>
      <c r="C260" s="88"/>
      <c r="D260" s="89"/>
      <c r="E260" s="88"/>
      <c r="F260" s="3"/>
      <c r="G260" s="88"/>
      <c r="H260" s="88"/>
      <c r="I260" s="89"/>
    </row>
    <row r="261">
      <c r="A261" s="3"/>
      <c r="B261" s="88"/>
      <c r="C261" s="88"/>
      <c r="D261" s="89"/>
      <c r="E261" s="88"/>
      <c r="F261" s="3"/>
      <c r="G261" s="88"/>
      <c r="H261" s="88"/>
      <c r="I261" s="89"/>
    </row>
    <row r="262">
      <c r="A262" s="3"/>
      <c r="B262" s="88"/>
      <c r="C262" s="88"/>
      <c r="D262" s="89"/>
      <c r="E262" s="88"/>
      <c r="F262" s="3"/>
      <c r="G262" s="88"/>
      <c r="H262" s="88"/>
      <c r="I262" s="89"/>
    </row>
    <row r="263">
      <c r="A263" s="3"/>
      <c r="B263" s="88"/>
      <c r="C263" s="88"/>
      <c r="D263" s="89"/>
      <c r="E263" s="88"/>
      <c r="F263" s="3"/>
      <c r="G263" s="88"/>
      <c r="H263" s="88"/>
      <c r="I263" s="89"/>
    </row>
    <row r="264">
      <c r="A264" s="3"/>
      <c r="B264" s="88"/>
      <c r="C264" s="88"/>
      <c r="D264" s="89"/>
      <c r="E264" s="88"/>
      <c r="F264" s="3"/>
      <c r="G264" s="88"/>
      <c r="H264" s="88"/>
      <c r="I264" s="89"/>
    </row>
    <row r="265">
      <c r="A265" s="3"/>
      <c r="B265" s="88"/>
      <c r="C265" s="88"/>
      <c r="D265" s="89"/>
      <c r="E265" s="88"/>
      <c r="F265" s="3"/>
      <c r="G265" s="88"/>
      <c r="H265" s="88"/>
      <c r="I265" s="89"/>
    </row>
    <row r="266">
      <c r="A266" s="3"/>
      <c r="B266" s="88"/>
      <c r="C266" s="88"/>
      <c r="D266" s="89"/>
      <c r="E266" s="88"/>
      <c r="F266" s="3"/>
      <c r="G266" s="88"/>
      <c r="H266" s="88"/>
      <c r="I266" s="89"/>
    </row>
    <row r="267">
      <c r="A267" s="3"/>
      <c r="B267" s="88"/>
      <c r="C267" s="88"/>
      <c r="D267" s="89"/>
      <c r="E267" s="88"/>
      <c r="F267" s="3"/>
      <c r="G267" s="88"/>
      <c r="H267" s="88"/>
      <c r="I267" s="89"/>
    </row>
    <row r="268">
      <c r="A268" s="3"/>
      <c r="B268" s="88"/>
      <c r="C268" s="88"/>
      <c r="D268" s="89"/>
      <c r="E268" s="88"/>
      <c r="F268" s="3"/>
      <c r="G268" s="88"/>
      <c r="H268" s="88"/>
      <c r="I268" s="89"/>
    </row>
    <row r="269">
      <c r="A269" s="3"/>
      <c r="B269" s="88"/>
      <c r="C269" s="88"/>
      <c r="D269" s="89"/>
      <c r="E269" s="88"/>
      <c r="F269" s="3"/>
      <c r="G269" s="88"/>
      <c r="H269" s="88"/>
      <c r="I269" s="89"/>
    </row>
    <row r="270">
      <c r="A270" s="3"/>
      <c r="B270" s="88"/>
      <c r="C270" s="88"/>
      <c r="D270" s="89"/>
      <c r="E270" s="88"/>
      <c r="F270" s="3"/>
      <c r="G270" s="88"/>
      <c r="H270" s="88"/>
      <c r="I270" s="89"/>
    </row>
    <row r="271">
      <c r="A271" s="3"/>
      <c r="B271" s="88"/>
      <c r="C271" s="88"/>
      <c r="D271" s="89"/>
      <c r="E271" s="88"/>
      <c r="F271" s="3"/>
      <c r="G271" s="88"/>
      <c r="H271" s="88"/>
      <c r="I271" s="89"/>
    </row>
    <row r="272">
      <c r="A272" s="3"/>
      <c r="B272" s="88"/>
      <c r="C272" s="88"/>
      <c r="D272" s="89"/>
      <c r="E272" s="88"/>
      <c r="F272" s="3"/>
      <c r="G272" s="88"/>
      <c r="H272" s="88"/>
      <c r="I272" s="89"/>
    </row>
    <row r="273">
      <c r="A273" s="3"/>
      <c r="B273" s="88"/>
      <c r="C273" s="88"/>
      <c r="D273" s="89"/>
      <c r="E273" s="88"/>
      <c r="F273" s="3"/>
      <c r="G273" s="88"/>
      <c r="H273" s="88"/>
      <c r="I273" s="89"/>
    </row>
    <row r="274">
      <c r="A274" s="3"/>
      <c r="B274" s="88"/>
      <c r="C274" s="88"/>
      <c r="D274" s="89"/>
      <c r="E274" s="88"/>
      <c r="F274" s="3"/>
      <c r="G274" s="88"/>
      <c r="H274" s="88"/>
      <c r="I274" s="89"/>
    </row>
    <row r="275">
      <c r="A275" s="3"/>
      <c r="B275" s="88"/>
      <c r="C275" s="88"/>
      <c r="D275" s="89"/>
      <c r="E275" s="88"/>
      <c r="F275" s="3"/>
      <c r="G275" s="88"/>
      <c r="H275" s="88"/>
      <c r="I275" s="89"/>
    </row>
    <row r="276">
      <c r="A276" s="3"/>
      <c r="B276" s="88"/>
      <c r="C276" s="88"/>
      <c r="D276" s="89"/>
      <c r="E276" s="88"/>
      <c r="F276" s="3"/>
      <c r="G276" s="88"/>
      <c r="H276" s="88"/>
      <c r="I276" s="89"/>
    </row>
    <row r="277">
      <c r="A277" s="3"/>
      <c r="B277" s="88"/>
      <c r="C277" s="88"/>
      <c r="D277" s="89"/>
      <c r="E277" s="88"/>
      <c r="F277" s="3"/>
      <c r="G277" s="88"/>
      <c r="H277" s="88"/>
      <c r="I277" s="89"/>
    </row>
    <row r="278">
      <c r="A278" s="3"/>
      <c r="B278" s="88"/>
      <c r="C278" s="88"/>
      <c r="D278" s="89"/>
      <c r="E278" s="88"/>
      <c r="F278" s="3"/>
      <c r="G278" s="88"/>
      <c r="H278" s="88"/>
      <c r="I278" s="89"/>
    </row>
    <row r="279">
      <c r="A279" s="3"/>
      <c r="B279" s="88"/>
      <c r="C279" s="88"/>
      <c r="D279" s="89"/>
      <c r="E279" s="88"/>
      <c r="F279" s="3"/>
      <c r="G279" s="88"/>
      <c r="H279" s="88"/>
      <c r="I279" s="89"/>
    </row>
    <row r="280">
      <c r="A280" s="3"/>
      <c r="B280" s="88"/>
      <c r="C280" s="88"/>
      <c r="D280" s="89"/>
      <c r="E280" s="88"/>
      <c r="F280" s="3"/>
      <c r="G280" s="88"/>
      <c r="H280" s="88"/>
      <c r="I280" s="89"/>
    </row>
    <row r="281">
      <c r="A281" s="3"/>
      <c r="B281" s="88"/>
      <c r="C281" s="88"/>
      <c r="D281" s="89"/>
      <c r="E281" s="88"/>
      <c r="F281" s="3"/>
      <c r="G281" s="88"/>
      <c r="H281" s="88"/>
      <c r="I281" s="89"/>
    </row>
    <row r="282">
      <c r="A282" s="3"/>
      <c r="B282" s="88"/>
      <c r="C282" s="88"/>
      <c r="D282" s="89"/>
      <c r="E282" s="88"/>
      <c r="F282" s="3"/>
      <c r="G282" s="88"/>
      <c r="H282" s="88"/>
      <c r="I282" s="89"/>
    </row>
    <row r="283">
      <c r="A283" s="3"/>
      <c r="B283" s="88"/>
      <c r="C283" s="88"/>
      <c r="D283" s="89"/>
      <c r="E283" s="88"/>
      <c r="F283" s="3"/>
      <c r="G283" s="88"/>
      <c r="H283" s="88"/>
      <c r="I283" s="89"/>
    </row>
    <row r="284">
      <c r="A284" s="3"/>
      <c r="B284" s="88"/>
      <c r="C284" s="88"/>
      <c r="D284" s="89"/>
      <c r="E284" s="88"/>
      <c r="F284" s="3"/>
      <c r="G284" s="88"/>
      <c r="H284" s="88"/>
      <c r="I284" s="89"/>
    </row>
    <row r="285">
      <c r="A285" s="3"/>
      <c r="B285" s="88"/>
      <c r="C285" s="88"/>
      <c r="D285" s="89"/>
      <c r="E285" s="88"/>
      <c r="F285" s="3"/>
      <c r="G285" s="88"/>
      <c r="H285" s="88"/>
      <c r="I285" s="89"/>
    </row>
    <row r="286">
      <c r="A286" s="3"/>
      <c r="B286" s="88"/>
      <c r="C286" s="88"/>
      <c r="D286" s="89"/>
      <c r="E286" s="88"/>
      <c r="F286" s="3"/>
      <c r="G286" s="88"/>
      <c r="H286" s="88"/>
      <c r="I286" s="89"/>
    </row>
    <row r="287">
      <c r="A287" s="3"/>
      <c r="B287" s="88"/>
      <c r="C287" s="88"/>
      <c r="D287" s="89"/>
      <c r="E287" s="88"/>
      <c r="F287" s="3"/>
      <c r="G287" s="88"/>
      <c r="H287" s="88"/>
      <c r="I287" s="89"/>
    </row>
    <row r="288">
      <c r="A288" s="3"/>
      <c r="B288" s="88"/>
      <c r="C288" s="88"/>
      <c r="D288" s="89"/>
      <c r="E288" s="88"/>
      <c r="F288" s="3"/>
      <c r="G288" s="88"/>
      <c r="H288" s="88"/>
      <c r="I288" s="89"/>
    </row>
    <row r="289">
      <c r="A289" s="3"/>
      <c r="B289" s="88"/>
      <c r="C289" s="88"/>
      <c r="D289" s="89"/>
      <c r="E289" s="88"/>
      <c r="F289" s="3"/>
      <c r="G289" s="88"/>
      <c r="H289" s="88"/>
      <c r="I289" s="89"/>
    </row>
    <row r="290">
      <c r="A290" s="3"/>
      <c r="B290" s="88"/>
      <c r="C290" s="88"/>
      <c r="D290" s="89"/>
      <c r="E290" s="88"/>
      <c r="F290" s="3"/>
      <c r="G290" s="88"/>
      <c r="H290" s="88"/>
      <c r="I290" s="89"/>
    </row>
    <row r="291">
      <c r="A291" s="3"/>
      <c r="B291" s="88"/>
      <c r="C291" s="88"/>
      <c r="D291" s="89"/>
      <c r="E291" s="88"/>
      <c r="F291" s="3"/>
      <c r="G291" s="88"/>
      <c r="H291" s="88"/>
      <c r="I291" s="89"/>
    </row>
    <row r="292">
      <c r="A292" s="3"/>
      <c r="B292" s="88"/>
      <c r="C292" s="88"/>
      <c r="D292" s="89"/>
      <c r="E292" s="88"/>
      <c r="F292" s="3"/>
      <c r="G292" s="88"/>
      <c r="H292" s="88"/>
      <c r="I292" s="89"/>
    </row>
    <row r="293">
      <c r="A293" s="3"/>
      <c r="B293" s="88"/>
      <c r="C293" s="88"/>
      <c r="D293" s="89"/>
      <c r="E293" s="88"/>
      <c r="F293" s="3"/>
      <c r="G293" s="88"/>
      <c r="H293" s="88"/>
      <c r="I293" s="89"/>
    </row>
    <row r="294">
      <c r="A294" s="3"/>
      <c r="B294" s="88"/>
      <c r="C294" s="88"/>
      <c r="D294" s="89"/>
      <c r="E294" s="88"/>
      <c r="F294" s="3"/>
      <c r="G294" s="88"/>
      <c r="H294" s="88"/>
      <c r="I294" s="89"/>
    </row>
    <row r="295">
      <c r="A295" s="3"/>
      <c r="B295" s="88"/>
      <c r="C295" s="88"/>
      <c r="D295" s="89"/>
      <c r="E295" s="88"/>
      <c r="F295" s="3"/>
      <c r="G295" s="88"/>
      <c r="H295" s="88"/>
      <c r="I295" s="89"/>
    </row>
    <row r="296">
      <c r="A296" s="3"/>
      <c r="B296" s="88"/>
      <c r="C296" s="88"/>
      <c r="D296" s="89"/>
      <c r="E296" s="88"/>
      <c r="F296" s="3"/>
      <c r="G296" s="88"/>
      <c r="H296" s="88"/>
      <c r="I296" s="89"/>
    </row>
    <row r="297">
      <c r="A297" s="3"/>
      <c r="B297" s="88"/>
      <c r="C297" s="88"/>
      <c r="D297" s="89"/>
      <c r="E297" s="88"/>
      <c r="F297" s="3"/>
      <c r="G297" s="88"/>
      <c r="H297" s="88"/>
      <c r="I297" s="89"/>
    </row>
    <row r="298">
      <c r="A298" s="3"/>
      <c r="B298" s="88"/>
      <c r="C298" s="88"/>
      <c r="D298" s="89"/>
      <c r="E298" s="88"/>
      <c r="F298" s="3"/>
      <c r="G298" s="88"/>
      <c r="H298" s="88"/>
      <c r="I298" s="89"/>
    </row>
    <row r="299">
      <c r="A299" s="3"/>
      <c r="B299" s="88"/>
      <c r="C299" s="88"/>
      <c r="D299" s="89"/>
      <c r="E299" s="88"/>
      <c r="F299" s="3"/>
      <c r="G299" s="88"/>
      <c r="H299" s="88"/>
      <c r="I299" s="89"/>
    </row>
    <row r="300">
      <c r="A300" s="3"/>
      <c r="B300" s="88"/>
      <c r="C300" s="88"/>
      <c r="D300" s="89"/>
      <c r="E300" s="88"/>
      <c r="F300" s="3"/>
      <c r="G300" s="88"/>
      <c r="H300" s="88"/>
      <c r="I300" s="89"/>
    </row>
    <row r="301">
      <c r="A301" s="3"/>
      <c r="B301" s="88"/>
      <c r="C301" s="88"/>
      <c r="D301" s="89"/>
      <c r="E301" s="88"/>
      <c r="F301" s="3"/>
      <c r="G301" s="88"/>
      <c r="H301" s="88"/>
      <c r="I301" s="89"/>
    </row>
    <row r="302">
      <c r="A302" s="3"/>
      <c r="B302" s="88"/>
      <c r="C302" s="88"/>
      <c r="D302" s="89"/>
      <c r="E302" s="88"/>
      <c r="F302" s="3"/>
      <c r="G302" s="88"/>
      <c r="H302" s="88"/>
      <c r="I302" s="89"/>
    </row>
    <row r="303">
      <c r="A303" s="3"/>
      <c r="B303" s="88"/>
      <c r="C303" s="88"/>
      <c r="D303" s="89"/>
      <c r="E303" s="88"/>
      <c r="F303" s="3"/>
      <c r="G303" s="88"/>
      <c r="H303" s="88"/>
      <c r="I303" s="89"/>
    </row>
    <row r="304">
      <c r="A304" s="3"/>
      <c r="B304" s="88"/>
      <c r="C304" s="88"/>
      <c r="D304" s="89"/>
      <c r="E304" s="88"/>
      <c r="F304" s="3"/>
      <c r="G304" s="88"/>
      <c r="H304" s="88"/>
      <c r="I304" s="89"/>
    </row>
    <row r="305">
      <c r="A305" s="3"/>
      <c r="B305" s="88"/>
      <c r="C305" s="88"/>
      <c r="D305" s="89"/>
      <c r="E305" s="88"/>
      <c r="F305" s="3"/>
      <c r="G305" s="88"/>
      <c r="H305" s="88"/>
      <c r="I305" s="89"/>
    </row>
    <row r="306">
      <c r="A306" s="3"/>
      <c r="B306" s="88"/>
      <c r="C306" s="88"/>
      <c r="D306" s="89"/>
      <c r="E306" s="88"/>
      <c r="F306" s="3"/>
      <c r="G306" s="88"/>
      <c r="H306" s="88"/>
      <c r="I306" s="89"/>
    </row>
    <row r="307">
      <c r="A307" s="3"/>
      <c r="B307" s="88"/>
      <c r="C307" s="88"/>
      <c r="D307" s="89"/>
      <c r="E307" s="88"/>
      <c r="F307" s="3"/>
      <c r="G307" s="88"/>
      <c r="H307" s="88"/>
      <c r="I307" s="89"/>
    </row>
    <row r="308">
      <c r="A308" s="3"/>
      <c r="B308" s="88"/>
      <c r="C308" s="88"/>
      <c r="D308" s="89"/>
      <c r="E308" s="88"/>
      <c r="F308" s="3"/>
      <c r="G308" s="88"/>
      <c r="H308" s="88"/>
      <c r="I308" s="89"/>
    </row>
    <row r="309">
      <c r="A309" s="3"/>
      <c r="B309" s="88"/>
      <c r="C309" s="88"/>
      <c r="D309" s="89"/>
      <c r="E309" s="88"/>
      <c r="F309" s="3"/>
      <c r="G309" s="88"/>
      <c r="H309" s="88"/>
      <c r="I309" s="89"/>
    </row>
    <row r="310">
      <c r="A310" s="3"/>
      <c r="B310" s="88"/>
      <c r="C310" s="88"/>
      <c r="D310" s="89"/>
      <c r="E310" s="88"/>
      <c r="F310" s="3"/>
      <c r="G310" s="88"/>
      <c r="H310" s="88"/>
      <c r="I310" s="89"/>
    </row>
    <row r="311">
      <c r="A311" s="3"/>
      <c r="B311" s="88"/>
      <c r="C311" s="88"/>
      <c r="D311" s="89"/>
      <c r="E311" s="88"/>
      <c r="F311" s="3"/>
      <c r="G311" s="88"/>
      <c r="H311" s="88"/>
      <c r="I311" s="89"/>
    </row>
    <row r="312">
      <c r="A312" s="3"/>
      <c r="B312" s="88"/>
      <c r="C312" s="88"/>
      <c r="D312" s="89"/>
      <c r="E312" s="88"/>
      <c r="F312" s="3"/>
      <c r="G312" s="88"/>
      <c r="H312" s="88"/>
      <c r="I312" s="89"/>
    </row>
    <row r="313">
      <c r="A313" s="3"/>
      <c r="B313" s="88"/>
      <c r="C313" s="88"/>
      <c r="D313" s="89"/>
      <c r="E313" s="88"/>
      <c r="F313" s="3"/>
      <c r="G313" s="88"/>
      <c r="H313" s="88"/>
      <c r="I313" s="89"/>
    </row>
    <row r="314">
      <c r="A314" s="3"/>
      <c r="B314" s="88"/>
      <c r="C314" s="88"/>
      <c r="D314" s="89"/>
      <c r="E314" s="88"/>
      <c r="F314" s="3"/>
      <c r="G314" s="88"/>
      <c r="H314" s="88"/>
      <c r="I314" s="89"/>
    </row>
    <row r="315">
      <c r="A315" s="3"/>
      <c r="B315" s="88"/>
      <c r="C315" s="88"/>
      <c r="D315" s="89"/>
      <c r="E315" s="88"/>
      <c r="F315" s="3"/>
      <c r="G315" s="88"/>
      <c r="H315" s="88"/>
      <c r="I315" s="89"/>
    </row>
    <row r="316">
      <c r="A316" s="3"/>
      <c r="B316" s="88"/>
      <c r="C316" s="88"/>
      <c r="D316" s="89"/>
      <c r="E316" s="88"/>
      <c r="F316" s="3"/>
      <c r="G316" s="88"/>
      <c r="H316" s="88"/>
      <c r="I316" s="89"/>
    </row>
    <row r="317">
      <c r="A317" s="3"/>
      <c r="B317" s="88"/>
      <c r="C317" s="88"/>
      <c r="D317" s="89"/>
      <c r="E317" s="88"/>
      <c r="F317" s="3"/>
      <c r="G317" s="88"/>
      <c r="H317" s="88"/>
      <c r="I317" s="89"/>
    </row>
    <row r="318">
      <c r="A318" s="3"/>
      <c r="B318" s="88"/>
      <c r="C318" s="88"/>
      <c r="D318" s="89"/>
      <c r="E318" s="88"/>
      <c r="F318" s="3"/>
      <c r="G318" s="88"/>
      <c r="H318" s="88"/>
      <c r="I318" s="89"/>
    </row>
    <row r="319">
      <c r="A319" s="3"/>
      <c r="B319" s="88"/>
      <c r="C319" s="88"/>
      <c r="D319" s="89"/>
      <c r="E319" s="88"/>
      <c r="F319" s="3"/>
      <c r="G319" s="88"/>
      <c r="H319" s="88"/>
      <c r="I319" s="89"/>
    </row>
    <row r="320">
      <c r="A320" s="3"/>
      <c r="B320" s="88"/>
      <c r="C320" s="88"/>
      <c r="D320" s="89"/>
      <c r="E320" s="88"/>
      <c r="F320" s="3"/>
      <c r="G320" s="88"/>
      <c r="H320" s="88"/>
      <c r="I320" s="89"/>
    </row>
    <row r="321">
      <c r="A321" s="3"/>
      <c r="B321" s="88"/>
      <c r="C321" s="88"/>
      <c r="D321" s="89"/>
      <c r="E321" s="88"/>
      <c r="F321" s="3"/>
      <c r="G321" s="88"/>
      <c r="H321" s="88"/>
      <c r="I321" s="89"/>
    </row>
    <row r="322">
      <c r="A322" s="3"/>
      <c r="B322" s="88"/>
      <c r="C322" s="88"/>
      <c r="D322" s="89"/>
      <c r="E322" s="88"/>
      <c r="F322" s="3"/>
      <c r="G322" s="88"/>
      <c r="H322" s="88"/>
      <c r="I322" s="89"/>
    </row>
    <row r="323">
      <c r="A323" s="3"/>
      <c r="B323" s="88"/>
      <c r="C323" s="88"/>
      <c r="D323" s="89"/>
      <c r="E323" s="88"/>
      <c r="F323" s="3"/>
      <c r="G323" s="88"/>
      <c r="H323" s="88"/>
      <c r="I323" s="89"/>
    </row>
    <row r="324">
      <c r="A324" s="3"/>
      <c r="B324" s="88"/>
      <c r="C324" s="88"/>
      <c r="D324" s="89"/>
      <c r="E324" s="88"/>
      <c r="F324" s="3"/>
      <c r="G324" s="88"/>
      <c r="H324" s="88"/>
      <c r="I324" s="89"/>
    </row>
    <row r="325">
      <c r="A325" s="3"/>
      <c r="B325" s="88"/>
      <c r="C325" s="88"/>
      <c r="D325" s="89"/>
      <c r="E325" s="88"/>
      <c r="F325" s="3"/>
      <c r="G325" s="88"/>
      <c r="H325" s="88"/>
      <c r="I325" s="89"/>
    </row>
    <row r="326">
      <c r="A326" s="3"/>
      <c r="B326" s="88"/>
      <c r="C326" s="88"/>
      <c r="D326" s="89"/>
      <c r="E326" s="88"/>
      <c r="F326" s="3"/>
      <c r="G326" s="88"/>
      <c r="H326" s="88"/>
      <c r="I326" s="89"/>
    </row>
    <row r="327">
      <c r="A327" s="3"/>
      <c r="B327" s="88"/>
      <c r="C327" s="88"/>
      <c r="D327" s="89"/>
      <c r="E327" s="88"/>
      <c r="F327" s="3"/>
      <c r="G327" s="88"/>
      <c r="H327" s="88"/>
      <c r="I327" s="89"/>
    </row>
    <row r="328">
      <c r="A328" s="3"/>
      <c r="B328" s="88"/>
      <c r="C328" s="88"/>
      <c r="D328" s="89"/>
      <c r="E328" s="88"/>
      <c r="F328" s="3"/>
      <c r="G328" s="88"/>
      <c r="H328" s="88"/>
      <c r="I328" s="89"/>
    </row>
    <row r="329">
      <c r="A329" s="3"/>
      <c r="B329" s="88"/>
      <c r="C329" s="88"/>
      <c r="D329" s="89"/>
      <c r="E329" s="88"/>
      <c r="F329" s="3"/>
      <c r="G329" s="88"/>
      <c r="H329" s="88"/>
      <c r="I329" s="89"/>
    </row>
    <row r="330">
      <c r="A330" s="3"/>
      <c r="B330" s="88"/>
      <c r="C330" s="88"/>
      <c r="D330" s="89"/>
      <c r="E330" s="88"/>
      <c r="F330" s="3"/>
      <c r="G330" s="88"/>
      <c r="H330" s="88"/>
      <c r="I330" s="89"/>
    </row>
    <row r="331">
      <c r="A331" s="3"/>
      <c r="B331" s="88"/>
      <c r="C331" s="88"/>
      <c r="D331" s="89"/>
      <c r="E331" s="88"/>
      <c r="F331" s="3"/>
      <c r="G331" s="88"/>
      <c r="H331" s="88"/>
      <c r="I331" s="89"/>
    </row>
    <row r="332">
      <c r="A332" s="3"/>
      <c r="B332" s="88"/>
      <c r="C332" s="88"/>
      <c r="D332" s="89"/>
      <c r="E332" s="88"/>
      <c r="F332" s="3"/>
      <c r="G332" s="88"/>
      <c r="H332" s="88"/>
      <c r="I332" s="89"/>
    </row>
    <row r="333">
      <c r="A333" s="3"/>
      <c r="B333" s="88"/>
      <c r="C333" s="88"/>
      <c r="D333" s="89"/>
      <c r="E333" s="88"/>
      <c r="F333" s="3"/>
      <c r="G333" s="88"/>
      <c r="H333" s="88"/>
      <c r="I333" s="89"/>
    </row>
    <row r="334">
      <c r="A334" s="3"/>
      <c r="B334" s="88"/>
      <c r="C334" s="88"/>
      <c r="D334" s="89"/>
      <c r="E334" s="88"/>
      <c r="F334" s="3"/>
      <c r="G334" s="88"/>
      <c r="H334" s="88"/>
      <c r="I334" s="89"/>
    </row>
    <row r="335">
      <c r="A335" s="3"/>
      <c r="B335" s="88"/>
      <c r="C335" s="88"/>
      <c r="D335" s="89"/>
      <c r="E335" s="88"/>
      <c r="F335" s="3"/>
      <c r="G335" s="88"/>
      <c r="H335" s="88"/>
      <c r="I335" s="89"/>
    </row>
    <row r="336">
      <c r="A336" s="3"/>
      <c r="B336" s="88"/>
      <c r="C336" s="88"/>
      <c r="D336" s="89"/>
      <c r="E336" s="88"/>
      <c r="F336" s="3"/>
      <c r="G336" s="88"/>
      <c r="H336" s="88"/>
      <c r="I336" s="89"/>
    </row>
    <row r="337">
      <c r="A337" s="3"/>
      <c r="B337" s="88"/>
      <c r="C337" s="88"/>
      <c r="D337" s="89"/>
      <c r="E337" s="88"/>
      <c r="F337" s="3"/>
      <c r="G337" s="88"/>
      <c r="H337" s="88"/>
      <c r="I337" s="89"/>
    </row>
    <row r="338">
      <c r="A338" s="3"/>
      <c r="B338" s="88"/>
      <c r="C338" s="88"/>
      <c r="D338" s="89"/>
      <c r="E338" s="88"/>
      <c r="F338" s="3"/>
      <c r="G338" s="88"/>
      <c r="H338" s="88"/>
      <c r="I338" s="89"/>
    </row>
    <row r="339">
      <c r="A339" s="3"/>
      <c r="B339" s="88"/>
      <c r="C339" s="88"/>
      <c r="D339" s="89"/>
      <c r="E339" s="88"/>
      <c r="F339" s="3"/>
      <c r="G339" s="88"/>
      <c r="H339" s="88"/>
      <c r="I339" s="89"/>
    </row>
    <row r="340">
      <c r="A340" s="3"/>
      <c r="B340" s="88"/>
      <c r="C340" s="88"/>
      <c r="D340" s="89"/>
      <c r="E340" s="88"/>
      <c r="F340" s="3"/>
      <c r="G340" s="88"/>
      <c r="H340" s="88"/>
      <c r="I340" s="89"/>
    </row>
    <row r="341">
      <c r="A341" s="3"/>
      <c r="B341" s="88"/>
      <c r="C341" s="88"/>
      <c r="D341" s="89"/>
      <c r="E341" s="88"/>
      <c r="F341" s="3"/>
      <c r="G341" s="88"/>
      <c r="H341" s="88"/>
      <c r="I341" s="89"/>
    </row>
    <row r="342">
      <c r="A342" s="3"/>
      <c r="B342" s="88"/>
      <c r="C342" s="88"/>
      <c r="D342" s="89"/>
      <c r="E342" s="88"/>
      <c r="F342" s="3"/>
      <c r="G342" s="88"/>
      <c r="H342" s="88"/>
      <c r="I342" s="89"/>
    </row>
    <row r="343">
      <c r="A343" s="3"/>
      <c r="B343" s="88"/>
      <c r="C343" s="88"/>
      <c r="D343" s="89"/>
      <c r="E343" s="88"/>
      <c r="F343" s="3"/>
      <c r="G343" s="88"/>
      <c r="H343" s="88"/>
      <c r="I343" s="89"/>
    </row>
    <row r="344">
      <c r="A344" s="3"/>
      <c r="B344" s="88"/>
      <c r="C344" s="88"/>
      <c r="D344" s="89"/>
      <c r="E344" s="88"/>
      <c r="F344" s="3"/>
      <c r="G344" s="88"/>
      <c r="H344" s="88"/>
      <c r="I344" s="89"/>
    </row>
    <row r="345">
      <c r="A345" s="3"/>
      <c r="B345" s="88"/>
      <c r="C345" s="88"/>
      <c r="D345" s="89"/>
      <c r="E345" s="88"/>
      <c r="F345" s="3"/>
      <c r="G345" s="88"/>
      <c r="H345" s="88"/>
      <c r="I345" s="89"/>
    </row>
    <row r="346">
      <c r="A346" s="3"/>
      <c r="B346" s="88"/>
      <c r="C346" s="88"/>
      <c r="D346" s="89"/>
      <c r="E346" s="88"/>
      <c r="F346" s="3"/>
      <c r="G346" s="88"/>
      <c r="H346" s="88"/>
      <c r="I346" s="89"/>
    </row>
    <row r="347">
      <c r="A347" s="3"/>
      <c r="B347" s="88"/>
      <c r="C347" s="88"/>
      <c r="D347" s="89"/>
      <c r="E347" s="88"/>
      <c r="F347" s="3"/>
      <c r="G347" s="88"/>
      <c r="H347" s="88"/>
      <c r="I347" s="89"/>
    </row>
    <row r="348">
      <c r="A348" s="3"/>
      <c r="B348" s="88"/>
      <c r="C348" s="88"/>
      <c r="D348" s="89"/>
      <c r="E348" s="88"/>
      <c r="F348" s="3"/>
      <c r="G348" s="88"/>
      <c r="H348" s="88"/>
      <c r="I348" s="89"/>
    </row>
    <row r="349">
      <c r="A349" s="3"/>
      <c r="B349" s="88"/>
      <c r="C349" s="88"/>
      <c r="D349" s="89"/>
      <c r="E349" s="88"/>
      <c r="F349" s="3"/>
      <c r="G349" s="88"/>
      <c r="H349" s="88"/>
      <c r="I349" s="89"/>
    </row>
    <row r="350">
      <c r="A350" s="3"/>
      <c r="B350" s="88"/>
      <c r="C350" s="88"/>
      <c r="D350" s="89"/>
      <c r="E350" s="88"/>
      <c r="F350" s="3"/>
      <c r="G350" s="88"/>
      <c r="H350" s="88"/>
      <c r="I350" s="89"/>
    </row>
    <row r="351">
      <c r="A351" s="3"/>
      <c r="B351" s="88"/>
      <c r="C351" s="88"/>
      <c r="D351" s="89"/>
      <c r="E351" s="88"/>
      <c r="F351" s="3"/>
      <c r="G351" s="88"/>
      <c r="H351" s="88"/>
      <c r="I351" s="89"/>
    </row>
    <row r="352">
      <c r="A352" s="3"/>
      <c r="B352" s="88"/>
      <c r="C352" s="88"/>
      <c r="D352" s="89"/>
      <c r="E352" s="88"/>
      <c r="F352" s="3"/>
      <c r="G352" s="88"/>
      <c r="H352" s="88"/>
      <c r="I352" s="89"/>
    </row>
    <row r="353">
      <c r="A353" s="3"/>
      <c r="B353" s="88"/>
      <c r="C353" s="88"/>
      <c r="D353" s="89"/>
      <c r="E353" s="88"/>
      <c r="F353" s="3"/>
      <c r="G353" s="88"/>
      <c r="H353" s="88"/>
      <c r="I353" s="89"/>
    </row>
    <row r="354">
      <c r="A354" s="3"/>
      <c r="B354" s="88"/>
      <c r="C354" s="88"/>
      <c r="D354" s="89"/>
      <c r="E354" s="88"/>
      <c r="F354" s="3"/>
      <c r="G354" s="88"/>
      <c r="H354" s="88"/>
      <c r="I354" s="89"/>
    </row>
    <row r="355">
      <c r="A355" s="3"/>
      <c r="B355" s="88"/>
      <c r="C355" s="88"/>
      <c r="D355" s="89"/>
      <c r="E355" s="88"/>
      <c r="F355" s="3"/>
      <c r="G355" s="88"/>
      <c r="H355" s="88"/>
      <c r="I355" s="89"/>
    </row>
    <row r="356">
      <c r="A356" s="3"/>
      <c r="B356" s="88"/>
      <c r="C356" s="88"/>
      <c r="D356" s="89"/>
      <c r="E356" s="88"/>
      <c r="F356" s="3"/>
      <c r="G356" s="88"/>
      <c r="H356" s="88"/>
      <c r="I356" s="89"/>
    </row>
    <row r="357">
      <c r="A357" s="3"/>
      <c r="B357" s="88"/>
      <c r="C357" s="88"/>
      <c r="D357" s="89"/>
      <c r="E357" s="88"/>
      <c r="F357" s="3"/>
      <c r="G357" s="88"/>
      <c r="H357" s="88"/>
      <c r="I357" s="89"/>
    </row>
    <row r="358">
      <c r="A358" s="3"/>
      <c r="B358" s="88"/>
      <c r="C358" s="88"/>
      <c r="D358" s="89"/>
      <c r="E358" s="88"/>
      <c r="F358" s="3"/>
      <c r="G358" s="88"/>
      <c r="H358" s="88"/>
      <c r="I358" s="89"/>
    </row>
    <row r="359">
      <c r="A359" s="3"/>
      <c r="B359" s="88"/>
      <c r="C359" s="88"/>
      <c r="D359" s="89"/>
      <c r="E359" s="88"/>
      <c r="F359" s="3"/>
      <c r="G359" s="88"/>
      <c r="H359" s="88"/>
      <c r="I359" s="89"/>
    </row>
    <row r="360">
      <c r="A360" s="3"/>
      <c r="B360" s="88"/>
      <c r="C360" s="88"/>
      <c r="D360" s="89"/>
      <c r="E360" s="88"/>
      <c r="F360" s="3"/>
      <c r="G360" s="88"/>
      <c r="H360" s="88"/>
      <c r="I360" s="89"/>
    </row>
    <row r="361">
      <c r="A361" s="3"/>
      <c r="B361" s="88"/>
      <c r="C361" s="88"/>
      <c r="D361" s="89"/>
      <c r="E361" s="88"/>
      <c r="F361" s="3"/>
      <c r="G361" s="88"/>
      <c r="H361" s="88"/>
      <c r="I361" s="89"/>
    </row>
    <row r="362">
      <c r="A362" s="3"/>
      <c r="B362" s="88"/>
      <c r="C362" s="88"/>
      <c r="D362" s="89"/>
      <c r="E362" s="88"/>
      <c r="F362" s="3"/>
      <c r="G362" s="88"/>
      <c r="H362" s="88"/>
      <c r="I362" s="89"/>
    </row>
    <row r="363">
      <c r="A363" s="3"/>
      <c r="B363" s="88"/>
      <c r="C363" s="88"/>
      <c r="D363" s="89"/>
      <c r="E363" s="88"/>
      <c r="F363" s="3"/>
      <c r="G363" s="88"/>
      <c r="H363" s="88"/>
      <c r="I363" s="89"/>
    </row>
    <row r="364">
      <c r="A364" s="3"/>
      <c r="B364" s="88"/>
      <c r="C364" s="88"/>
      <c r="D364" s="89"/>
      <c r="E364" s="88"/>
      <c r="F364" s="3"/>
      <c r="G364" s="88"/>
      <c r="H364" s="88"/>
      <c r="I364" s="89"/>
    </row>
    <row r="365">
      <c r="A365" s="3"/>
      <c r="B365" s="88"/>
      <c r="C365" s="88"/>
      <c r="D365" s="89"/>
      <c r="E365" s="88"/>
      <c r="F365" s="3"/>
      <c r="G365" s="88"/>
      <c r="H365" s="88"/>
      <c r="I365" s="89"/>
    </row>
    <row r="366">
      <c r="A366" s="3"/>
      <c r="B366" s="88"/>
      <c r="C366" s="88"/>
      <c r="D366" s="89"/>
      <c r="E366" s="88"/>
      <c r="F366" s="3"/>
      <c r="G366" s="88"/>
      <c r="H366" s="88"/>
      <c r="I366" s="89"/>
    </row>
    <row r="367">
      <c r="A367" s="3"/>
      <c r="B367" s="88"/>
      <c r="C367" s="88"/>
      <c r="D367" s="89"/>
      <c r="E367" s="88"/>
      <c r="F367" s="3"/>
      <c r="G367" s="88"/>
      <c r="H367" s="88"/>
      <c r="I367" s="89"/>
    </row>
    <row r="368">
      <c r="A368" s="3"/>
      <c r="B368" s="88"/>
      <c r="C368" s="88"/>
      <c r="D368" s="89"/>
      <c r="E368" s="88"/>
      <c r="F368" s="3"/>
      <c r="G368" s="88"/>
      <c r="H368" s="88"/>
      <c r="I368" s="89"/>
    </row>
    <row r="369">
      <c r="A369" s="3"/>
      <c r="B369" s="88"/>
      <c r="C369" s="88"/>
      <c r="D369" s="89"/>
      <c r="E369" s="88"/>
      <c r="F369" s="3"/>
      <c r="G369" s="88"/>
      <c r="H369" s="88"/>
      <c r="I369" s="89"/>
    </row>
    <row r="370">
      <c r="A370" s="3"/>
      <c r="B370" s="88"/>
      <c r="C370" s="88"/>
      <c r="D370" s="89"/>
      <c r="E370" s="88"/>
      <c r="F370" s="3"/>
      <c r="G370" s="88"/>
      <c r="H370" s="88"/>
      <c r="I370" s="89"/>
    </row>
    <row r="371">
      <c r="A371" s="3"/>
      <c r="B371" s="88"/>
      <c r="C371" s="88"/>
      <c r="D371" s="89"/>
      <c r="E371" s="88"/>
      <c r="F371" s="3"/>
      <c r="G371" s="88"/>
      <c r="H371" s="88"/>
      <c r="I371" s="89"/>
    </row>
    <row r="372">
      <c r="A372" s="3"/>
      <c r="B372" s="88"/>
      <c r="C372" s="88"/>
      <c r="D372" s="89"/>
      <c r="E372" s="88"/>
      <c r="F372" s="3"/>
      <c r="G372" s="88"/>
      <c r="H372" s="88"/>
      <c r="I372" s="89"/>
    </row>
    <row r="373">
      <c r="A373" s="3"/>
      <c r="B373" s="88"/>
      <c r="C373" s="88"/>
      <c r="D373" s="89"/>
      <c r="E373" s="88"/>
      <c r="F373" s="3"/>
      <c r="G373" s="88"/>
      <c r="H373" s="88"/>
      <c r="I373" s="89"/>
    </row>
    <row r="374">
      <c r="A374" s="3"/>
      <c r="B374" s="88"/>
      <c r="C374" s="88"/>
      <c r="D374" s="89"/>
      <c r="E374" s="88"/>
      <c r="F374" s="3"/>
      <c r="G374" s="88"/>
      <c r="H374" s="88"/>
      <c r="I374" s="89"/>
    </row>
    <row r="375">
      <c r="A375" s="3"/>
      <c r="B375" s="88"/>
      <c r="C375" s="88"/>
      <c r="D375" s="89"/>
      <c r="E375" s="88"/>
      <c r="F375" s="3"/>
      <c r="G375" s="88"/>
      <c r="H375" s="88"/>
      <c r="I375" s="89"/>
    </row>
    <row r="376">
      <c r="A376" s="3"/>
      <c r="B376" s="88"/>
      <c r="C376" s="88"/>
      <c r="D376" s="89"/>
      <c r="E376" s="88"/>
      <c r="F376" s="3"/>
      <c r="G376" s="88"/>
      <c r="H376" s="88"/>
      <c r="I376" s="89"/>
    </row>
    <row r="377">
      <c r="A377" s="3"/>
      <c r="B377" s="88"/>
      <c r="C377" s="88"/>
      <c r="D377" s="89"/>
      <c r="E377" s="88"/>
      <c r="F377" s="3"/>
      <c r="G377" s="88"/>
      <c r="H377" s="88"/>
      <c r="I377" s="89"/>
    </row>
    <row r="378">
      <c r="A378" s="3"/>
      <c r="B378" s="88"/>
      <c r="C378" s="88"/>
      <c r="D378" s="89"/>
      <c r="E378" s="88"/>
      <c r="F378" s="3"/>
      <c r="G378" s="88"/>
      <c r="H378" s="88"/>
      <c r="I378" s="89"/>
    </row>
    <row r="379">
      <c r="A379" s="3"/>
      <c r="B379" s="88"/>
      <c r="C379" s="88"/>
      <c r="D379" s="89"/>
      <c r="E379" s="88"/>
      <c r="F379" s="3"/>
      <c r="G379" s="88"/>
      <c r="H379" s="88"/>
      <c r="I379" s="89"/>
    </row>
    <row r="380">
      <c r="A380" s="3"/>
      <c r="B380" s="88"/>
      <c r="C380" s="88"/>
      <c r="D380" s="89"/>
      <c r="E380" s="88"/>
      <c r="F380" s="3"/>
      <c r="G380" s="88"/>
      <c r="H380" s="88"/>
      <c r="I380" s="89"/>
    </row>
    <row r="381">
      <c r="A381" s="3"/>
      <c r="B381" s="88"/>
      <c r="C381" s="88"/>
      <c r="D381" s="89"/>
      <c r="E381" s="88"/>
      <c r="F381" s="3"/>
      <c r="G381" s="88"/>
      <c r="H381" s="88"/>
      <c r="I381" s="89"/>
    </row>
    <row r="382">
      <c r="A382" s="3"/>
      <c r="B382" s="88"/>
      <c r="C382" s="88"/>
      <c r="D382" s="89"/>
      <c r="E382" s="88"/>
      <c r="F382" s="3"/>
      <c r="G382" s="88"/>
      <c r="H382" s="88"/>
      <c r="I382" s="89"/>
    </row>
    <row r="383">
      <c r="A383" s="3"/>
      <c r="B383" s="88"/>
      <c r="C383" s="88"/>
      <c r="D383" s="89"/>
      <c r="E383" s="88"/>
      <c r="F383" s="3"/>
      <c r="G383" s="88"/>
      <c r="H383" s="88"/>
      <c r="I383" s="89"/>
    </row>
    <row r="384">
      <c r="A384" s="3"/>
      <c r="B384" s="88"/>
      <c r="C384" s="88"/>
      <c r="D384" s="89"/>
      <c r="E384" s="88"/>
      <c r="F384" s="3"/>
      <c r="G384" s="88"/>
      <c r="H384" s="88"/>
      <c r="I384" s="89"/>
    </row>
    <row r="385">
      <c r="A385" s="3"/>
      <c r="B385" s="88"/>
      <c r="C385" s="88"/>
      <c r="D385" s="89"/>
      <c r="E385" s="88"/>
      <c r="F385" s="3"/>
      <c r="G385" s="88"/>
      <c r="H385" s="88"/>
      <c r="I385" s="89"/>
    </row>
    <row r="386">
      <c r="A386" s="3"/>
      <c r="B386" s="88"/>
      <c r="C386" s="88"/>
      <c r="D386" s="89"/>
      <c r="E386" s="88"/>
      <c r="F386" s="3"/>
      <c r="G386" s="88"/>
      <c r="H386" s="88"/>
      <c r="I386" s="89"/>
    </row>
    <row r="387">
      <c r="A387" s="3"/>
      <c r="B387" s="88"/>
      <c r="C387" s="88"/>
      <c r="D387" s="89"/>
      <c r="E387" s="88"/>
      <c r="F387" s="3"/>
      <c r="G387" s="88"/>
      <c r="H387" s="88"/>
      <c r="I387" s="89"/>
    </row>
    <row r="388">
      <c r="A388" s="3"/>
      <c r="B388" s="88"/>
      <c r="C388" s="88"/>
      <c r="D388" s="89"/>
      <c r="E388" s="88"/>
      <c r="F388" s="3"/>
      <c r="G388" s="88"/>
      <c r="H388" s="88"/>
      <c r="I388" s="89"/>
    </row>
    <row r="389">
      <c r="A389" s="3"/>
      <c r="B389" s="88"/>
      <c r="C389" s="88"/>
      <c r="D389" s="89"/>
      <c r="E389" s="88"/>
      <c r="F389" s="3"/>
      <c r="G389" s="88"/>
      <c r="H389" s="88"/>
      <c r="I389" s="89"/>
    </row>
    <row r="390">
      <c r="A390" s="3"/>
      <c r="B390" s="88"/>
      <c r="C390" s="88"/>
      <c r="D390" s="89"/>
      <c r="E390" s="88"/>
      <c r="F390" s="3"/>
      <c r="G390" s="88"/>
      <c r="H390" s="88"/>
      <c r="I390" s="89"/>
    </row>
    <row r="391">
      <c r="A391" s="3"/>
      <c r="B391" s="88"/>
      <c r="C391" s="88"/>
      <c r="D391" s="89"/>
      <c r="E391" s="88"/>
      <c r="F391" s="3"/>
      <c r="G391" s="88"/>
      <c r="H391" s="88"/>
      <c r="I391" s="89"/>
    </row>
    <row r="392">
      <c r="A392" s="3"/>
      <c r="B392" s="88"/>
      <c r="C392" s="88"/>
      <c r="D392" s="89"/>
      <c r="E392" s="88"/>
      <c r="F392" s="3"/>
      <c r="G392" s="88"/>
      <c r="H392" s="88"/>
      <c r="I392" s="89"/>
    </row>
    <row r="393">
      <c r="A393" s="3"/>
      <c r="B393" s="88"/>
      <c r="C393" s="88"/>
      <c r="D393" s="89"/>
      <c r="E393" s="88"/>
      <c r="F393" s="3"/>
      <c r="G393" s="88"/>
      <c r="H393" s="88"/>
      <c r="I393" s="89"/>
    </row>
    <row r="394">
      <c r="A394" s="3"/>
      <c r="B394" s="88"/>
      <c r="C394" s="88"/>
      <c r="D394" s="89"/>
      <c r="E394" s="88"/>
      <c r="F394" s="3"/>
      <c r="G394" s="88"/>
      <c r="H394" s="88"/>
      <c r="I394" s="89"/>
    </row>
    <row r="395">
      <c r="A395" s="3"/>
      <c r="B395" s="88"/>
      <c r="C395" s="88"/>
      <c r="D395" s="89"/>
      <c r="E395" s="88"/>
      <c r="F395" s="3"/>
      <c r="G395" s="88"/>
      <c r="H395" s="88"/>
      <c r="I395" s="89"/>
    </row>
    <row r="396">
      <c r="A396" s="3"/>
      <c r="B396" s="88"/>
      <c r="C396" s="88"/>
      <c r="D396" s="89"/>
      <c r="E396" s="88"/>
      <c r="F396" s="3"/>
      <c r="G396" s="88"/>
      <c r="H396" s="88"/>
      <c r="I396" s="89"/>
    </row>
    <row r="397">
      <c r="A397" s="3"/>
      <c r="B397" s="88"/>
      <c r="C397" s="88"/>
      <c r="D397" s="89"/>
      <c r="E397" s="88"/>
      <c r="F397" s="3"/>
      <c r="G397" s="88"/>
      <c r="H397" s="88"/>
      <c r="I397" s="89"/>
    </row>
    <row r="398">
      <c r="A398" s="3"/>
      <c r="B398" s="88"/>
      <c r="C398" s="88"/>
      <c r="D398" s="89"/>
      <c r="E398" s="88"/>
      <c r="F398" s="3"/>
      <c r="G398" s="88"/>
      <c r="H398" s="88"/>
      <c r="I398" s="89"/>
    </row>
    <row r="399">
      <c r="A399" s="3"/>
      <c r="B399" s="88"/>
      <c r="C399" s="88"/>
      <c r="D399" s="89"/>
      <c r="E399" s="88"/>
      <c r="F399" s="3"/>
      <c r="G399" s="88"/>
      <c r="H399" s="88"/>
      <c r="I399" s="89"/>
    </row>
    <row r="400">
      <c r="A400" s="3"/>
      <c r="B400" s="88"/>
      <c r="C400" s="88"/>
      <c r="D400" s="89"/>
      <c r="E400" s="88"/>
      <c r="F400" s="3"/>
      <c r="G400" s="88"/>
      <c r="H400" s="88"/>
      <c r="I400" s="89"/>
    </row>
    <row r="401">
      <c r="A401" s="3"/>
      <c r="B401" s="88"/>
      <c r="C401" s="88"/>
      <c r="D401" s="89"/>
      <c r="E401" s="88"/>
      <c r="F401" s="3"/>
      <c r="G401" s="88"/>
      <c r="H401" s="88"/>
      <c r="I401" s="89"/>
    </row>
    <row r="402">
      <c r="A402" s="3"/>
      <c r="B402" s="88"/>
      <c r="C402" s="88"/>
      <c r="D402" s="89"/>
      <c r="E402" s="88"/>
      <c r="F402" s="3"/>
      <c r="G402" s="88"/>
      <c r="H402" s="88"/>
      <c r="I402" s="89"/>
    </row>
    <row r="403">
      <c r="A403" s="3"/>
      <c r="B403" s="88"/>
      <c r="C403" s="88"/>
      <c r="D403" s="89"/>
      <c r="E403" s="88"/>
      <c r="F403" s="3"/>
      <c r="G403" s="88"/>
      <c r="H403" s="88"/>
      <c r="I403" s="89"/>
    </row>
    <row r="404">
      <c r="A404" s="3"/>
      <c r="B404" s="88"/>
      <c r="C404" s="88"/>
      <c r="D404" s="89"/>
      <c r="E404" s="88"/>
      <c r="F404" s="3"/>
      <c r="G404" s="88"/>
      <c r="H404" s="88"/>
      <c r="I404" s="89"/>
    </row>
    <row r="405">
      <c r="A405" s="3"/>
      <c r="B405" s="88"/>
      <c r="C405" s="88"/>
      <c r="D405" s="89"/>
      <c r="E405" s="88"/>
      <c r="F405" s="3"/>
      <c r="G405" s="88"/>
      <c r="H405" s="88"/>
      <c r="I405" s="89"/>
    </row>
    <row r="406">
      <c r="A406" s="3"/>
      <c r="B406" s="88"/>
      <c r="C406" s="88"/>
      <c r="D406" s="89"/>
      <c r="E406" s="88"/>
      <c r="F406" s="3"/>
      <c r="G406" s="88"/>
      <c r="H406" s="88"/>
      <c r="I406" s="89"/>
    </row>
    <row r="407">
      <c r="A407" s="3"/>
      <c r="B407" s="88"/>
      <c r="C407" s="88"/>
      <c r="D407" s="89"/>
      <c r="E407" s="88"/>
      <c r="F407" s="3"/>
      <c r="G407" s="88"/>
      <c r="H407" s="88"/>
      <c r="I407" s="89"/>
    </row>
    <row r="408">
      <c r="A408" s="3"/>
      <c r="B408" s="88"/>
      <c r="C408" s="88"/>
      <c r="D408" s="89"/>
      <c r="E408" s="88"/>
      <c r="F408" s="3"/>
      <c r="G408" s="88"/>
      <c r="H408" s="88"/>
      <c r="I408" s="89"/>
    </row>
    <row r="409">
      <c r="A409" s="3"/>
      <c r="B409" s="88"/>
      <c r="C409" s="88"/>
      <c r="D409" s="89"/>
      <c r="E409" s="88"/>
      <c r="F409" s="3"/>
      <c r="G409" s="88"/>
      <c r="H409" s="88"/>
      <c r="I409" s="89"/>
    </row>
    <row r="410">
      <c r="A410" s="3"/>
      <c r="B410" s="88"/>
      <c r="C410" s="88"/>
      <c r="D410" s="89"/>
      <c r="E410" s="88"/>
      <c r="F410" s="3"/>
      <c r="G410" s="88"/>
      <c r="H410" s="88"/>
      <c r="I410" s="89"/>
    </row>
    <row r="411">
      <c r="A411" s="3"/>
      <c r="B411" s="88"/>
      <c r="C411" s="88"/>
      <c r="D411" s="89"/>
      <c r="E411" s="88"/>
      <c r="F411" s="3"/>
      <c r="G411" s="88"/>
      <c r="H411" s="88"/>
      <c r="I411" s="89"/>
    </row>
    <row r="412">
      <c r="A412" s="3"/>
      <c r="B412" s="88"/>
      <c r="C412" s="88"/>
      <c r="D412" s="89"/>
      <c r="E412" s="88"/>
      <c r="F412" s="3"/>
      <c r="G412" s="88"/>
      <c r="H412" s="88"/>
      <c r="I412" s="89"/>
    </row>
    <row r="413">
      <c r="A413" s="3"/>
      <c r="B413" s="88"/>
      <c r="C413" s="88"/>
      <c r="D413" s="89"/>
      <c r="E413" s="88"/>
      <c r="F413" s="3"/>
      <c r="G413" s="88"/>
      <c r="H413" s="88"/>
      <c r="I413" s="89"/>
    </row>
    <row r="414">
      <c r="A414" s="3"/>
      <c r="B414" s="88"/>
      <c r="C414" s="88"/>
      <c r="D414" s="89"/>
      <c r="E414" s="88"/>
      <c r="F414" s="3"/>
      <c r="G414" s="88"/>
      <c r="H414" s="88"/>
      <c r="I414" s="89"/>
    </row>
    <row r="415">
      <c r="A415" s="3"/>
      <c r="B415" s="88"/>
      <c r="C415" s="88"/>
      <c r="D415" s="89"/>
      <c r="E415" s="88"/>
      <c r="F415" s="3"/>
      <c r="G415" s="88"/>
      <c r="H415" s="88"/>
      <c r="I415" s="89"/>
    </row>
    <row r="416">
      <c r="A416" s="3"/>
      <c r="B416" s="88"/>
      <c r="C416" s="88"/>
      <c r="D416" s="89"/>
      <c r="E416" s="88"/>
      <c r="F416" s="3"/>
      <c r="G416" s="88"/>
      <c r="H416" s="88"/>
      <c r="I416" s="89"/>
    </row>
    <row r="417">
      <c r="A417" s="3"/>
      <c r="B417" s="88"/>
      <c r="C417" s="88"/>
      <c r="D417" s="89"/>
      <c r="E417" s="88"/>
      <c r="F417" s="3"/>
      <c r="G417" s="88"/>
      <c r="H417" s="88"/>
      <c r="I417" s="89"/>
    </row>
    <row r="418">
      <c r="A418" s="3"/>
      <c r="B418" s="88"/>
      <c r="C418" s="88"/>
      <c r="D418" s="89"/>
      <c r="E418" s="88"/>
      <c r="F418" s="3"/>
      <c r="G418" s="88"/>
      <c r="H418" s="88"/>
      <c r="I418" s="89"/>
    </row>
    <row r="419">
      <c r="A419" s="3"/>
      <c r="B419" s="88"/>
      <c r="C419" s="88"/>
      <c r="D419" s="89"/>
      <c r="E419" s="88"/>
      <c r="F419" s="3"/>
      <c r="G419" s="88"/>
      <c r="H419" s="88"/>
      <c r="I419" s="89"/>
    </row>
    <row r="420">
      <c r="A420" s="3"/>
      <c r="B420" s="88"/>
      <c r="C420" s="88"/>
      <c r="D420" s="89"/>
      <c r="E420" s="88"/>
      <c r="F420" s="3"/>
      <c r="G420" s="88"/>
      <c r="H420" s="88"/>
      <c r="I420" s="89"/>
    </row>
    <row r="421">
      <c r="A421" s="3"/>
      <c r="B421" s="88"/>
      <c r="C421" s="88"/>
      <c r="D421" s="89"/>
      <c r="E421" s="88"/>
      <c r="F421" s="3"/>
      <c r="G421" s="88"/>
      <c r="H421" s="88"/>
      <c r="I421" s="89"/>
    </row>
    <row r="422">
      <c r="A422" s="3"/>
      <c r="B422" s="88"/>
      <c r="C422" s="88"/>
      <c r="D422" s="89"/>
      <c r="E422" s="88"/>
      <c r="F422" s="3"/>
      <c r="G422" s="88"/>
      <c r="H422" s="88"/>
      <c r="I422" s="89"/>
    </row>
    <row r="423">
      <c r="A423" s="3"/>
      <c r="B423" s="88"/>
      <c r="C423" s="88"/>
      <c r="D423" s="89"/>
      <c r="E423" s="88"/>
      <c r="F423" s="3"/>
      <c r="G423" s="88"/>
      <c r="H423" s="88"/>
      <c r="I423" s="89"/>
    </row>
    <row r="424">
      <c r="A424" s="3"/>
      <c r="B424" s="88"/>
      <c r="C424" s="88"/>
      <c r="D424" s="89"/>
      <c r="E424" s="88"/>
      <c r="F424" s="3"/>
      <c r="G424" s="88"/>
      <c r="H424" s="88"/>
      <c r="I424" s="89"/>
    </row>
    <row r="425">
      <c r="A425" s="3"/>
      <c r="B425" s="88"/>
      <c r="C425" s="88"/>
      <c r="D425" s="89"/>
      <c r="E425" s="88"/>
      <c r="F425" s="3"/>
      <c r="G425" s="88"/>
      <c r="H425" s="88"/>
      <c r="I425" s="89"/>
    </row>
    <row r="426">
      <c r="A426" s="3"/>
      <c r="B426" s="88"/>
      <c r="C426" s="88"/>
      <c r="D426" s="89"/>
      <c r="E426" s="88"/>
      <c r="F426" s="3"/>
      <c r="G426" s="88"/>
      <c r="H426" s="88"/>
      <c r="I426" s="89"/>
    </row>
    <row r="427">
      <c r="A427" s="3"/>
      <c r="B427" s="88"/>
      <c r="C427" s="88"/>
      <c r="D427" s="89"/>
      <c r="E427" s="88"/>
      <c r="F427" s="3"/>
      <c r="G427" s="88"/>
      <c r="H427" s="88"/>
      <c r="I427" s="89"/>
    </row>
    <row r="428">
      <c r="A428" s="3"/>
      <c r="B428" s="88"/>
      <c r="C428" s="88"/>
      <c r="D428" s="89"/>
      <c r="E428" s="88"/>
      <c r="F428" s="3"/>
      <c r="G428" s="88"/>
      <c r="H428" s="88"/>
      <c r="I428" s="89"/>
    </row>
    <row r="429">
      <c r="A429" s="3"/>
      <c r="B429" s="88"/>
      <c r="C429" s="88"/>
      <c r="D429" s="89"/>
      <c r="E429" s="88"/>
      <c r="F429" s="3"/>
      <c r="G429" s="88"/>
      <c r="H429" s="88"/>
      <c r="I429" s="89"/>
    </row>
    <row r="430">
      <c r="A430" s="3"/>
      <c r="B430" s="88"/>
      <c r="C430" s="88"/>
      <c r="D430" s="89"/>
      <c r="E430" s="88"/>
      <c r="F430" s="3"/>
      <c r="G430" s="88"/>
      <c r="H430" s="88"/>
      <c r="I430" s="89"/>
    </row>
    <row r="431">
      <c r="A431" s="3"/>
      <c r="B431" s="88"/>
      <c r="C431" s="88"/>
      <c r="D431" s="89"/>
      <c r="E431" s="88"/>
      <c r="F431" s="3"/>
      <c r="G431" s="88"/>
      <c r="H431" s="88"/>
      <c r="I431" s="89"/>
    </row>
    <row r="432">
      <c r="A432" s="3"/>
      <c r="B432" s="88"/>
      <c r="C432" s="88"/>
      <c r="D432" s="89"/>
      <c r="E432" s="88"/>
      <c r="F432" s="3"/>
      <c r="G432" s="88"/>
      <c r="H432" s="88"/>
      <c r="I432" s="89"/>
    </row>
    <row r="433">
      <c r="A433" s="3"/>
      <c r="B433" s="88"/>
      <c r="C433" s="88"/>
      <c r="D433" s="89"/>
      <c r="E433" s="88"/>
      <c r="F433" s="3"/>
      <c r="G433" s="88"/>
      <c r="H433" s="88"/>
      <c r="I433" s="89"/>
    </row>
    <row r="434">
      <c r="A434" s="3"/>
      <c r="B434" s="88"/>
      <c r="C434" s="88"/>
      <c r="D434" s="89"/>
      <c r="E434" s="88"/>
      <c r="F434" s="3"/>
      <c r="G434" s="88"/>
      <c r="H434" s="88"/>
      <c r="I434" s="89"/>
    </row>
    <row r="435">
      <c r="A435" s="3"/>
      <c r="B435" s="88"/>
      <c r="C435" s="88"/>
      <c r="D435" s="89"/>
      <c r="E435" s="88"/>
      <c r="F435" s="3"/>
      <c r="G435" s="88"/>
      <c r="H435" s="88"/>
      <c r="I435" s="89"/>
    </row>
    <row r="436">
      <c r="A436" s="3"/>
      <c r="B436" s="88"/>
      <c r="C436" s="88"/>
      <c r="D436" s="89"/>
      <c r="E436" s="88"/>
      <c r="F436" s="3"/>
      <c r="G436" s="88"/>
      <c r="H436" s="88"/>
      <c r="I436" s="89"/>
    </row>
    <row r="437">
      <c r="A437" s="3"/>
      <c r="B437" s="88"/>
      <c r="C437" s="88"/>
      <c r="D437" s="89"/>
      <c r="E437" s="88"/>
      <c r="F437" s="3"/>
      <c r="G437" s="88"/>
      <c r="H437" s="88"/>
      <c r="I437" s="89"/>
    </row>
    <row r="438">
      <c r="A438" s="3"/>
      <c r="B438" s="88"/>
      <c r="C438" s="88"/>
      <c r="D438" s="89"/>
      <c r="E438" s="88"/>
      <c r="F438" s="3"/>
      <c r="G438" s="88"/>
      <c r="H438" s="88"/>
      <c r="I438" s="89"/>
    </row>
    <row r="439">
      <c r="A439" s="3"/>
      <c r="B439" s="88"/>
      <c r="C439" s="88"/>
      <c r="D439" s="89"/>
      <c r="E439" s="88"/>
      <c r="F439" s="3"/>
      <c r="G439" s="88"/>
      <c r="H439" s="88"/>
      <c r="I439" s="89"/>
    </row>
    <row r="440">
      <c r="A440" s="3"/>
      <c r="B440" s="88"/>
      <c r="C440" s="88"/>
      <c r="D440" s="89"/>
      <c r="E440" s="88"/>
      <c r="F440" s="3"/>
      <c r="G440" s="88"/>
      <c r="H440" s="88"/>
      <c r="I440" s="89"/>
    </row>
    <row r="441">
      <c r="A441" s="3"/>
      <c r="B441" s="88"/>
      <c r="C441" s="88"/>
      <c r="D441" s="89"/>
      <c r="E441" s="88"/>
      <c r="F441" s="3"/>
      <c r="G441" s="88"/>
      <c r="H441" s="88"/>
      <c r="I441" s="89"/>
    </row>
    <row r="442">
      <c r="A442" s="3"/>
      <c r="B442" s="88"/>
      <c r="C442" s="88"/>
      <c r="D442" s="89"/>
      <c r="E442" s="88"/>
      <c r="F442" s="3"/>
      <c r="G442" s="88"/>
      <c r="H442" s="88"/>
      <c r="I442" s="89"/>
    </row>
    <row r="443">
      <c r="A443" s="3"/>
      <c r="B443" s="88"/>
      <c r="C443" s="88"/>
      <c r="D443" s="89"/>
      <c r="E443" s="88"/>
      <c r="F443" s="3"/>
      <c r="G443" s="88"/>
      <c r="H443" s="88"/>
      <c r="I443" s="89"/>
    </row>
    <row r="444">
      <c r="A444" s="3"/>
      <c r="B444" s="88"/>
      <c r="C444" s="88"/>
      <c r="D444" s="89"/>
      <c r="E444" s="88"/>
      <c r="F444" s="3"/>
      <c r="G444" s="88"/>
      <c r="H444" s="88"/>
      <c r="I444" s="89"/>
    </row>
    <row r="445">
      <c r="A445" s="3"/>
      <c r="B445" s="88"/>
      <c r="C445" s="88"/>
      <c r="D445" s="89"/>
      <c r="E445" s="88"/>
      <c r="F445" s="3"/>
      <c r="G445" s="88"/>
      <c r="H445" s="88"/>
      <c r="I445" s="89"/>
    </row>
    <row r="446">
      <c r="A446" s="3"/>
      <c r="B446" s="88"/>
      <c r="C446" s="88"/>
      <c r="D446" s="89"/>
      <c r="E446" s="88"/>
      <c r="F446" s="3"/>
      <c r="G446" s="88"/>
      <c r="H446" s="88"/>
      <c r="I446" s="89"/>
    </row>
    <row r="447">
      <c r="A447" s="3"/>
      <c r="B447" s="88"/>
      <c r="C447" s="88"/>
      <c r="D447" s="89"/>
      <c r="E447" s="88"/>
      <c r="F447" s="3"/>
      <c r="G447" s="88"/>
      <c r="H447" s="88"/>
      <c r="I447" s="89"/>
    </row>
    <row r="448">
      <c r="A448" s="3"/>
      <c r="B448" s="88"/>
      <c r="C448" s="88"/>
      <c r="D448" s="89"/>
      <c r="E448" s="88"/>
      <c r="F448" s="3"/>
      <c r="G448" s="88"/>
      <c r="H448" s="88"/>
      <c r="I448" s="89"/>
    </row>
    <row r="449">
      <c r="A449" s="3"/>
      <c r="B449" s="88"/>
      <c r="C449" s="88"/>
      <c r="D449" s="89"/>
      <c r="E449" s="88"/>
      <c r="F449" s="3"/>
      <c r="G449" s="88"/>
      <c r="H449" s="88"/>
      <c r="I449" s="89"/>
    </row>
    <row r="450">
      <c r="A450" s="3"/>
      <c r="B450" s="88"/>
      <c r="C450" s="88"/>
      <c r="D450" s="89"/>
      <c r="E450" s="88"/>
      <c r="F450" s="3"/>
      <c r="G450" s="88"/>
      <c r="H450" s="88"/>
      <c r="I450" s="89"/>
    </row>
    <row r="451">
      <c r="A451" s="3"/>
      <c r="B451" s="88"/>
      <c r="C451" s="88"/>
      <c r="D451" s="89"/>
      <c r="E451" s="88"/>
      <c r="F451" s="3"/>
      <c r="G451" s="88"/>
      <c r="H451" s="88"/>
      <c r="I451" s="89"/>
    </row>
    <row r="452">
      <c r="A452" s="3"/>
      <c r="B452" s="88"/>
      <c r="C452" s="88"/>
      <c r="D452" s="89"/>
      <c r="E452" s="88"/>
      <c r="F452" s="3"/>
      <c r="G452" s="88"/>
      <c r="H452" s="88"/>
      <c r="I452" s="89"/>
    </row>
    <row r="453">
      <c r="A453" s="3"/>
      <c r="B453" s="88"/>
      <c r="C453" s="88"/>
      <c r="D453" s="89"/>
      <c r="E453" s="88"/>
      <c r="F453" s="3"/>
      <c r="G453" s="88"/>
      <c r="H453" s="88"/>
      <c r="I453" s="89"/>
    </row>
    <row r="454">
      <c r="A454" s="3"/>
      <c r="B454" s="88"/>
      <c r="C454" s="88"/>
      <c r="D454" s="89"/>
      <c r="E454" s="88"/>
      <c r="F454" s="3"/>
      <c r="G454" s="88"/>
      <c r="H454" s="88"/>
      <c r="I454" s="89"/>
    </row>
    <row r="455">
      <c r="A455" s="3"/>
      <c r="B455" s="88"/>
      <c r="C455" s="88"/>
      <c r="D455" s="89"/>
      <c r="E455" s="88"/>
      <c r="F455" s="3"/>
      <c r="G455" s="88"/>
      <c r="H455" s="88"/>
      <c r="I455" s="89"/>
    </row>
    <row r="456">
      <c r="A456" s="3"/>
      <c r="B456" s="88"/>
      <c r="C456" s="88"/>
      <c r="D456" s="89"/>
      <c r="E456" s="88"/>
      <c r="F456" s="3"/>
      <c r="G456" s="88"/>
      <c r="H456" s="88"/>
      <c r="I456" s="89"/>
    </row>
    <row r="457">
      <c r="A457" s="3"/>
      <c r="B457" s="88"/>
      <c r="C457" s="88"/>
      <c r="D457" s="89"/>
      <c r="E457" s="88"/>
      <c r="F457" s="3"/>
      <c r="G457" s="88"/>
      <c r="H457" s="88"/>
      <c r="I457" s="89"/>
    </row>
    <row r="458">
      <c r="A458" s="3"/>
      <c r="B458" s="88"/>
      <c r="C458" s="88"/>
      <c r="D458" s="89"/>
      <c r="E458" s="88"/>
      <c r="F458" s="3"/>
      <c r="G458" s="88"/>
      <c r="H458" s="88"/>
      <c r="I458" s="89"/>
    </row>
    <row r="459">
      <c r="A459" s="3"/>
      <c r="B459" s="88"/>
      <c r="C459" s="88"/>
      <c r="D459" s="89"/>
      <c r="E459" s="88"/>
      <c r="F459" s="3"/>
      <c r="G459" s="88"/>
      <c r="H459" s="88"/>
      <c r="I459" s="89"/>
    </row>
    <row r="460">
      <c r="A460" s="3"/>
      <c r="B460" s="88"/>
      <c r="C460" s="88"/>
      <c r="D460" s="89"/>
      <c r="E460" s="88"/>
      <c r="F460" s="3"/>
      <c r="G460" s="88"/>
      <c r="H460" s="88"/>
      <c r="I460" s="89"/>
    </row>
    <row r="461">
      <c r="A461" s="3"/>
      <c r="B461" s="88"/>
      <c r="C461" s="88"/>
      <c r="D461" s="89"/>
      <c r="E461" s="88"/>
      <c r="F461" s="3"/>
      <c r="G461" s="88"/>
      <c r="H461" s="88"/>
      <c r="I461" s="89"/>
    </row>
    <row r="462">
      <c r="A462" s="3"/>
      <c r="B462" s="88"/>
      <c r="C462" s="88"/>
      <c r="D462" s="89"/>
      <c r="E462" s="88"/>
      <c r="F462" s="3"/>
      <c r="G462" s="88"/>
      <c r="H462" s="88"/>
      <c r="I462" s="89"/>
    </row>
    <row r="463">
      <c r="A463" s="3"/>
      <c r="B463" s="88"/>
      <c r="C463" s="88"/>
      <c r="D463" s="89"/>
      <c r="E463" s="88"/>
      <c r="F463" s="3"/>
      <c r="G463" s="88"/>
      <c r="H463" s="88"/>
      <c r="I463" s="89"/>
    </row>
    <row r="464">
      <c r="A464" s="3"/>
      <c r="B464" s="88"/>
      <c r="C464" s="88"/>
      <c r="D464" s="89"/>
      <c r="E464" s="88"/>
      <c r="F464" s="3"/>
      <c r="G464" s="88"/>
      <c r="H464" s="88"/>
      <c r="I464" s="89"/>
    </row>
    <row r="465">
      <c r="A465" s="3"/>
      <c r="B465" s="88"/>
      <c r="C465" s="88"/>
      <c r="D465" s="89"/>
      <c r="E465" s="88"/>
      <c r="F465" s="3"/>
      <c r="G465" s="88"/>
      <c r="H465" s="88"/>
      <c r="I465" s="89"/>
    </row>
    <row r="466">
      <c r="A466" s="3"/>
      <c r="B466" s="88"/>
      <c r="C466" s="88"/>
      <c r="D466" s="89"/>
      <c r="E466" s="88"/>
      <c r="F466" s="3"/>
      <c r="G466" s="88"/>
      <c r="H466" s="88"/>
      <c r="I466" s="89"/>
    </row>
    <row r="467">
      <c r="A467" s="3"/>
      <c r="B467" s="88"/>
      <c r="C467" s="88"/>
      <c r="D467" s="89"/>
      <c r="E467" s="88"/>
      <c r="F467" s="3"/>
      <c r="G467" s="88"/>
      <c r="H467" s="88"/>
      <c r="I467" s="89"/>
    </row>
    <row r="468">
      <c r="A468" s="3"/>
      <c r="B468" s="88"/>
      <c r="C468" s="88"/>
      <c r="D468" s="89"/>
      <c r="E468" s="88"/>
      <c r="F468" s="3"/>
      <c r="G468" s="88"/>
      <c r="H468" s="88"/>
      <c r="I468" s="89"/>
    </row>
    <row r="469">
      <c r="A469" s="3"/>
      <c r="B469" s="88"/>
      <c r="C469" s="88"/>
      <c r="D469" s="89"/>
      <c r="E469" s="88"/>
      <c r="F469" s="3"/>
      <c r="G469" s="88"/>
      <c r="H469" s="88"/>
      <c r="I469" s="89"/>
    </row>
    <row r="470">
      <c r="A470" s="3"/>
      <c r="B470" s="88"/>
      <c r="C470" s="88"/>
      <c r="D470" s="89"/>
      <c r="E470" s="88"/>
      <c r="F470" s="3"/>
      <c r="G470" s="88"/>
      <c r="H470" s="88"/>
      <c r="I470" s="89"/>
    </row>
    <row r="471">
      <c r="A471" s="3"/>
      <c r="B471" s="88"/>
      <c r="C471" s="88"/>
      <c r="D471" s="89"/>
      <c r="E471" s="88"/>
      <c r="F471" s="3"/>
      <c r="G471" s="88"/>
      <c r="H471" s="88"/>
      <c r="I471" s="89"/>
    </row>
    <row r="472">
      <c r="A472" s="3"/>
      <c r="B472" s="88"/>
      <c r="C472" s="88"/>
      <c r="D472" s="89"/>
      <c r="E472" s="88"/>
      <c r="F472" s="3"/>
      <c r="G472" s="88"/>
      <c r="H472" s="88"/>
      <c r="I472" s="89"/>
    </row>
    <row r="473">
      <c r="A473" s="3"/>
      <c r="B473" s="88"/>
      <c r="C473" s="88"/>
      <c r="D473" s="89"/>
      <c r="E473" s="88"/>
      <c r="F473" s="3"/>
      <c r="G473" s="88"/>
      <c r="H473" s="88"/>
      <c r="I473" s="89"/>
    </row>
    <row r="474">
      <c r="A474" s="3"/>
      <c r="B474" s="88"/>
      <c r="C474" s="88"/>
      <c r="D474" s="89"/>
      <c r="E474" s="88"/>
      <c r="F474" s="3"/>
      <c r="G474" s="88"/>
      <c r="H474" s="88"/>
      <c r="I474" s="89"/>
    </row>
    <row r="475">
      <c r="A475" s="3"/>
      <c r="B475" s="88"/>
      <c r="C475" s="88"/>
      <c r="D475" s="89"/>
      <c r="E475" s="88"/>
      <c r="F475" s="3"/>
      <c r="G475" s="88"/>
      <c r="H475" s="88"/>
      <c r="I475" s="89"/>
    </row>
    <row r="476">
      <c r="A476" s="3"/>
      <c r="B476" s="88"/>
      <c r="C476" s="88"/>
      <c r="D476" s="89"/>
      <c r="E476" s="88"/>
      <c r="F476" s="3"/>
      <c r="G476" s="88"/>
      <c r="H476" s="88"/>
      <c r="I476" s="89"/>
    </row>
    <row r="477">
      <c r="A477" s="3"/>
      <c r="B477" s="88"/>
      <c r="C477" s="88"/>
      <c r="D477" s="89"/>
      <c r="E477" s="88"/>
      <c r="F477" s="3"/>
      <c r="G477" s="88"/>
      <c r="H477" s="88"/>
      <c r="I477" s="89"/>
    </row>
    <row r="478">
      <c r="A478" s="3"/>
      <c r="B478" s="88"/>
      <c r="C478" s="88"/>
      <c r="D478" s="89"/>
      <c r="E478" s="88"/>
      <c r="F478" s="3"/>
      <c r="G478" s="88"/>
      <c r="H478" s="88"/>
      <c r="I478" s="89"/>
    </row>
    <row r="479">
      <c r="A479" s="3"/>
      <c r="B479" s="88"/>
      <c r="C479" s="88"/>
      <c r="D479" s="89"/>
      <c r="E479" s="88"/>
      <c r="F479" s="3"/>
      <c r="G479" s="88"/>
      <c r="H479" s="88"/>
      <c r="I479" s="89"/>
    </row>
    <row r="480">
      <c r="A480" s="3"/>
      <c r="B480" s="88"/>
      <c r="C480" s="88"/>
      <c r="D480" s="89"/>
      <c r="E480" s="88"/>
      <c r="F480" s="3"/>
      <c r="G480" s="88"/>
      <c r="H480" s="88"/>
      <c r="I480" s="89"/>
    </row>
    <row r="481">
      <c r="A481" s="3"/>
      <c r="B481" s="88"/>
      <c r="C481" s="88"/>
      <c r="D481" s="89"/>
      <c r="E481" s="88"/>
      <c r="F481" s="3"/>
      <c r="G481" s="88"/>
      <c r="H481" s="88"/>
      <c r="I481" s="89"/>
    </row>
    <row r="482">
      <c r="A482" s="3"/>
      <c r="B482" s="88"/>
      <c r="C482" s="88"/>
      <c r="D482" s="89"/>
      <c r="E482" s="88"/>
      <c r="F482" s="3"/>
      <c r="G482" s="88"/>
      <c r="H482" s="88"/>
      <c r="I482" s="89"/>
    </row>
    <row r="483">
      <c r="A483" s="3"/>
      <c r="B483" s="88"/>
      <c r="C483" s="88"/>
      <c r="D483" s="89"/>
      <c r="E483" s="88"/>
      <c r="F483" s="3"/>
      <c r="G483" s="88"/>
      <c r="H483" s="88"/>
      <c r="I483" s="89"/>
    </row>
    <row r="484">
      <c r="A484" s="3"/>
      <c r="B484" s="88"/>
      <c r="C484" s="88"/>
      <c r="D484" s="89"/>
      <c r="E484" s="88"/>
      <c r="F484" s="3"/>
      <c r="G484" s="88"/>
      <c r="H484" s="88"/>
      <c r="I484" s="89"/>
    </row>
    <row r="485">
      <c r="A485" s="3"/>
      <c r="B485" s="88"/>
      <c r="C485" s="88"/>
      <c r="D485" s="89"/>
      <c r="E485" s="88"/>
      <c r="F485" s="3"/>
      <c r="G485" s="88"/>
      <c r="H485" s="88"/>
      <c r="I485" s="89"/>
    </row>
    <row r="486">
      <c r="A486" s="3"/>
      <c r="B486" s="88"/>
      <c r="C486" s="88"/>
      <c r="D486" s="89"/>
      <c r="E486" s="88"/>
      <c r="F486" s="3"/>
      <c r="G486" s="88"/>
      <c r="H486" s="88"/>
      <c r="I486" s="89"/>
    </row>
    <row r="487">
      <c r="A487" s="3"/>
      <c r="B487" s="88"/>
      <c r="C487" s="88"/>
      <c r="D487" s="89"/>
      <c r="E487" s="88"/>
      <c r="F487" s="3"/>
      <c r="G487" s="88"/>
      <c r="H487" s="88"/>
      <c r="I487" s="89"/>
    </row>
    <row r="488">
      <c r="A488" s="3"/>
      <c r="B488" s="88"/>
      <c r="C488" s="88"/>
      <c r="D488" s="89"/>
      <c r="E488" s="88"/>
      <c r="F488" s="3"/>
      <c r="G488" s="88"/>
      <c r="H488" s="88"/>
      <c r="I488" s="89"/>
    </row>
    <row r="489">
      <c r="A489" s="3"/>
      <c r="B489" s="88"/>
      <c r="C489" s="88"/>
      <c r="D489" s="89"/>
      <c r="E489" s="88"/>
      <c r="F489" s="3"/>
      <c r="G489" s="88"/>
      <c r="H489" s="88"/>
      <c r="I489" s="89"/>
    </row>
    <row r="490">
      <c r="A490" s="3"/>
      <c r="B490" s="88"/>
      <c r="C490" s="88"/>
      <c r="D490" s="89"/>
      <c r="E490" s="88"/>
      <c r="F490" s="3"/>
      <c r="G490" s="88"/>
      <c r="H490" s="88"/>
      <c r="I490" s="89"/>
    </row>
    <row r="491">
      <c r="A491" s="3"/>
      <c r="B491" s="88"/>
      <c r="C491" s="88"/>
      <c r="D491" s="89"/>
      <c r="E491" s="88"/>
      <c r="F491" s="3"/>
      <c r="G491" s="88"/>
      <c r="H491" s="88"/>
      <c r="I491" s="89"/>
    </row>
    <row r="492">
      <c r="A492" s="3"/>
      <c r="B492" s="88"/>
      <c r="C492" s="88"/>
      <c r="D492" s="89"/>
      <c r="E492" s="88"/>
      <c r="F492" s="3"/>
      <c r="G492" s="88"/>
      <c r="H492" s="88"/>
      <c r="I492" s="89"/>
    </row>
    <row r="493">
      <c r="A493" s="3"/>
      <c r="B493" s="88"/>
      <c r="C493" s="88"/>
      <c r="D493" s="89"/>
      <c r="E493" s="88"/>
      <c r="F493" s="3"/>
      <c r="G493" s="88"/>
      <c r="H493" s="88"/>
      <c r="I493" s="89"/>
    </row>
    <row r="494">
      <c r="A494" s="3"/>
      <c r="B494" s="88"/>
      <c r="C494" s="88"/>
      <c r="D494" s="89"/>
      <c r="E494" s="88"/>
      <c r="F494" s="3"/>
      <c r="G494" s="88"/>
      <c r="H494" s="88"/>
      <c r="I494" s="89"/>
    </row>
    <row r="495">
      <c r="A495" s="3"/>
      <c r="B495" s="88"/>
      <c r="C495" s="88"/>
      <c r="D495" s="89"/>
      <c r="E495" s="88"/>
      <c r="F495" s="3"/>
      <c r="G495" s="88"/>
      <c r="H495" s="88"/>
      <c r="I495" s="89"/>
    </row>
    <row r="496">
      <c r="A496" s="3"/>
      <c r="B496" s="88"/>
      <c r="C496" s="88"/>
      <c r="D496" s="89"/>
      <c r="E496" s="88"/>
      <c r="F496" s="3"/>
      <c r="G496" s="88"/>
      <c r="H496" s="88"/>
      <c r="I496" s="89"/>
    </row>
    <row r="497">
      <c r="A497" s="3"/>
      <c r="B497" s="88"/>
      <c r="C497" s="88"/>
      <c r="D497" s="89"/>
      <c r="E497" s="88"/>
      <c r="F497" s="3"/>
      <c r="G497" s="88"/>
      <c r="H497" s="88"/>
      <c r="I497" s="89"/>
    </row>
    <row r="498">
      <c r="A498" s="3"/>
      <c r="B498" s="88"/>
      <c r="C498" s="88"/>
      <c r="D498" s="89"/>
      <c r="E498" s="88"/>
      <c r="F498" s="3"/>
      <c r="G498" s="88"/>
      <c r="H498" s="88"/>
      <c r="I498" s="89"/>
    </row>
    <row r="499">
      <c r="A499" s="3"/>
      <c r="B499" s="88"/>
      <c r="C499" s="88"/>
      <c r="D499" s="89"/>
      <c r="E499" s="88"/>
      <c r="F499" s="3"/>
      <c r="G499" s="88"/>
      <c r="H499" s="88"/>
      <c r="I499" s="89"/>
    </row>
    <row r="500">
      <c r="A500" s="3"/>
      <c r="B500" s="88"/>
      <c r="C500" s="88"/>
      <c r="D500" s="89"/>
      <c r="E500" s="88"/>
      <c r="F500" s="3"/>
      <c r="G500" s="88"/>
      <c r="H500" s="88"/>
      <c r="I500" s="89"/>
    </row>
    <row r="501">
      <c r="A501" s="3"/>
      <c r="B501" s="88"/>
      <c r="C501" s="88"/>
      <c r="D501" s="89"/>
      <c r="E501" s="88"/>
      <c r="F501" s="3"/>
      <c r="G501" s="88"/>
      <c r="H501" s="88"/>
      <c r="I501" s="89"/>
    </row>
    <row r="502">
      <c r="A502" s="3"/>
      <c r="B502" s="88"/>
      <c r="C502" s="88"/>
      <c r="D502" s="89"/>
      <c r="E502" s="88"/>
      <c r="F502" s="3"/>
      <c r="G502" s="88"/>
      <c r="H502" s="88"/>
      <c r="I502" s="89"/>
    </row>
    <row r="503">
      <c r="A503" s="3"/>
      <c r="B503" s="88"/>
      <c r="C503" s="88"/>
      <c r="D503" s="89"/>
      <c r="E503" s="88"/>
      <c r="F503" s="3"/>
      <c r="G503" s="88"/>
      <c r="H503" s="88"/>
      <c r="I503" s="89"/>
    </row>
    <row r="504">
      <c r="A504" s="3"/>
      <c r="B504" s="88"/>
      <c r="C504" s="88"/>
      <c r="D504" s="89"/>
      <c r="E504" s="88"/>
      <c r="F504" s="3"/>
      <c r="G504" s="88"/>
      <c r="H504" s="88"/>
      <c r="I504" s="89"/>
    </row>
    <row r="505">
      <c r="A505" s="3"/>
      <c r="B505" s="88"/>
      <c r="C505" s="88"/>
      <c r="D505" s="89"/>
      <c r="E505" s="88"/>
      <c r="F505" s="3"/>
      <c r="G505" s="88"/>
      <c r="H505" s="88"/>
      <c r="I505" s="89"/>
    </row>
    <row r="506">
      <c r="A506" s="3"/>
      <c r="B506" s="88"/>
      <c r="C506" s="88"/>
      <c r="D506" s="89"/>
      <c r="E506" s="88"/>
      <c r="F506" s="3"/>
      <c r="G506" s="88"/>
      <c r="H506" s="88"/>
      <c r="I506" s="89"/>
    </row>
    <row r="507">
      <c r="A507" s="3"/>
      <c r="B507" s="88"/>
      <c r="C507" s="88"/>
      <c r="D507" s="89"/>
      <c r="E507" s="88"/>
      <c r="F507" s="3"/>
      <c r="G507" s="88"/>
      <c r="H507" s="88"/>
      <c r="I507" s="89"/>
    </row>
    <row r="508">
      <c r="A508" s="3"/>
      <c r="B508" s="88"/>
      <c r="C508" s="88"/>
      <c r="D508" s="89"/>
      <c r="E508" s="88"/>
      <c r="F508" s="3"/>
      <c r="G508" s="88"/>
      <c r="H508" s="88"/>
      <c r="I508" s="89"/>
    </row>
    <row r="509">
      <c r="A509" s="3"/>
      <c r="B509" s="88"/>
      <c r="C509" s="88"/>
      <c r="D509" s="89"/>
      <c r="E509" s="88"/>
      <c r="F509" s="3"/>
      <c r="G509" s="88"/>
      <c r="H509" s="88"/>
      <c r="I509" s="89"/>
    </row>
    <row r="510">
      <c r="A510" s="3"/>
      <c r="B510" s="88"/>
      <c r="C510" s="88"/>
      <c r="D510" s="89"/>
      <c r="E510" s="88"/>
      <c r="F510" s="3"/>
      <c r="G510" s="88"/>
      <c r="H510" s="88"/>
      <c r="I510" s="89"/>
    </row>
    <row r="511">
      <c r="A511" s="3"/>
      <c r="B511" s="88"/>
      <c r="C511" s="88"/>
      <c r="D511" s="89"/>
      <c r="E511" s="88"/>
      <c r="F511" s="3"/>
      <c r="G511" s="88"/>
      <c r="H511" s="88"/>
      <c r="I511" s="89"/>
    </row>
    <row r="512">
      <c r="A512" s="3"/>
      <c r="B512" s="88"/>
      <c r="C512" s="88"/>
      <c r="D512" s="89"/>
      <c r="E512" s="88"/>
      <c r="F512" s="3"/>
      <c r="G512" s="88"/>
      <c r="H512" s="88"/>
      <c r="I512" s="89"/>
    </row>
    <row r="513">
      <c r="A513" s="3"/>
      <c r="B513" s="88"/>
      <c r="C513" s="88"/>
      <c r="D513" s="89"/>
      <c r="E513" s="88"/>
      <c r="F513" s="3"/>
      <c r="G513" s="88"/>
      <c r="H513" s="88"/>
      <c r="I513" s="89"/>
    </row>
    <row r="514">
      <c r="A514" s="3"/>
      <c r="B514" s="88"/>
      <c r="C514" s="88"/>
      <c r="D514" s="89"/>
      <c r="E514" s="88"/>
      <c r="F514" s="3"/>
      <c r="G514" s="88"/>
      <c r="H514" s="88"/>
      <c r="I514" s="89"/>
    </row>
    <row r="515">
      <c r="A515" s="3"/>
      <c r="B515" s="88"/>
      <c r="C515" s="88"/>
      <c r="D515" s="89"/>
      <c r="E515" s="88"/>
      <c r="F515" s="3"/>
      <c r="G515" s="88"/>
      <c r="H515" s="88"/>
      <c r="I515" s="89"/>
    </row>
    <row r="516">
      <c r="A516" s="3"/>
      <c r="B516" s="88"/>
      <c r="C516" s="88"/>
      <c r="D516" s="89"/>
      <c r="E516" s="88"/>
      <c r="F516" s="3"/>
      <c r="G516" s="88"/>
      <c r="H516" s="88"/>
      <c r="I516" s="89"/>
    </row>
    <row r="517">
      <c r="A517" s="3"/>
      <c r="B517" s="88"/>
      <c r="C517" s="88"/>
      <c r="D517" s="89"/>
      <c r="E517" s="88"/>
      <c r="F517" s="3"/>
      <c r="G517" s="88"/>
      <c r="H517" s="88"/>
      <c r="I517" s="89"/>
    </row>
    <row r="518">
      <c r="A518" s="3"/>
      <c r="B518" s="88"/>
      <c r="C518" s="88"/>
      <c r="D518" s="89"/>
      <c r="E518" s="88"/>
      <c r="F518" s="3"/>
      <c r="G518" s="88"/>
      <c r="H518" s="88"/>
      <c r="I518" s="89"/>
    </row>
    <row r="519">
      <c r="A519" s="3"/>
      <c r="B519" s="88"/>
      <c r="C519" s="88"/>
      <c r="D519" s="89"/>
      <c r="E519" s="88"/>
      <c r="F519" s="3"/>
      <c r="G519" s="88"/>
      <c r="H519" s="88"/>
      <c r="I519" s="89"/>
    </row>
    <row r="520">
      <c r="A520" s="3"/>
      <c r="B520" s="88"/>
      <c r="C520" s="88"/>
      <c r="D520" s="89"/>
      <c r="E520" s="88"/>
      <c r="F520" s="3"/>
      <c r="G520" s="88"/>
      <c r="H520" s="88"/>
      <c r="I520" s="89"/>
    </row>
    <row r="521">
      <c r="A521" s="3"/>
      <c r="B521" s="88"/>
      <c r="C521" s="88"/>
      <c r="D521" s="89"/>
      <c r="E521" s="88"/>
      <c r="F521" s="3"/>
      <c r="G521" s="88"/>
      <c r="H521" s="88"/>
      <c r="I521" s="89"/>
    </row>
    <row r="522">
      <c r="A522" s="3"/>
      <c r="B522" s="88"/>
      <c r="C522" s="88"/>
      <c r="D522" s="89"/>
      <c r="E522" s="88"/>
      <c r="F522" s="3"/>
      <c r="G522" s="88"/>
      <c r="H522" s="88"/>
      <c r="I522" s="89"/>
    </row>
    <row r="523">
      <c r="A523" s="3"/>
      <c r="B523" s="88"/>
      <c r="C523" s="88"/>
      <c r="D523" s="89"/>
      <c r="E523" s="88"/>
      <c r="F523" s="3"/>
      <c r="G523" s="88"/>
      <c r="H523" s="88"/>
      <c r="I523" s="89"/>
    </row>
    <row r="524">
      <c r="A524" s="3"/>
      <c r="B524" s="88"/>
      <c r="C524" s="88"/>
      <c r="D524" s="89"/>
      <c r="E524" s="88"/>
      <c r="F524" s="3"/>
      <c r="G524" s="88"/>
      <c r="H524" s="88"/>
      <c r="I524" s="89"/>
    </row>
    <row r="525">
      <c r="A525" s="3"/>
      <c r="B525" s="88"/>
      <c r="C525" s="88"/>
      <c r="D525" s="89"/>
      <c r="E525" s="88"/>
      <c r="F525" s="3"/>
      <c r="G525" s="88"/>
      <c r="H525" s="88"/>
      <c r="I525" s="89"/>
    </row>
    <row r="526">
      <c r="A526" s="3"/>
      <c r="B526" s="88"/>
      <c r="C526" s="88"/>
      <c r="D526" s="89"/>
      <c r="E526" s="88"/>
      <c r="F526" s="3"/>
      <c r="G526" s="88"/>
      <c r="H526" s="88"/>
      <c r="I526" s="89"/>
    </row>
    <row r="527">
      <c r="A527" s="3"/>
      <c r="B527" s="88"/>
      <c r="C527" s="88"/>
      <c r="D527" s="89"/>
      <c r="E527" s="88"/>
      <c r="F527" s="3"/>
      <c r="G527" s="88"/>
      <c r="H527" s="88"/>
      <c r="I527" s="89"/>
    </row>
    <row r="528">
      <c r="A528" s="3"/>
      <c r="B528" s="88"/>
      <c r="C528" s="88"/>
      <c r="D528" s="89"/>
      <c r="E528" s="88"/>
      <c r="F528" s="3"/>
      <c r="G528" s="88"/>
      <c r="H528" s="88"/>
      <c r="I528" s="89"/>
    </row>
    <row r="529">
      <c r="A529" s="3"/>
      <c r="B529" s="88"/>
      <c r="C529" s="88"/>
      <c r="D529" s="89"/>
      <c r="E529" s="88"/>
      <c r="F529" s="3"/>
      <c r="G529" s="88"/>
      <c r="H529" s="88"/>
      <c r="I529" s="89"/>
    </row>
    <row r="530">
      <c r="A530" s="3"/>
      <c r="B530" s="88"/>
      <c r="C530" s="88"/>
      <c r="D530" s="89"/>
      <c r="E530" s="88"/>
      <c r="F530" s="3"/>
      <c r="G530" s="88"/>
      <c r="H530" s="88"/>
      <c r="I530" s="89"/>
    </row>
    <row r="531">
      <c r="A531" s="3"/>
      <c r="B531" s="88"/>
      <c r="C531" s="88"/>
      <c r="D531" s="89"/>
      <c r="E531" s="88"/>
      <c r="F531" s="3"/>
      <c r="G531" s="88"/>
      <c r="H531" s="88"/>
      <c r="I531" s="89"/>
    </row>
    <row r="532">
      <c r="A532" s="3"/>
      <c r="B532" s="88"/>
      <c r="C532" s="88"/>
      <c r="D532" s="89"/>
      <c r="E532" s="88"/>
      <c r="F532" s="3"/>
      <c r="G532" s="88"/>
      <c r="H532" s="88"/>
      <c r="I532" s="89"/>
    </row>
    <row r="533">
      <c r="A533" s="3"/>
      <c r="B533" s="88"/>
      <c r="C533" s="88"/>
      <c r="D533" s="89"/>
      <c r="E533" s="88"/>
      <c r="F533" s="3"/>
      <c r="G533" s="88"/>
      <c r="H533" s="88"/>
      <c r="I533" s="89"/>
    </row>
    <row r="534">
      <c r="A534" s="3"/>
      <c r="B534" s="88"/>
      <c r="C534" s="88"/>
      <c r="D534" s="89"/>
      <c r="E534" s="88"/>
      <c r="F534" s="3"/>
      <c r="G534" s="88"/>
      <c r="H534" s="88"/>
      <c r="I534" s="89"/>
    </row>
    <row r="535">
      <c r="A535" s="3"/>
      <c r="B535" s="88"/>
      <c r="C535" s="88"/>
      <c r="D535" s="89"/>
      <c r="E535" s="88"/>
      <c r="F535" s="3"/>
      <c r="G535" s="88"/>
      <c r="H535" s="88"/>
      <c r="I535" s="89"/>
    </row>
    <row r="536">
      <c r="A536" s="3"/>
      <c r="B536" s="88"/>
      <c r="C536" s="88"/>
      <c r="D536" s="89"/>
      <c r="E536" s="88"/>
      <c r="F536" s="3"/>
      <c r="G536" s="88"/>
      <c r="H536" s="88"/>
      <c r="I536" s="89"/>
    </row>
    <row r="537">
      <c r="A537" s="3"/>
      <c r="B537" s="88"/>
      <c r="C537" s="88"/>
      <c r="D537" s="89"/>
      <c r="E537" s="88"/>
      <c r="F537" s="3"/>
      <c r="G537" s="88"/>
      <c r="H537" s="88"/>
      <c r="I537" s="89"/>
    </row>
    <row r="538">
      <c r="A538" s="3"/>
      <c r="B538" s="88"/>
      <c r="C538" s="88"/>
      <c r="D538" s="89"/>
      <c r="E538" s="88"/>
      <c r="F538" s="3"/>
      <c r="G538" s="88"/>
      <c r="H538" s="88"/>
      <c r="I538" s="89"/>
    </row>
    <row r="539">
      <c r="A539" s="3"/>
      <c r="B539" s="88"/>
      <c r="C539" s="88"/>
      <c r="D539" s="89"/>
      <c r="E539" s="88"/>
      <c r="F539" s="3"/>
      <c r="G539" s="88"/>
      <c r="H539" s="88"/>
      <c r="I539" s="89"/>
    </row>
    <row r="540">
      <c r="A540" s="3"/>
      <c r="B540" s="88"/>
      <c r="C540" s="88"/>
      <c r="D540" s="89"/>
      <c r="E540" s="88"/>
      <c r="F540" s="3"/>
      <c r="G540" s="88"/>
      <c r="H540" s="88"/>
      <c r="I540" s="89"/>
    </row>
    <row r="541">
      <c r="A541" s="3"/>
      <c r="B541" s="88"/>
      <c r="C541" s="88"/>
      <c r="D541" s="89"/>
      <c r="E541" s="88"/>
      <c r="F541" s="3"/>
      <c r="G541" s="88"/>
      <c r="H541" s="88"/>
      <c r="I541" s="89"/>
    </row>
    <row r="542">
      <c r="A542" s="3"/>
      <c r="B542" s="88"/>
      <c r="C542" s="88"/>
      <c r="D542" s="89"/>
      <c r="E542" s="88"/>
      <c r="F542" s="3"/>
      <c r="G542" s="88"/>
      <c r="H542" s="88"/>
      <c r="I542" s="89"/>
    </row>
    <row r="543">
      <c r="A543" s="3"/>
      <c r="B543" s="88"/>
      <c r="C543" s="88"/>
      <c r="D543" s="89"/>
      <c r="E543" s="88"/>
      <c r="F543" s="3"/>
      <c r="G543" s="88"/>
      <c r="H543" s="88"/>
      <c r="I543" s="89"/>
    </row>
    <row r="544">
      <c r="A544" s="3"/>
      <c r="B544" s="88"/>
      <c r="C544" s="88"/>
      <c r="D544" s="89"/>
      <c r="E544" s="88"/>
      <c r="F544" s="3"/>
      <c r="G544" s="88"/>
      <c r="H544" s="88"/>
      <c r="I544" s="89"/>
    </row>
    <row r="545">
      <c r="A545" s="3"/>
      <c r="B545" s="88"/>
      <c r="C545" s="88"/>
      <c r="D545" s="89"/>
      <c r="E545" s="88"/>
      <c r="F545" s="3"/>
      <c r="G545" s="88"/>
      <c r="H545" s="88"/>
      <c r="I545" s="89"/>
    </row>
    <row r="546">
      <c r="A546" s="3"/>
      <c r="B546" s="88"/>
      <c r="C546" s="88"/>
      <c r="D546" s="89"/>
      <c r="E546" s="88"/>
      <c r="F546" s="3"/>
      <c r="G546" s="88"/>
      <c r="H546" s="88"/>
      <c r="I546" s="89"/>
    </row>
    <row r="547">
      <c r="A547" s="3"/>
      <c r="B547" s="88"/>
      <c r="C547" s="88"/>
      <c r="D547" s="89"/>
      <c r="E547" s="88"/>
      <c r="F547" s="3"/>
      <c r="G547" s="88"/>
      <c r="H547" s="88"/>
      <c r="I547" s="89"/>
    </row>
    <row r="548">
      <c r="A548" s="3"/>
      <c r="B548" s="88"/>
      <c r="C548" s="88"/>
      <c r="D548" s="89"/>
      <c r="E548" s="88"/>
      <c r="F548" s="3"/>
      <c r="G548" s="88"/>
      <c r="H548" s="88"/>
      <c r="I548" s="89"/>
    </row>
    <row r="549">
      <c r="A549" s="3"/>
      <c r="B549" s="88"/>
      <c r="C549" s="88"/>
      <c r="D549" s="89"/>
      <c r="E549" s="88"/>
      <c r="F549" s="3"/>
      <c r="G549" s="88"/>
      <c r="H549" s="88"/>
      <c r="I549" s="89"/>
    </row>
    <row r="550">
      <c r="A550" s="3"/>
      <c r="B550" s="88"/>
      <c r="C550" s="88"/>
      <c r="D550" s="89"/>
      <c r="E550" s="88"/>
      <c r="F550" s="3"/>
      <c r="G550" s="88"/>
      <c r="H550" s="88"/>
      <c r="I550" s="89"/>
    </row>
    <row r="551">
      <c r="A551" s="3"/>
      <c r="B551" s="88"/>
      <c r="C551" s="88"/>
      <c r="D551" s="89"/>
      <c r="E551" s="88"/>
      <c r="F551" s="3"/>
      <c r="G551" s="88"/>
      <c r="H551" s="88"/>
      <c r="I551" s="89"/>
    </row>
    <row r="552">
      <c r="A552" s="3"/>
      <c r="B552" s="88"/>
      <c r="C552" s="88"/>
      <c r="D552" s="89"/>
      <c r="E552" s="88"/>
      <c r="F552" s="3"/>
      <c r="G552" s="88"/>
      <c r="H552" s="88"/>
      <c r="I552" s="89"/>
    </row>
    <row r="553">
      <c r="A553" s="3"/>
      <c r="B553" s="88"/>
      <c r="C553" s="88"/>
      <c r="D553" s="89"/>
      <c r="E553" s="88"/>
      <c r="F553" s="3"/>
      <c r="G553" s="88"/>
      <c r="H553" s="88"/>
      <c r="I553" s="89"/>
    </row>
    <row r="554">
      <c r="A554" s="3"/>
      <c r="B554" s="88"/>
      <c r="C554" s="88"/>
      <c r="D554" s="89"/>
      <c r="E554" s="88"/>
      <c r="F554" s="3"/>
      <c r="G554" s="88"/>
      <c r="H554" s="88"/>
      <c r="I554" s="89"/>
    </row>
    <row r="555">
      <c r="A555" s="3"/>
      <c r="B555" s="88"/>
      <c r="C555" s="88"/>
      <c r="D555" s="89"/>
      <c r="E555" s="88"/>
      <c r="F555" s="3"/>
      <c r="G555" s="88"/>
      <c r="H555" s="88"/>
      <c r="I555" s="89"/>
    </row>
    <row r="556">
      <c r="A556" s="3"/>
      <c r="B556" s="88"/>
      <c r="C556" s="88"/>
      <c r="D556" s="89"/>
      <c r="E556" s="88"/>
      <c r="F556" s="3"/>
      <c r="G556" s="88"/>
      <c r="H556" s="88"/>
      <c r="I556" s="89"/>
    </row>
    <row r="557">
      <c r="A557" s="3"/>
      <c r="B557" s="88"/>
      <c r="C557" s="88"/>
      <c r="D557" s="89"/>
      <c r="E557" s="88"/>
      <c r="F557" s="3"/>
      <c r="G557" s="88"/>
      <c r="H557" s="88"/>
      <c r="I557" s="89"/>
    </row>
    <row r="558">
      <c r="A558" s="3"/>
      <c r="B558" s="88"/>
      <c r="C558" s="88"/>
      <c r="D558" s="89"/>
      <c r="E558" s="88"/>
      <c r="F558" s="3"/>
      <c r="G558" s="88"/>
      <c r="H558" s="88"/>
      <c r="I558" s="89"/>
    </row>
    <row r="559">
      <c r="A559" s="3"/>
      <c r="B559" s="88"/>
      <c r="C559" s="88"/>
      <c r="D559" s="89"/>
      <c r="E559" s="88"/>
      <c r="F559" s="3"/>
      <c r="G559" s="88"/>
      <c r="H559" s="88"/>
      <c r="I559" s="89"/>
    </row>
    <row r="560">
      <c r="A560" s="3"/>
      <c r="B560" s="88"/>
      <c r="C560" s="88"/>
      <c r="D560" s="89"/>
      <c r="E560" s="88"/>
      <c r="F560" s="3"/>
      <c r="G560" s="88"/>
      <c r="H560" s="88"/>
      <c r="I560" s="89"/>
    </row>
    <row r="561">
      <c r="A561" s="3"/>
      <c r="B561" s="88"/>
      <c r="C561" s="88"/>
      <c r="D561" s="89"/>
      <c r="E561" s="88"/>
      <c r="F561" s="3"/>
      <c r="G561" s="88"/>
      <c r="H561" s="88"/>
      <c r="I561" s="89"/>
    </row>
    <row r="562">
      <c r="A562" s="3"/>
      <c r="B562" s="88"/>
      <c r="C562" s="88"/>
      <c r="D562" s="89"/>
      <c r="E562" s="88"/>
      <c r="F562" s="3"/>
      <c r="G562" s="88"/>
      <c r="H562" s="88"/>
      <c r="I562" s="89"/>
    </row>
    <row r="563">
      <c r="A563" s="3"/>
      <c r="B563" s="88"/>
      <c r="C563" s="88"/>
      <c r="D563" s="89"/>
      <c r="E563" s="88"/>
      <c r="F563" s="3"/>
      <c r="G563" s="88"/>
      <c r="H563" s="88"/>
      <c r="I563" s="89"/>
    </row>
    <row r="564">
      <c r="A564" s="3"/>
      <c r="B564" s="88"/>
      <c r="C564" s="88"/>
      <c r="D564" s="89"/>
      <c r="E564" s="88"/>
      <c r="F564" s="3"/>
      <c r="G564" s="88"/>
      <c r="H564" s="88"/>
      <c r="I564" s="89"/>
    </row>
    <row r="565">
      <c r="A565" s="3"/>
      <c r="B565" s="88"/>
      <c r="C565" s="88"/>
      <c r="D565" s="89"/>
      <c r="E565" s="88"/>
      <c r="F565" s="3"/>
      <c r="G565" s="88"/>
      <c r="H565" s="88"/>
      <c r="I565" s="89"/>
    </row>
    <row r="566">
      <c r="A566" s="3"/>
      <c r="B566" s="88"/>
      <c r="C566" s="88"/>
      <c r="D566" s="89"/>
      <c r="E566" s="88"/>
      <c r="F566" s="3"/>
      <c r="G566" s="88"/>
      <c r="H566" s="88"/>
      <c r="I566" s="89"/>
    </row>
    <row r="567">
      <c r="A567" s="3"/>
      <c r="B567" s="88"/>
      <c r="C567" s="88"/>
      <c r="D567" s="89"/>
      <c r="E567" s="88"/>
      <c r="F567" s="3"/>
      <c r="G567" s="88"/>
      <c r="H567" s="88"/>
      <c r="I567" s="89"/>
    </row>
    <row r="568">
      <c r="A568" s="3"/>
      <c r="B568" s="88"/>
      <c r="C568" s="88"/>
      <c r="D568" s="89"/>
      <c r="E568" s="88"/>
      <c r="F568" s="3"/>
      <c r="G568" s="88"/>
      <c r="H568" s="88"/>
      <c r="I568" s="89"/>
    </row>
    <row r="569">
      <c r="A569" s="3"/>
      <c r="B569" s="88"/>
      <c r="C569" s="88"/>
      <c r="D569" s="89"/>
      <c r="E569" s="88"/>
      <c r="F569" s="3"/>
      <c r="G569" s="88"/>
      <c r="H569" s="88"/>
      <c r="I569" s="89"/>
    </row>
    <row r="570">
      <c r="A570" s="3"/>
      <c r="B570" s="88"/>
      <c r="C570" s="88"/>
      <c r="D570" s="89"/>
      <c r="E570" s="88"/>
      <c r="F570" s="3"/>
      <c r="G570" s="88"/>
      <c r="H570" s="88"/>
      <c r="I570" s="89"/>
    </row>
    <row r="571">
      <c r="A571" s="3"/>
      <c r="B571" s="88"/>
      <c r="C571" s="88"/>
      <c r="D571" s="89"/>
      <c r="E571" s="88"/>
      <c r="F571" s="3"/>
      <c r="G571" s="88"/>
      <c r="H571" s="88"/>
      <c r="I571" s="89"/>
    </row>
    <row r="572">
      <c r="A572" s="3"/>
      <c r="B572" s="88"/>
      <c r="C572" s="88"/>
      <c r="D572" s="89"/>
      <c r="E572" s="88"/>
      <c r="F572" s="3"/>
      <c r="G572" s="88"/>
      <c r="H572" s="88"/>
      <c r="I572" s="89"/>
    </row>
    <row r="573">
      <c r="A573" s="3"/>
      <c r="B573" s="88"/>
      <c r="C573" s="88"/>
      <c r="D573" s="89"/>
      <c r="E573" s="88"/>
      <c r="F573" s="3"/>
      <c r="G573" s="88"/>
      <c r="H573" s="88"/>
      <c r="I573" s="89"/>
    </row>
    <row r="574">
      <c r="A574" s="3"/>
      <c r="B574" s="88"/>
      <c r="C574" s="88"/>
      <c r="D574" s="89"/>
      <c r="E574" s="88"/>
      <c r="F574" s="3"/>
      <c r="G574" s="88"/>
      <c r="H574" s="88"/>
      <c r="I574" s="89"/>
    </row>
    <row r="575">
      <c r="A575" s="3"/>
      <c r="B575" s="88"/>
      <c r="C575" s="88"/>
      <c r="D575" s="89"/>
      <c r="E575" s="88"/>
      <c r="F575" s="3"/>
      <c r="G575" s="88"/>
      <c r="H575" s="88"/>
      <c r="I575" s="89"/>
    </row>
    <row r="576">
      <c r="A576" s="3"/>
      <c r="B576" s="88"/>
      <c r="C576" s="88"/>
      <c r="D576" s="89"/>
      <c r="E576" s="88"/>
      <c r="F576" s="3"/>
      <c r="G576" s="88"/>
      <c r="H576" s="88"/>
      <c r="I576" s="89"/>
    </row>
    <row r="577">
      <c r="A577" s="3"/>
      <c r="B577" s="88"/>
      <c r="C577" s="88"/>
      <c r="D577" s="89"/>
      <c r="E577" s="88"/>
      <c r="F577" s="3"/>
      <c r="G577" s="88"/>
      <c r="H577" s="88"/>
      <c r="I577" s="89"/>
    </row>
    <row r="578">
      <c r="A578" s="3"/>
      <c r="B578" s="88"/>
      <c r="C578" s="88"/>
      <c r="D578" s="89"/>
      <c r="E578" s="88"/>
      <c r="F578" s="3"/>
      <c r="G578" s="88"/>
      <c r="H578" s="88"/>
      <c r="I578" s="89"/>
    </row>
    <row r="579">
      <c r="A579" s="3"/>
      <c r="B579" s="88"/>
      <c r="C579" s="88"/>
      <c r="D579" s="89"/>
      <c r="E579" s="88"/>
      <c r="F579" s="3"/>
      <c r="G579" s="88"/>
      <c r="H579" s="88"/>
      <c r="I579" s="89"/>
    </row>
    <row r="580">
      <c r="A580" s="3"/>
      <c r="B580" s="88"/>
      <c r="C580" s="88"/>
      <c r="D580" s="89"/>
      <c r="E580" s="88"/>
      <c r="F580" s="3"/>
      <c r="G580" s="88"/>
      <c r="H580" s="88"/>
      <c r="I580" s="89"/>
    </row>
    <row r="581">
      <c r="A581" s="3"/>
      <c r="B581" s="88"/>
      <c r="C581" s="88"/>
      <c r="D581" s="89"/>
      <c r="E581" s="88"/>
      <c r="F581" s="3"/>
      <c r="G581" s="88"/>
      <c r="H581" s="88"/>
      <c r="I581" s="89"/>
    </row>
    <row r="582">
      <c r="A582" s="3"/>
      <c r="B582" s="88"/>
      <c r="C582" s="88"/>
      <c r="D582" s="89"/>
      <c r="E582" s="88"/>
      <c r="F582" s="3"/>
      <c r="G582" s="88"/>
      <c r="H582" s="88"/>
      <c r="I582" s="89"/>
    </row>
    <row r="583">
      <c r="A583" s="3"/>
      <c r="B583" s="88"/>
      <c r="C583" s="88"/>
      <c r="D583" s="89"/>
      <c r="E583" s="88"/>
      <c r="F583" s="3"/>
      <c r="G583" s="88"/>
      <c r="H583" s="88"/>
      <c r="I583" s="89"/>
    </row>
    <row r="584">
      <c r="A584" s="3"/>
      <c r="B584" s="88"/>
      <c r="C584" s="88"/>
      <c r="D584" s="89"/>
      <c r="E584" s="88"/>
      <c r="F584" s="3"/>
      <c r="G584" s="88"/>
      <c r="H584" s="88"/>
      <c r="I584" s="89"/>
    </row>
    <row r="585">
      <c r="A585" s="3"/>
      <c r="B585" s="88"/>
      <c r="C585" s="88"/>
      <c r="D585" s="89"/>
      <c r="E585" s="88"/>
      <c r="F585" s="3"/>
      <c r="G585" s="88"/>
      <c r="H585" s="88"/>
      <c r="I585" s="89"/>
    </row>
    <row r="586">
      <c r="A586" s="3"/>
      <c r="B586" s="88"/>
      <c r="C586" s="88"/>
      <c r="D586" s="89"/>
      <c r="E586" s="88"/>
      <c r="F586" s="3"/>
      <c r="G586" s="88"/>
      <c r="H586" s="88"/>
      <c r="I586" s="89"/>
    </row>
    <row r="587">
      <c r="A587" s="3"/>
      <c r="B587" s="88"/>
      <c r="C587" s="88"/>
      <c r="D587" s="89"/>
      <c r="E587" s="88"/>
      <c r="F587" s="3"/>
      <c r="G587" s="88"/>
      <c r="H587" s="88"/>
      <c r="I587" s="89"/>
    </row>
    <row r="588">
      <c r="A588" s="3"/>
      <c r="B588" s="88"/>
      <c r="C588" s="88"/>
      <c r="D588" s="89"/>
      <c r="E588" s="88"/>
      <c r="F588" s="3"/>
      <c r="G588" s="88"/>
      <c r="H588" s="88"/>
      <c r="I588" s="89"/>
    </row>
    <row r="589">
      <c r="A589" s="3"/>
      <c r="B589" s="88"/>
      <c r="C589" s="88"/>
      <c r="D589" s="89"/>
      <c r="E589" s="88"/>
      <c r="F589" s="3"/>
      <c r="G589" s="88"/>
      <c r="H589" s="88"/>
      <c r="I589" s="89"/>
    </row>
    <row r="590">
      <c r="A590" s="3"/>
      <c r="B590" s="88"/>
      <c r="C590" s="88"/>
      <c r="D590" s="89"/>
      <c r="E590" s="88"/>
      <c r="F590" s="3"/>
      <c r="G590" s="88"/>
      <c r="H590" s="88"/>
      <c r="I590" s="89"/>
    </row>
    <row r="591">
      <c r="A591" s="3"/>
      <c r="B591" s="88"/>
      <c r="C591" s="88"/>
      <c r="D591" s="89"/>
      <c r="E591" s="88"/>
      <c r="F591" s="3"/>
      <c r="G591" s="88"/>
      <c r="H591" s="88"/>
      <c r="I591" s="89"/>
    </row>
    <row r="592">
      <c r="A592" s="3"/>
      <c r="B592" s="88"/>
      <c r="C592" s="88"/>
      <c r="D592" s="89"/>
      <c r="E592" s="88"/>
      <c r="F592" s="3"/>
      <c r="G592" s="88"/>
      <c r="H592" s="88"/>
      <c r="I592" s="89"/>
    </row>
    <row r="593">
      <c r="A593" s="3"/>
      <c r="B593" s="88"/>
      <c r="C593" s="88"/>
      <c r="D593" s="89"/>
      <c r="E593" s="88"/>
      <c r="F593" s="3"/>
      <c r="G593" s="88"/>
      <c r="H593" s="88"/>
      <c r="I593" s="89"/>
    </row>
    <row r="594">
      <c r="A594" s="3"/>
      <c r="B594" s="88"/>
      <c r="C594" s="88"/>
      <c r="D594" s="89"/>
      <c r="E594" s="88"/>
      <c r="F594" s="3"/>
      <c r="G594" s="88"/>
      <c r="H594" s="88"/>
      <c r="I594" s="89"/>
    </row>
    <row r="595">
      <c r="A595" s="3"/>
      <c r="B595" s="88"/>
      <c r="C595" s="88"/>
      <c r="D595" s="89"/>
      <c r="E595" s="88"/>
      <c r="F595" s="3"/>
      <c r="G595" s="88"/>
      <c r="H595" s="88"/>
      <c r="I595" s="89"/>
    </row>
    <row r="596">
      <c r="A596" s="3"/>
      <c r="B596" s="88"/>
      <c r="C596" s="88"/>
      <c r="D596" s="89"/>
      <c r="E596" s="88"/>
      <c r="F596" s="3"/>
      <c r="G596" s="88"/>
      <c r="H596" s="88"/>
      <c r="I596" s="89"/>
    </row>
    <row r="597">
      <c r="A597" s="3"/>
      <c r="B597" s="88"/>
      <c r="C597" s="88"/>
      <c r="D597" s="89"/>
      <c r="E597" s="88"/>
      <c r="F597" s="3"/>
      <c r="G597" s="88"/>
      <c r="H597" s="88"/>
      <c r="I597" s="89"/>
    </row>
    <row r="598">
      <c r="A598" s="3"/>
      <c r="B598" s="88"/>
      <c r="C598" s="88"/>
      <c r="D598" s="89"/>
      <c r="E598" s="88"/>
      <c r="F598" s="3"/>
      <c r="G598" s="88"/>
      <c r="H598" s="88"/>
      <c r="I598" s="89"/>
    </row>
    <row r="599">
      <c r="A599" s="3"/>
      <c r="B599" s="88"/>
      <c r="C599" s="88"/>
      <c r="D599" s="89"/>
      <c r="E599" s="88"/>
      <c r="F599" s="3"/>
      <c r="G599" s="88"/>
      <c r="H599" s="88"/>
      <c r="I599" s="89"/>
    </row>
    <row r="600">
      <c r="A600" s="3"/>
      <c r="B600" s="88"/>
      <c r="C600" s="88"/>
      <c r="D600" s="89"/>
      <c r="E600" s="88"/>
      <c r="F600" s="3"/>
      <c r="G600" s="88"/>
      <c r="H600" s="88"/>
      <c r="I600" s="89"/>
    </row>
    <row r="601">
      <c r="A601" s="3"/>
      <c r="B601" s="88"/>
      <c r="C601" s="88"/>
      <c r="D601" s="89"/>
      <c r="E601" s="88"/>
      <c r="F601" s="3"/>
      <c r="G601" s="88"/>
      <c r="H601" s="88"/>
      <c r="I601" s="89"/>
    </row>
    <row r="602">
      <c r="A602" s="3"/>
      <c r="B602" s="88"/>
      <c r="C602" s="88"/>
      <c r="D602" s="89"/>
      <c r="E602" s="88"/>
      <c r="F602" s="3"/>
      <c r="G602" s="88"/>
      <c r="H602" s="88"/>
      <c r="I602" s="89"/>
    </row>
    <row r="603">
      <c r="A603" s="3"/>
      <c r="B603" s="88"/>
      <c r="C603" s="88"/>
      <c r="D603" s="89"/>
      <c r="E603" s="88"/>
      <c r="F603" s="3"/>
      <c r="G603" s="88"/>
      <c r="H603" s="88"/>
      <c r="I603" s="89"/>
    </row>
    <row r="604">
      <c r="A604" s="3"/>
      <c r="B604" s="88"/>
      <c r="C604" s="88"/>
      <c r="D604" s="89"/>
      <c r="E604" s="88"/>
      <c r="F604" s="3"/>
      <c r="G604" s="88"/>
      <c r="H604" s="88"/>
      <c r="I604" s="89"/>
    </row>
    <row r="605">
      <c r="A605" s="3"/>
      <c r="B605" s="88"/>
      <c r="C605" s="88"/>
      <c r="D605" s="89"/>
      <c r="E605" s="88"/>
      <c r="F605" s="3"/>
      <c r="G605" s="88"/>
      <c r="H605" s="88"/>
      <c r="I605" s="89"/>
    </row>
    <row r="606">
      <c r="A606" s="3"/>
      <c r="B606" s="88"/>
      <c r="C606" s="88"/>
      <c r="D606" s="89"/>
      <c r="E606" s="88"/>
      <c r="F606" s="3"/>
      <c r="G606" s="88"/>
      <c r="H606" s="88"/>
      <c r="I606" s="89"/>
    </row>
    <row r="607">
      <c r="A607" s="3"/>
      <c r="B607" s="88"/>
      <c r="C607" s="88"/>
      <c r="D607" s="89"/>
      <c r="E607" s="88"/>
      <c r="F607" s="3"/>
      <c r="G607" s="88"/>
      <c r="H607" s="88"/>
      <c r="I607" s="89"/>
    </row>
    <row r="608">
      <c r="A608" s="3"/>
      <c r="B608" s="88"/>
      <c r="C608" s="88"/>
      <c r="D608" s="89"/>
      <c r="E608" s="88"/>
      <c r="F608" s="3"/>
      <c r="G608" s="88"/>
      <c r="H608" s="88"/>
      <c r="I608" s="89"/>
    </row>
    <row r="609">
      <c r="A609" s="3"/>
      <c r="B609" s="88"/>
      <c r="C609" s="88"/>
      <c r="D609" s="89"/>
      <c r="E609" s="88"/>
      <c r="F609" s="3"/>
      <c r="G609" s="88"/>
      <c r="H609" s="88"/>
      <c r="I609" s="89"/>
    </row>
    <row r="610">
      <c r="A610" s="3"/>
      <c r="B610" s="88"/>
      <c r="C610" s="88"/>
      <c r="D610" s="89"/>
      <c r="E610" s="88"/>
      <c r="F610" s="3"/>
      <c r="G610" s="88"/>
      <c r="H610" s="88"/>
      <c r="I610" s="89"/>
    </row>
    <row r="611">
      <c r="A611" s="3"/>
      <c r="B611" s="88"/>
      <c r="C611" s="88"/>
      <c r="D611" s="89"/>
      <c r="E611" s="88"/>
      <c r="F611" s="3"/>
      <c r="G611" s="88"/>
      <c r="H611" s="88"/>
      <c r="I611" s="89"/>
    </row>
    <row r="612">
      <c r="A612" s="3"/>
      <c r="B612" s="88"/>
      <c r="C612" s="88"/>
      <c r="D612" s="89"/>
      <c r="E612" s="88"/>
      <c r="F612" s="3"/>
      <c r="G612" s="88"/>
      <c r="H612" s="88"/>
      <c r="I612" s="89"/>
    </row>
    <row r="613">
      <c r="A613" s="3"/>
      <c r="B613" s="88"/>
      <c r="C613" s="88"/>
      <c r="D613" s="89"/>
      <c r="E613" s="88"/>
      <c r="F613" s="3"/>
      <c r="G613" s="88"/>
      <c r="H613" s="88"/>
      <c r="I613" s="89"/>
    </row>
    <row r="614">
      <c r="A614" s="3"/>
      <c r="B614" s="88"/>
      <c r="C614" s="88"/>
      <c r="D614" s="89"/>
      <c r="E614" s="88"/>
      <c r="F614" s="3"/>
      <c r="G614" s="88"/>
      <c r="H614" s="88"/>
      <c r="I614" s="89"/>
    </row>
    <row r="615">
      <c r="A615" s="3"/>
      <c r="B615" s="88"/>
      <c r="C615" s="88"/>
      <c r="D615" s="89"/>
      <c r="E615" s="88"/>
      <c r="F615" s="3"/>
      <c r="G615" s="88"/>
      <c r="H615" s="88"/>
      <c r="I615" s="89"/>
    </row>
    <row r="616">
      <c r="A616" s="3"/>
      <c r="B616" s="88"/>
      <c r="C616" s="88"/>
      <c r="D616" s="89"/>
      <c r="E616" s="88"/>
      <c r="F616" s="3"/>
      <c r="G616" s="88"/>
      <c r="H616" s="88"/>
      <c r="I616" s="89"/>
    </row>
    <row r="617">
      <c r="A617" s="3"/>
      <c r="B617" s="88"/>
      <c r="C617" s="88"/>
      <c r="D617" s="89"/>
      <c r="E617" s="88"/>
      <c r="F617" s="3"/>
      <c r="G617" s="88"/>
      <c r="H617" s="88"/>
      <c r="I617" s="89"/>
    </row>
    <row r="618">
      <c r="A618" s="3"/>
      <c r="B618" s="88"/>
      <c r="C618" s="88"/>
      <c r="D618" s="89"/>
      <c r="E618" s="88"/>
      <c r="F618" s="3"/>
      <c r="G618" s="88"/>
      <c r="H618" s="88"/>
      <c r="I618" s="89"/>
    </row>
    <row r="619">
      <c r="A619" s="3"/>
      <c r="B619" s="88"/>
      <c r="C619" s="88"/>
      <c r="D619" s="89"/>
      <c r="E619" s="88"/>
      <c r="F619" s="3"/>
      <c r="G619" s="88"/>
      <c r="H619" s="88"/>
      <c r="I619" s="89"/>
    </row>
    <row r="620">
      <c r="A620" s="3"/>
      <c r="B620" s="88"/>
      <c r="C620" s="88"/>
      <c r="D620" s="89"/>
      <c r="E620" s="88"/>
      <c r="F620" s="3"/>
      <c r="G620" s="88"/>
      <c r="H620" s="88"/>
      <c r="I620" s="89"/>
    </row>
    <row r="621">
      <c r="A621" s="3"/>
      <c r="B621" s="88"/>
      <c r="C621" s="88"/>
      <c r="D621" s="89"/>
      <c r="E621" s="88"/>
      <c r="F621" s="3"/>
      <c r="G621" s="88"/>
      <c r="H621" s="88"/>
      <c r="I621" s="89"/>
    </row>
    <row r="622">
      <c r="A622" s="3"/>
      <c r="B622" s="88"/>
      <c r="C622" s="88"/>
      <c r="D622" s="89"/>
      <c r="E622" s="88"/>
      <c r="F622" s="3"/>
      <c r="G622" s="88"/>
      <c r="H622" s="88"/>
      <c r="I622" s="89"/>
    </row>
    <row r="623">
      <c r="A623" s="3"/>
      <c r="B623" s="88"/>
      <c r="C623" s="88"/>
      <c r="D623" s="89"/>
      <c r="E623" s="88"/>
      <c r="F623" s="3"/>
      <c r="G623" s="88"/>
      <c r="H623" s="88"/>
      <c r="I623" s="89"/>
    </row>
    <row r="624">
      <c r="A624" s="3"/>
      <c r="B624" s="88"/>
      <c r="C624" s="88"/>
      <c r="D624" s="89"/>
      <c r="E624" s="88"/>
      <c r="F624" s="3"/>
      <c r="G624" s="88"/>
      <c r="H624" s="88"/>
      <c r="I624" s="89"/>
    </row>
    <row r="625">
      <c r="A625" s="3"/>
      <c r="B625" s="88"/>
      <c r="C625" s="88"/>
      <c r="D625" s="89"/>
      <c r="E625" s="88"/>
      <c r="F625" s="3"/>
      <c r="G625" s="88"/>
      <c r="H625" s="88"/>
      <c r="I625" s="89"/>
    </row>
    <row r="626">
      <c r="A626" s="3"/>
      <c r="B626" s="88"/>
      <c r="C626" s="88"/>
      <c r="D626" s="89"/>
      <c r="E626" s="88"/>
      <c r="F626" s="3"/>
      <c r="G626" s="88"/>
      <c r="H626" s="88"/>
      <c r="I626" s="89"/>
    </row>
    <row r="627">
      <c r="A627" s="3"/>
      <c r="B627" s="88"/>
      <c r="C627" s="88"/>
      <c r="D627" s="89"/>
      <c r="E627" s="88"/>
      <c r="F627" s="3"/>
      <c r="G627" s="88"/>
      <c r="H627" s="88"/>
      <c r="I627" s="89"/>
    </row>
    <row r="628">
      <c r="A628" s="3"/>
      <c r="B628" s="88"/>
      <c r="C628" s="88"/>
      <c r="D628" s="89"/>
      <c r="E628" s="88"/>
      <c r="F628" s="3"/>
      <c r="G628" s="88"/>
      <c r="H628" s="88"/>
      <c r="I628" s="89"/>
    </row>
    <row r="629">
      <c r="A629" s="3"/>
      <c r="B629" s="88"/>
      <c r="C629" s="88"/>
      <c r="D629" s="89"/>
      <c r="E629" s="88"/>
      <c r="F629" s="3"/>
      <c r="G629" s="88"/>
      <c r="H629" s="88"/>
      <c r="I629" s="89"/>
    </row>
    <row r="630">
      <c r="A630" s="3"/>
      <c r="B630" s="88"/>
      <c r="C630" s="88"/>
      <c r="D630" s="89"/>
      <c r="E630" s="88"/>
      <c r="F630" s="3"/>
      <c r="G630" s="88"/>
      <c r="H630" s="88"/>
      <c r="I630" s="89"/>
    </row>
    <row r="631">
      <c r="A631" s="3"/>
      <c r="B631" s="88"/>
      <c r="C631" s="88"/>
      <c r="D631" s="89"/>
      <c r="E631" s="88"/>
      <c r="F631" s="3"/>
      <c r="G631" s="88"/>
      <c r="H631" s="88"/>
      <c r="I631" s="89"/>
    </row>
    <row r="632">
      <c r="A632" s="3"/>
      <c r="B632" s="88"/>
      <c r="C632" s="88"/>
      <c r="D632" s="89"/>
      <c r="E632" s="88"/>
      <c r="F632" s="3"/>
      <c r="G632" s="88"/>
      <c r="H632" s="88"/>
      <c r="I632" s="89"/>
    </row>
    <row r="633">
      <c r="A633" s="3"/>
      <c r="B633" s="88"/>
      <c r="C633" s="88"/>
      <c r="D633" s="89"/>
      <c r="E633" s="88"/>
      <c r="F633" s="3"/>
      <c r="G633" s="88"/>
      <c r="H633" s="88"/>
      <c r="I633" s="89"/>
    </row>
    <row r="634">
      <c r="A634" s="3"/>
      <c r="B634" s="88"/>
      <c r="C634" s="88"/>
      <c r="D634" s="89"/>
      <c r="E634" s="88"/>
      <c r="F634" s="3"/>
      <c r="G634" s="88"/>
      <c r="H634" s="88"/>
      <c r="I634" s="89"/>
    </row>
    <row r="635">
      <c r="A635" s="3"/>
      <c r="B635" s="88"/>
      <c r="C635" s="88"/>
      <c r="D635" s="89"/>
      <c r="E635" s="88"/>
      <c r="F635" s="3"/>
      <c r="G635" s="88"/>
      <c r="H635" s="88"/>
      <c r="I635" s="89"/>
    </row>
    <row r="636">
      <c r="A636" s="3"/>
      <c r="B636" s="88"/>
      <c r="C636" s="88"/>
      <c r="D636" s="89"/>
      <c r="E636" s="88"/>
      <c r="F636" s="3"/>
      <c r="G636" s="88"/>
      <c r="H636" s="88"/>
      <c r="I636" s="89"/>
    </row>
    <row r="637">
      <c r="A637" s="3"/>
      <c r="B637" s="88"/>
      <c r="C637" s="88"/>
      <c r="D637" s="89"/>
      <c r="E637" s="88"/>
      <c r="F637" s="3"/>
      <c r="G637" s="88"/>
      <c r="H637" s="88"/>
      <c r="I637" s="89"/>
    </row>
    <row r="638">
      <c r="A638" s="3"/>
      <c r="B638" s="88"/>
      <c r="C638" s="88"/>
      <c r="D638" s="89"/>
      <c r="E638" s="88"/>
      <c r="F638" s="3"/>
      <c r="G638" s="88"/>
      <c r="H638" s="88"/>
      <c r="I638" s="89"/>
    </row>
    <row r="639">
      <c r="A639" s="3"/>
      <c r="B639" s="88"/>
      <c r="C639" s="88"/>
      <c r="D639" s="89"/>
      <c r="E639" s="88"/>
      <c r="F639" s="3"/>
      <c r="G639" s="88"/>
      <c r="H639" s="88"/>
      <c r="I639" s="89"/>
    </row>
    <row r="640">
      <c r="A640" s="3"/>
      <c r="B640" s="88"/>
      <c r="C640" s="88"/>
      <c r="D640" s="89"/>
      <c r="E640" s="88"/>
      <c r="F640" s="3"/>
      <c r="G640" s="88"/>
      <c r="H640" s="88"/>
      <c r="I640" s="89"/>
    </row>
    <row r="641">
      <c r="A641" s="3"/>
      <c r="B641" s="88"/>
      <c r="C641" s="88"/>
      <c r="D641" s="89"/>
      <c r="E641" s="88"/>
      <c r="F641" s="3"/>
      <c r="G641" s="88"/>
      <c r="H641" s="88"/>
      <c r="I641" s="89"/>
    </row>
    <row r="642">
      <c r="A642" s="3"/>
      <c r="B642" s="88"/>
      <c r="C642" s="88"/>
      <c r="D642" s="89"/>
      <c r="E642" s="88"/>
      <c r="F642" s="3"/>
      <c r="G642" s="88"/>
      <c r="H642" s="88"/>
      <c r="I642" s="89"/>
    </row>
    <row r="643">
      <c r="A643" s="3"/>
      <c r="B643" s="88"/>
      <c r="C643" s="88"/>
      <c r="D643" s="89"/>
      <c r="E643" s="88"/>
      <c r="F643" s="3"/>
      <c r="G643" s="88"/>
      <c r="H643" s="88"/>
      <c r="I643" s="89"/>
    </row>
    <row r="644">
      <c r="A644" s="3"/>
      <c r="B644" s="88"/>
      <c r="C644" s="88"/>
      <c r="D644" s="89"/>
      <c r="E644" s="88"/>
      <c r="F644" s="3"/>
      <c r="G644" s="88"/>
      <c r="H644" s="88"/>
      <c r="I644" s="89"/>
    </row>
    <row r="645">
      <c r="A645" s="3"/>
      <c r="B645" s="88"/>
      <c r="C645" s="88"/>
      <c r="D645" s="89"/>
      <c r="E645" s="88"/>
      <c r="F645" s="3"/>
      <c r="G645" s="88"/>
      <c r="H645" s="88"/>
      <c r="I645" s="89"/>
    </row>
    <row r="646">
      <c r="A646" s="3"/>
      <c r="B646" s="88"/>
      <c r="C646" s="88"/>
      <c r="D646" s="89"/>
      <c r="E646" s="88"/>
      <c r="F646" s="3"/>
      <c r="G646" s="88"/>
      <c r="H646" s="88"/>
      <c r="I646" s="89"/>
    </row>
    <row r="647">
      <c r="A647" s="3"/>
      <c r="B647" s="88"/>
      <c r="C647" s="88"/>
      <c r="D647" s="89"/>
      <c r="E647" s="88"/>
      <c r="F647" s="3"/>
      <c r="G647" s="88"/>
      <c r="H647" s="88"/>
      <c r="I647" s="89"/>
    </row>
    <row r="648">
      <c r="A648" s="3"/>
      <c r="B648" s="88"/>
      <c r="C648" s="88"/>
      <c r="D648" s="89"/>
      <c r="E648" s="88"/>
      <c r="F648" s="3"/>
      <c r="G648" s="88"/>
      <c r="H648" s="88"/>
      <c r="I648" s="89"/>
    </row>
    <row r="649">
      <c r="A649" s="3"/>
      <c r="B649" s="88"/>
      <c r="C649" s="88"/>
      <c r="D649" s="89"/>
      <c r="E649" s="88"/>
      <c r="F649" s="3"/>
      <c r="G649" s="88"/>
      <c r="H649" s="88"/>
      <c r="I649" s="89"/>
    </row>
    <row r="650">
      <c r="A650" s="3"/>
      <c r="B650" s="88"/>
      <c r="C650" s="88"/>
      <c r="D650" s="89"/>
      <c r="E650" s="88"/>
      <c r="F650" s="3"/>
      <c r="G650" s="88"/>
      <c r="H650" s="88"/>
      <c r="I650" s="89"/>
    </row>
    <row r="651">
      <c r="A651" s="3"/>
      <c r="B651" s="88"/>
      <c r="C651" s="88"/>
      <c r="D651" s="89"/>
      <c r="E651" s="88"/>
      <c r="F651" s="3"/>
      <c r="G651" s="88"/>
      <c r="H651" s="88"/>
      <c r="I651" s="89"/>
    </row>
    <row r="652">
      <c r="A652" s="3"/>
      <c r="B652" s="88"/>
      <c r="C652" s="88"/>
      <c r="D652" s="89"/>
      <c r="E652" s="88"/>
      <c r="F652" s="3"/>
      <c r="G652" s="88"/>
      <c r="H652" s="88"/>
      <c r="I652" s="89"/>
    </row>
    <row r="653">
      <c r="A653" s="3"/>
      <c r="B653" s="88"/>
      <c r="C653" s="88"/>
      <c r="D653" s="89"/>
      <c r="E653" s="88"/>
      <c r="F653" s="3"/>
      <c r="G653" s="88"/>
      <c r="H653" s="88"/>
      <c r="I653" s="89"/>
    </row>
    <row r="654">
      <c r="A654" s="3"/>
      <c r="B654" s="88"/>
      <c r="C654" s="88"/>
      <c r="D654" s="89"/>
      <c r="E654" s="88"/>
      <c r="F654" s="3"/>
      <c r="G654" s="88"/>
      <c r="H654" s="88"/>
      <c r="I654" s="89"/>
    </row>
    <row r="655">
      <c r="A655" s="3"/>
      <c r="B655" s="88"/>
      <c r="C655" s="88"/>
      <c r="D655" s="89"/>
      <c r="E655" s="88"/>
      <c r="F655" s="3"/>
      <c r="G655" s="88"/>
      <c r="H655" s="88"/>
      <c r="I655" s="89"/>
    </row>
    <row r="656">
      <c r="A656" s="3"/>
      <c r="B656" s="88"/>
      <c r="C656" s="88"/>
      <c r="D656" s="89"/>
      <c r="E656" s="88"/>
      <c r="F656" s="3"/>
      <c r="G656" s="88"/>
      <c r="H656" s="88"/>
      <c r="I656" s="89"/>
    </row>
    <row r="657">
      <c r="A657" s="3"/>
      <c r="B657" s="88"/>
      <c r="C657" s="88"/>
      <c r="D657" s="89"/>
      <c r="E657" s="88"/>
      <c r="F657" s="3"/>
      <c r="G657" s="88"/>
      <c r="H657" s="88"/>
      <c r="I657" s="89"/>
    </row>
    <row r="658">
      <c r="A658" s="3"/>
      <c r="B658" s="88"/>
      <c r="C658" s="88"/>
      <c r="D658" s="89"/>
      <c r="E658" s="88"/>
      <c r="F658" s="3"/>
      <c r="G658" s="88"/>
      <c r="H658" s="88"/>
      <c r="I658" s="89"/>
    </row>
    <row r="659">
      <c r="A659" s="3"/>
      <c r="B659" s="88"/>
      <c r="C659" s="88"/>
      <c r="D659" s="89"/>
      <c r="E659" s="88"/>
      <c r="F659" s="3"/>
      <c r="G659" s="88"/>
      <c r="H659" s="88"/>
      <c r="I659" s="89"/>
    </row>
    <row r="660">
      <c r="A660" s="3"/>
      <c r="B660" s="88"/>
      <c r="C660" s="88"/>
      <c r="D660" s="89"/>
      <c r="E660" s="88"/>
      <c r="F660" s="3"/>
      <c r="G660" s="88"/>
      <c r="H660" s="88"/>
      <c r="I660" s="89"/>
    </row>
    <row r="661">
      <c r="A661" s="3"/>
      <c r="B661" s="88"/>
      <c r="C661" s="88"/>
      <c r="D661" s="89"/>
      <c r="E661" s="88"/>
      <c r="F661" s="3"/>
      <c r="G661" s="88"/>
      <c r="H661" s="88"/>
      <c r="I661" s="89"/>
    </row>
    <row r="662">
      <c r="A662" s="3"/>
      <c r="B662" s="88"/>
      <c r="C662" s="88"/>
      <c r="D662" s="89"/>
      <c r="E662" s="88"/>
      <c r="F662" s="3"/>
      <c r="G662" s="88"/>
      <c r="H662" s="88"/>
      <c r="I662" s="89"/>
    </row>
    <row r="663">
      <c r="A663" s="3"/>
      <c r="B663" s="88"/>
      <c r="C663" s="88"/>
      <c r="D663" s="89"/>
      <c r="E663" s="88"/>
      <c r="F663" s="3"/>
      <c r="G663" s="88"/>
      <c r="H663" s="88"/>
      <c r="I663" s="89"/>
    </row>
    <row r="664">
      <c r="A664" s="3"/>
      <c r="B664" s="88"/>
      <c r="C664" s="88"/>
      <c r="D664" s="89"/>
      <c r="E664" s="88"/>
      <c r="F664" s="3"/>
      <c r="G664" s="88"/>
      <c r="H664" s="88"/>
      <c r="I664" s="89"/>
    </row>
    <row r="665">
      <c r="A665" s="3"/>
      <c r="B665" s="88"/>
      <c r="C665" s="88"/>
      <c r="D665" s="89"/>
      <c r="E665" s="88"/>
      <c r="F665" s="3"/>
      <c r="G665" s="88"/>
      <c r="H665" s="88"/>
      <c r="I665" s="89"/>
    </row>
    <row r="666">
      <c r="A666" s="3"/>
      <c r="B666" s="88"/>
      <c r="C666" s="88"/>
      <c r="D666" s="89"/>
      <c r="E666" s="88"/>
      <c r="F666" s="3"/>
      <c r="G666" s="88"/>
      <c r="H666" s="88"/>
      <c r="I666" s="89"/>
    </row>
    <row r="667">
      <c r="A667" s="3"/>
      <c r="B667" s="88"/>
      <c r="C667" s="88"/>
      <c r="D667" s="89"/>
      <c r="E667" s="88"/>
      <c r="F667" s="3"/>
      <c r="G667" s="88"/>
      <c r="H667" s="88"/>
      <c r="I667" s="89"/>
    </row>
    <row r="668">
      <c r="A668" s="3"/>
      <c r="B668" s="88"/>
      <c r="C668" s="88"/>
      <c r="D668" s="89"/>
      <c r="E668" s="88"/>
      <c r="F668" s="3"/>
      <c r="G668" s="88"/>
      <c r="H668" s="88"/>
      <c r="I668" s="89"/>
    </row>
    <row r="669">
      <c r="A669" s="3"/>
      <c r="B669" s="88"/>
      <c r="C669" s="88"/>
      <c r="D669" s="89"/>
      <c r="E669" s="88"/>
      <c r="F669" s="3"/>
      <c r="G669" s="88"/>
      <c r="H669" s="88"/>
      <c r="I669" s="89"/>
    </row>
    <row r="670">
      <c r="A670" s="3"/>
      <c r="B670" s="88"/>
      <c r="C670" s="88"/>
      <c r="D670" s="89"/>
      <c r="E670" s="88"/>
      <c r="F670" s="3"/>
      <c r="G670" s="88"/>
      <c r="H670" s="88"/>
      <c r="I670" s="89"/>
    </row>
    <row r="671">
      <c r="A671" s="3"/>
      <c r="B671" s="88"/>
      <c r="C671" s="88"/>
      <c r="D671" s="89"/>
      <c r="E671" s="88"/>
      <c r="F671" s="3"/>
      <c r="G671" s="88"/>
      <c r="H671" s="88"/>
      <c r="I671" s="89"/>
    </row>
    <row r="672">
      <c r="A672" s="3"/>
      <c r="B672" s="88"/>
      <c r="C672" s="88"/>
      <c r="D672" s="89"/>
      <c r="E672" s="88"/>
      <c r="F672" s="3"/>
      <c r="G672" s="88"/>
      <c r="H672" s="88"/>
      <c r="I672" s="89"/>
    </row>
    <row r="673">
      <c r="A673" s="3"/>
      <c r="B673" s="88"/>
      <c r="C673" s="88"/>
      <c r="D673" s="89"/>
      <c r="E673" s="88"/>
      <c r="F673" s="3"/>
      <c r="G673" s="88"/>
      <c r="H673" s="88"/>
      <c r="I673" s="89"/>
    </row>
    <row r="674">
      <c r="A674" s="3"/>
      <c r="B674" s="88"/>
      <c r="C674" s="88"/>
      <c r="D674" s="89"/>
      <c r="E674" s="88"/>
      <c r="F674" s="3"/>
      <c r="G674" s="88"/>
      <c r="H674" s="88"/>
      <c r="I674" s="89"/>
    </row>
    <row r="675">
      <c r="A675" s="3"/>
      <c r="B675" s="88"/>
      <c r="C675" s="88"/>
      <c r="D675" s="89"/>
      <c r="E675" s="88"/>
      <c r="F675" s="3"/>
      <c r="G675" s="88"/>
      <c r="H675" s="88"/>
      <c r="I675" s="89"/>
    </row>
    <row r="676">
      <c r="A676" s="3"/>
      <c r="B676" s="88"/>
      <c r="C676" s="88"/>
      <c r="D676" s="89"/>
      <c r="E676" s="88"/>
      <c r="F676" s="3"/>
      <c r="G676" s="88"/>
      <c r="H676" s="88"/>
      <c r="I676" s="89"/>
    </row>
    <row r="677">
      <c r="A677" s="3"/>
      <c r="B677" s="88"/>
      <c r="C677" s="88"/>
      <c r="D677" s="89"/>
      <c r="E677" s="88"/>
      <c r="F677" s="3"/>
      <c r="G677" s="88"/>
      <c r="H677" s="88"/>
      <c r="I677" s="89"/>
    </row>
    <row r="678">
      <c r="A678" s="3"/>
      <c r="B678" s="88"/>
      <c r="C678" s="88"/>
      <c r="D678" s="89"/>
      <c r="E678" s="88"/>
      <c r="F678" s="3"/>
      <c r="G678" s="88"/>
      <c r="H678" s="88"/>
      <c r="I678" s="89"/>
    </row>
    <row r="679">
      <c r="A679" s="3"/>
      <c r="B679" s="88"/>
      <c r="C679" s="88"/>
      <c r="D679" s="89"/>
      <c r="E679" s="88"/>
      <c r="F679" s="3"/>
      <c r="G679" s="88"/>
      <c r="H679" s="88"/>
      <c r="I679" s="89"/>
    </row>
    <row r="680">
      <c r="A680" s="3"/>
      <c r="B680" s="88"/>
      <c r="C680" s="88"/>
      <c r="D680" s="89"/>
      <c r="E680" s="88"/>
      <c r="F680" s="3"/>
      <c r="G680" s="88"/>
      <c r="H680" s="88"/>
      <c r="I680" s="89"/>
    </row>
    <row r="681">
      <c r="A681" s="3"/>
      <c r="B681" s="88"/>
      <c r="C681" s="88"/>
      <c r="D681" s="89"/>
      <c r="E681" s="88"/>
      <c r="F681" s="3"/>
      <c r="G681" s="88"/>
      <c r="H681" s="88"/>
      <c r="I681" s="89"/>
    </row>
    <row r="682">
      <c r="A682" s="3"/>
      <c r="B682" s="88"/>
      <c r="C682" s="88"/>
      <c r="D682" s="89"/>
      <c r="E682" s="88"/>
      <c r="F682" s="3"/>
      <c r="G682" s="88"/>
      <c r="H682" s="88"/>
      <c r="I682" s="89"/>
    </row>
    <row r="683">
      <c r="A683" s="3"/>
      <c r="B683" s="88"/>
      <c r="C683" s="88"/>
      <c r="D683" s="89"/>
      <c r="E683" s="88"/>
      <c r="F683" s="3"/>
      <c r="G683" s="88"/>
      <c r="H683" s="88"/>
      <c r="I683" s="89"/>
    </row>
    <row r="684">
      <c r="A684" s="3"/>
      <c r="B684" s="88"/>
      <c r="C684" s="88"/>
      <c r="D684" s="89"/>
      <c r="E684" s="88"/>
      <c r="F684" s="3"/>
      <c r="G684" s="88"/>
      <c r="H684" s="88"/>
      <c r="I684" s="89"/>
    </row>
    <row r="685">
      <c r="A685" s="3"/>
      <c r="B685" s="88"/>
      <c r="C685" s="88"/>
      <c r="D685" s="89"/>
      <c r="E685" s="88"/>
      <c r="F685" s="3"/>
      <c r="G685" s="88"/>
      <c r="H685" s="88"/>
      <c r="I685" s="89"/>
    </row>
    <row r="686">
      <c r="A686" s="3"/>
      <c r="B686" s="88"/>
      <c r="C686" s="88"/>
      <c r="D686" s="89"/>
      <c r="E686" s="88"/>
      <c r="F686" s="3"/>
      <c r="G686" s="88"/>
      <c r="H686" s="88"/>
      <c r="I686" s="89"/>
    </row>
    <row r="687">
      <c r="A687" s="3"/>
      <c r="B687" s="88"/>
      <c r="C687" s="88"/>
      <c r="D687" s="89"/>
      <c r="E687" s="88"/>
      <c r="F687" s="3"/>
      <c r="G687" s="88"/>
      <c r="H687" s="88"/>
      <c r="I687" s="89"/>
    </row>
    <row r="688">
      <c r="A688" s="3"/>
      <c r="B688" s="88"/>
      <c r="C688" s="88"/>
      <c r="D688" s="89"/>
      <c r="E688" s="88"/>
      <c r="F688" s="3"/>
      <c r="G688" s="88"/>
      <c r="H688" s="88"/>
      <c r="I688" s="89"/>
    </row>
    <row r="689">
      <c r="A689" s="3"/>
      <c r="B689" s="88"/>
      <c r="C689" s="88"/>
      <c r="D689" s="89"/>
      <c r="E689" s="88"/>
      <c r="F689" s="3"/>
      <c r="G689" s="88"/>
      <c r="H689" s="88"/>
      <c r="I689" s="89"/>
    </row>
    <row r="690">
      <c r="A690" s="3"/>
      <c r="B690" s="88"/>
      <c r="C690" s="88"/>
      <c r="D690" s="89"/>
      <c r="E690" s="88"/>
      <c r="F690" s="3"/>
      <c r="G690" s="88"/>
      <c r="H690" s="88"/>
      <c r="I690" s="89"/>
    </row>
    <row r="691">
      <c r="A691" s="3"/>
      <c r="B691" s="88"/>
      <c r="C691" s="88"/>
      <c r="D691" s="89"/>
      <c r="E691" s="88"/>
      <c r="F691" s="3"/>
      <c r="G691" s="88"/>
      <c r="H691" s="88"/>
      <c r="I691" s="89"/>
    </row>
    <row r="692">
      <c r="A692" s="3"/>
      <c r="B692" s="88"/>
      <c r="C692" s="88"/>
      <c r="D692" s="89"/>
      <c r="E692" s="88"/>
      <c r="F692" s="3"/>
      <c r="G692" s="88"/>
      <c r="H692" s="88"/>
      <c r="I692" s="89"/>
    </row>
    <row r="693">
      <c r="A693" s="3"/>
      <c r="B693" s="88"/>
      <c r="C693" s="88"/>
      <c r="D693" s="89"/>
      <c r="E693" s="88"/>
      <c r="F693" s="3"/>
      <c r="G693" s="88"/>
      <c r="H693" s="88"/>
      <c r="I693" s="89"/>
    </row>
    <row r="694">
      <c r="A694" s="3"/>
      <c r="B694" s="88"/>
      <c r="C694" s="88"/>
      <c r="D694" s="89"/>
      <c r="E694" s="88"/>
      <c r="F694" s="3"/>
      <c r="G694" s="88"/>
      <c r="H694" s="88"/>
      <c r="I694" s="89"/>
    </row>
    <row r="695">
      <c r="A695" s="3"/>
      <c r="B695" s="88"/>
      <c r="C695" s="88"/>
      <c r="D695" s="89"/>
      <c r="E695" s="88"/>
      <c r="F695" s="3"/>
      <c r="G695" s="88"/>
      <c r="H695" s="88"/>
      <c r="I695" s="89"/>
    </row>
    <row r="696">
      <c r="A696" s="3"/>
      <c r="B696" s="88"/>
      <c r="C696" s="88"/>
      <c r="D696" s="89"/>
      <c r="E696" s="88"/>
      <c r="F696" s="3"/>
      <c r="G696" s="88"/>
      <c r="H696" s="88"/>
      <c r="I696" s="89"/>
    </row>
    <row r="697">
      <c r="A697" s="3"/>
      <c r="B697" s="88"/>
      <c r="C697" s="88"/>
      <c r="D697" s="89"/>
      <c r="E697" s="88"/>
      <c r="F697" s="3"/>
      <c r="G697" s="88"/>
      <c r="H697" s="88"/>
      <c r="I697" s="89"/>
    </row>
    <row r="698">
      <c r="A698" s="3"/>
      <c r="B698" s="88"/>
      <c r="C698" s="88"/>
      <c r="D698" s="89"/>
      <c r="E698" s="88"/>
      <c r="F698" s="3"/>
      <c r="G698" s="88"/>
      <c r="H698" s="88"/>
      <c r="I698" s="89"/>
    </row>
    <row r="699">
      <c r="A699" s="3"/>
      <c r="B699" s="88"/>
      <c r="C699" s="88"/>
      <c r="D699" s="89"/>
      <c r="E699" s="88"/>
      <c r="F699" s="3"/>
      <c r="G699" s="88"/>
      <c r="H699" s="88"/>
      <c r="I699" s="89"/>
    </row>
    <row r="700">
      <c r="A700" s="3"/>
      <c r="B700" s="88"/>
      <c r="C700" s="88"/>
      <c r="D700" s="89"/>
      <c r="E700" s="88"/>
      <c r="F700" s="3"/>
      <c r="G700" s="88"/>
      <c r="H700" s="88"/>
      <c r="I700" s="89"/>
    </row>
    <row r="701">
      <c r="A701" s="3"/>
      <c r="B701" s="88"/>
      <c r="C701" s="88"/>
      <c r="D701" s="89"/>
      <c r="E701" s="88"/>
      <c r="F701" s="3"/>
      <c r="G701" s="88"/>
      <c r="H701" s="88"/>
      <c r="I701" s="89"/>
    </row>
    <row r="702">
      <c r="A702" s="3"/>
      <c r="B702" s="88"/>
      <c r="C702" s="88"/>
      <c r="D702" s="89"/>
      <c r="E702" s="88"/>
      <c r="F702" s="3"/>
      <c r="G702" s="88"/>
      <c r="H702" s="88"/>
      <c r="I702" s="89"/>
    </row>
    <row r="703">
      <c r="A703" s="3"/>
      <c r="B703" s="88"/>
      <c r="C703" s="88"/>
      <c r="D703" s="89"/>
      <c r="E703" s="88"/>
      <c r="F703" s="3"/>
      <c r="G703" s="88"/>
      <c r="H703" s="88"/>
      <c r="I703" s="89"/>
    </row>
    <row r="704">
      <c r="A704" s="3"/>
      <c r="B704" s="88"/>
      <c r="C704" s="88"/>
      <c r="D704" s="89"/>
      <c r="E704" s="88"/>
      <c r="F704" s="3"/>
      <c r="G704" s="88"/>
      <c r="H704" s="88"/>
      <c r="I704" s="89"/>
    </row>
    <row r="705">
      <c r="A705" s="3"/>
      <c r="B705" s="88"/>
      <c r="C705" s="88"/>
      <c r="D705" s="89"/>
      <c r="E705" s="88"/>
      <c r="F705" s="3"/>
      <c r="G705" s="88"/>
      <c r="H705" s="88"/>
      <c r="I705" s="89"/>
    </row>
    <row r="706">
      <c r="A706" s="3"/>
      <c r="B706" s="88"/>
      <c r="C706" s="88"/>
      <c r="D706" s="89"/>
      <c r="E706" s="88"/>
      <c r="F706" s="3"/>
      <c r="G706" s="88"/>
      <c r="H706" s="88"/>
      <c r="I706" s="89"/>
    </row>
    <row r="707">
      <c r="A707" s="3"/>
      <c r="B707" s="88"/>
      <c r="C707" s="88"/>
      <c r="D707" s="89"/>
      <c r="E707" s="88"/>
      <c r="F707" s="3"/>
      <c r="G707" s="88"/>
      <c r="H707" s="88"/>
      <c r="I707" s="89"/>
    </row>
    <row r="708">
      <c r="A708" s="3"/>
      <c r="B708" s="88"/>
      <c r="C708" s="88"/>
      <c r="D708" s="89"/>
      <c r="E708" s="88"/>
      <c r="F708" s="3"/>
      <c r="G708" s="88"/>
      <c r="H708" s="88"/>
      <c r="I708" s="89"/>
    </row>
    <row r="709">
      <c r="A709" s="3"/>
      <c r="B709" s="88"/>
      <c r="C709" s="88"/>
      <c r="D709" s="89"/>
      <c r="E709" s="88"/>
      <c r="F709" s="3"/>
      <c r="G709" s="88"/>
      <c r="H709" s="88"/>
      <c r="I709" s="89"/>
    </row>
    <row r="710">
      <c r="A710" s="3"/>
      <c r="B710" s="88"/>
      <c r="C710" s="88"/>
      <c r="D710" s="89"/>
      <c r="E710" s="88"/>
      <c r="F710" s="3"/>
      <c r="G710" s="88"/>
      <c r="H710" s="88"/>
      <c r="I710" s="89"/>
    </row>
    <row r="711">
      <c r="A711" s="3"/>
      <c r="B711" s="88"/>
      <c r="C711" s="88"/>
      <c r="D711" s="89"/>
      <c r="E711" s="88"/>
      <c r="F711" s="3"/>
      <c r="G711" s="88"/>
      <c r="H711" s="88"/>
      <c r="I711" s="89"/>
    </row>
    <row r="712">
      <c r="A712" s="3"/>
      <c r="B712" s="88"/>
      <c r="C712" s="88"/>
      <c r="D712" s="89"/>
      <c r="E712" s="88"/>
      <c r="F712" s="3"/>
      <c r="G712" s="88"/>
      <c r="H712" s="88"/>
      <c r="I712" s="89"/>
    </row>
    <row r="713">
      <c r="A713" s="3"/>
      <c r="B713" s="88"/>
      <c r="C713" s="88"/>
      <c r="D713" s="89"/>
      <c r="E713" s="88"/>
      <c r="F713" s="3"/>
      <c r="G713" s="88"/>
      <c r="H713" s="88"/>
      <c r="I713" s="89"/>
    </row>
    <row r="714">
      <c r="A714" s="3"/>
      <c r="B714" s="88"/>
      <c r="C714" s="88"/>
      <c r="D714" s="89"/>
      <c r="E714" s="88"/>
      <c r="F714" s="3"/>
      <c r="G714" s="88"/>
      <c r="H714" s="88"/>
      <c r="I714" s="89"/>
    </row>
    <row r="715">
      <c r="A715" s="3"/>
      <c r="B715" s="88"/>
      <c r="C715" s="88"/>
      <c r="D715" s="89"/>
      <c r="E715" s="88"/>
      <c r="F715" s="3"/>
      <c r="G715" s="88"/>
      <c r="H715" s="88"/>
      <c r="I715" s="89"/>
    </row>
    <row r="716">
      <c r="A716" s="3"/>
      <c r="B716" s="88"/>
      <c r="C716" s="88"/>
      <c r="D716" s="89"/>
      <c r="E716" s="88"/>
      <c r="F716" s="3"/>
      <c r="G716" s="88"/>
      <c r="H716" s="88"/>
      <c r="I716" s="89"/>
    </row>
    <row r="717">
      <c r="A717" s="3"/>
      <c r="B717" s="88"/>
      <c r="C717" s="88"/>
      <c r="D717" s="89"/>
      <c r="E717" s="88"/>
      <c r="F717" s="3"/>
      <c r="G717" s="88"/>
      <c r="H717" s="88"/>
      <c r="I717" s="89"/>
    </row>
    <row r="718">
      <c r="A718" s="3"/>
      <c r="B718" s="88"/>
      <c r="C718" s="88"/>
      <c r="D718" s="89"/>
      <c r="E718" s="88"/>
      <c r="F718" s="3"/>
      <c r="G718" s="88"/>
      <c r="H718" s="88"/>
      <c r="I718" s="89"/>
    </row>
    <row r="719">
      <c r="A719" s="3"/>
      <c r="B719" s="88"/>
      <c r="C719" s="88"/>
      <c r="D719" s="89"/>
      <c r="E719" s="88"/>
      <c r="F719" s="3"/>
      <c r="G719" s="88"/>
      <c r="H719" s="88"/>
      <c r="I719" s="89"/>
    </row>
    <row r="720">
      <c r="A720" s="3"/>
      <c r="B720" s="88"/>
      <c r="C720" s="88"/>
      <c r="D720" s="89"/>
      <c r="E720" s="88"/>
      <c r="F720" s="3"/>
      <c r="G720" s="88"/>
      <c r="H720" s="88"/>
      <c r="I720" s="89"/>
    </row>
    <row r="721">
      <c r="A721" s="3"/>
      <c r="B721" s="88"/>
      <c r="C721" s="88"/>
      <c r="D721" s="89"/>
      <c r="E721" s="88"/>
      <c r="F721" s="3"/>
      <c r="G721" s="88"/>
      <c r="H721" s="88"/>
      <c r="I721" s="89"/>
    </row>
    <row r="722">
      <c r="A722" s="3"/>
      <c r="B722" s="88"/>
      <c r="C722" s="88"/>
      <c r="D722" s="89"/>
      <c r="E722" s="88"/>
      <c r="F722" s="3"/>
      <c r="G722" s="88"/>
      <c r="H722" s="88"/>
      <c r="I722" s="89"/>
    </row>
    <row r="723">
      <c r="A723" s="3"/>
      <c r="B723" s="88"/>
      <c r="C723" s="88"/>
      <c r="D723" s="89"/>
      <c r="E723" s="88"/>
      <c r="F723" s="3"/>
      <c r="G723" s="88"/>
      <c r="H723" s="88"/>
      <c r="I723" s="89"/>
    </row>
    <row r="724">
      <c r="A724" s="3"/>
      <c r="B724" s="88"/>
      <c r="C724" s="88"/>
      <c r="D724" s="89"/>
      <c r="E724" s="88"/>
      <c r="F724" s="3"/>
      <c r="G724" s="88"/>
      <c r="H724" s="88"/>
      <c r="I724" s="89"/>
    </row>
    <row r="725">
      <c r="A725" s="3"/>
      <c r="B725" s="88"/>
      <c r="C725" s="88"/>
      <c r="D725" s="89"/>
      <c r="E725" s="88"/>
      <c r="F725" s="3"/>
      <c r="G725" s="88"/>
      <c r="H725" s="88"/>
      <c r="I725" s="89"/>
    </row>
    <row r="726">
      <c r="A726" s="3"/>
      <c r="B726" s="88"/>
      <c r="C726" s="88"/>
      <c r="D726" s="89"/>
      <c r="E726" s="88"/>
      <c r="F726" s="3"/>
      <c r="G726" s="88"/>
      <c r="H726" s="88"/>
      <c r="I726" s="89"/>
    </row>
    <row r="727">
      <c r="A727" s="3"/>
      <c r="B727" s="88"/>
      <c r="C727" s="88"/>
      <c r="D727" s="89"/>
      <c r="E727" s="88"/>
      <c r="F727" s="3"/>
      <c r="G727" s="88"/>
      <c r="H727" s="88"/>
      <c r="I727" s="89"/>
    </row>
    <row r="728">
      <c r="A728" s="3"/>
      <c r="B728" s="88"/>
      <c r="C728" s="88"/>
      <c r="D728" s="89"/>
      <c r="E728" s="88"/>
      <c r="F728" s="3"/>
      <c r="G728" s="88"/>
      <c r="H728" s="88"/>
      <c r="I728" s="89"/>
    </row>
    <row r="729">
      <c r="A729" s="3"/>
      <c r="B729" s="88"/>
      <c r="C729" s="88"/>
      <c r="D729" s="89"/>
      <c r="E729" s="88"/>
      <c r="F729" s="3"/>
      <c r="G729" s="88"/>
      <c r="H729" s="88"/>
      <c r="I729" s="89"/>
    </row>
    <row r="730">
      <c r="A730" s="3"/>
      <c r="B730" s="88"/>
      <c r="C730" s="88"/>
      <c r="D730" s="89"/>
      <c r="E730" s="88"/>
      <c r="F730" s="3"/>
      <c r="G730" s="88"/>
      <c r="H730" s="88"/>
      <c r="I730" s="89"/>
    </row>
    <row r="731">
      <c r="A731" s="3"/>
      <c r="B731" s="88"/>
      <c r="C731" s="88"/>
      <c r="D731" s="89"/>
      <c r="E731" s="88"/>
      <c r="F731" s="3"/>
      <c r="G731" s="88"/>
      <c r="H731" s="88"/>
      <c r="I731" s="89"/>
    </row>
    <row r="732">
      <c r="A732" s="3"/>
      <c r="B732" s="88"/>
      <c r="C732" s="88"/>
      <c r="D732" s="89"/>
      <c r="E732" s="88"/>
      <c r="F732" s="3"/>
      <c r="G732" s="88"/>
      <c r="H732" s="88"/>
      <c r="I732" s="89"/>
    </row>
    <row r="733">
      <c r="A733" s="3"/>
      <c r="B733" s="88"/>
      <c r="C733" s="88"/>
      <c r="D733" s="89"/>
      <c r="E733" s="88"/>
      <c r="F733" s="3"/>
      <c r="G733" s="88"/>
      <c r="H733" s="88"/>
      <c r="I733" s="89"/>
    </row>
    <row r="734">
      <c r="A734" s="3"/>
      <c r="B734" s="88"/>
      <c r="C734" s="88"/>
      <c r="D734" s="89"/>
      <c r="E734" s="88"/>
      <c r="F734" s="3"/>
      <c r="G734" s="88"/>
      <c r="H734" s="88"/>
      <c r="I734" s="89"/>
    </row>
    <row r="735">
      <c r="A735" s="3"/>
      <c r="B735" s="88"/>
      <c r="C735" s="88"/>
      <c r="D735" s="89"/>
      <c r="E735" s="88"/>
      <c r="F735" s="3"/>
      <c r="G735" s="88"/>
      <c r="H735" s="88"/>
      <c r="I735" s="89"/>
    </row>
    <row r="736">
      <c r="A736" s="3"/>
      <c r="B736" s="88"/>
      <c r="C736" s="88"/>
      <c r="D736" s="89"/>
      <c r="E736" s="88"/>
      <c r="F736" s="3"/>
      <c r="G736" s="88"/>
      <c r="H736" s="88"/>
      <c r="I736" s="89"/>
    </row>
    <row r="737">
      <c r="A737" s="3"/>
      <c r="B737" s="88"/>
      <c r="C737" s="88"/>
      <c r="D737" s="89"/>
      <c r="E737" s="88"/>
      <c r="F737" s="3"/>
      <c r="G737" s="88"/>
      <c r="H737" s="88"/>
      <c r="I737" s="89"/>
    </row>
    <row r="738">
      <c r="A738" s="3"/>
      <c r="B738" s="88"/>
      <c r="C738" s="88"/>
      <c r="D738" s="89"/>
      <c r="E738" s="88"/>
      <c r="F738" s="3"/>
      <c r="G738" s="88"/>
      <c r="H738" s="88"/>
      <c r="I738" s="89"/>
    </row>
    <row r="739">
      <c r="A739" s="3"/>
      <c r="B739" s="88"/>
      <c r="C739" s="88"/>
      <c r="D739" s="89"/>
      <c r="E739" s="88"/>
      <c r="F739" s="3"/>
      <c r="G739" s="88"/>
      <c r="H739" s="88"/>
      <c r="I739" s="89"/>
    </row>
    <row r="740">
      <c r="A740" s="3"/>
      <c r="B740" s="88"/>
      <c r="C740" s="88"/>
      <c r="D740" s="89"/>
      <c r="E740" s="88"/>
      <c r="F740" s="3"/>
      <c r="G740" s="88"/>
      <c r="H740" s="88"/>
      <c r="I740" s="89"/>
    </row>
    <row r="741">
      <c r="A741" s="3"/>
      <c r="B741" s="88"/>
      <c r="C741" s="88"/>
      <c r="D741" s="89"/>
      <c r="E741" s="88"/>
      <c r="F741" s="3"/>
      <c r="G741" s="88"/>
      <c r="H741" s="88"/>
      <c r="I741" s="89"/>
    </row>
    <row r="742">
      <c r="A742" s="3"/>
      <c r="B742" s="88"/>
      <c r="C742" s="88"/>
      <c r="D742" s="89"/>
      <c r="E742" s="88"/>
      <c r="F742" s="3"/>
      <c r="G742" s="88"/>
      <c r="H742" s="88"/>
      <c r="I742" s="89"/>
    </row>
    <row r="743">
      <c r="A743" s="3"/>
      <c r="B743" s="88"/>
      <c r="C743" s="88"/>
      <c r="D743" s="89"/>
      <c r="E743" s="88"/>
      <c r="F743" s="3"/>
      <c r="G743" s="88"/>
      <c r="H743" s="88"/>
      <c r="I743" s="89"/>
    </row>
    <row r="744">
      <c r="A744" s="3"/>
      <c r="B744" s="88"/>
      <c r="C744" s="88"/>
      <c r="D744" s="89"/>
      <c r="E744" s="88"/>
      <c r="F744" s="3"/>
      <c r="G744" s="88"/>
      <c r="H744" s="88"/>
      <c r="I744" s="89"/>
    </row>
    <row r="745">
      <c r="A745" s="3"/>
      <c r="B745" s="88"/>
      <c r="C745" s="88"/>
      <c r="D745" s="89"/>
      <c r="E745" s="88"/>
      <c r="F745" s="3"/>
      <c r="G745" s="88"/>
      <c r="H745" s="88"/>
      <c r="I745" s="89"/>
    </row>
    <row r="746">
      <c r="A746" s="3"/>
      <c r="B746" s="88"/>
      <c r="C746" s="88"/>
      <c r="D746" s="89"/>
      <c r="E746" s="88"/>
      <c r="F746" s="3"/>
      <c r="G746" s="88"/>
      <c r="H746" s="88"/>
      <c r="I746" s="89"/>
    </row>
    <row r="747">
      <c r="A747" s="3"/>
      <c r="B747" s="88"/>
      <c r="C747" s="88"/>
      <c r="D747" s="89"/>
      <c r="E747" s="88"/>
      <c r="F747" s="3"/>
      <c r="G747" s="88"/>
      <c r="H747" s="88"/>
      <c r="I747" s="89"/>
    </row>
    <row r="748">
      <c r="A748" s="3"/>
      <c r="B748" s="88"/>
      <c r="C748" s="88"/>
      <c r="D748" s="89"/>
      <c r="E748" s="88"/>
      <c r="F748" s="3"/>
      <c r="G748" s="88"/>
      <c r="H748" s="88"/>
      <c r="I748" s="89"/>
    </row>
    <row r="749">
      <c r="A749" s="3"/>
      <c r="B749" s="88"/>
      <c r="C749" s="88"/>
      <c r="D749" s="89"/>
      <c r="E749" s="88"/>
      <c r="F749" s="3"/>
      <c r="G749" s="88"/>
      <c r="H749" s="88"/>
      <c r="I749" s="89"/>
    </row>
    <row r="750">
      <c r="A750" s="3"/>
      <c r="B750" s="88"/>
      <c r="C750" s="88"/>
      <c r="D750" s="89"/>
      <c r="E750" s="88"/>
      <c r="F750" s="3"/>
      <c r="G750" s="88"/>
      <c r="H750" s="88"/>
      <c r="I750" s="89"/>
    </row>
    <row r="751">
      <c r="A751" s="3"/>
      <c r="B751" s="88"/>
      <c r="C751" s="88"/>
      <c r="D751" s="89"/>
      <c r="E751" s="88"/>
      <c r="F751" s="3"/>
      <c r="G751" s="88"/>
      <c r="H751" s="88"/>
      <c r="I751" s="89"/>
    </row>
    <row r="752">
      <c r="A752" s="3"/>
      <c r="B752" s="88"/>
      <c r="C752" s="88"/>
      <c r="D752" s="89"/>
      <c r="E752" s="88"/>
      <c r="F752" s="3"/>
      <c r="G752" s="88"/>
      <c r="H752" s="88"/>
      <c r="I752" s="89"/>
    </row>
    <row r="753">
      <c r="A753" s="3"/>
      <c r="B753" s="88"/>
      <c r="C753" s="88"/>
      <c r="D753" s="89"/>
      <c r="E753" s="88"/>
      <c r="F753" s="3"/>
      <c r="G753" s="88"/>
      <c r="H753" s="88"/>
      <c r="I753" s="89"/>
    </row>
    <row r="754">
      <c r="A754" s="3"/>
      <c r="B754" s="88"/>
      <c r="C754" s="88"/>
      <c r="D754" s="89"/>
      <c r="E754" s="88"/>
      <c r="F754" s="3"/>
      <c r="G754" s="88"/>
      <c r="H754" s="88"/>
      <c r="I754" s="89"/>
    </row>
    <row r="755">
      <c r="A755" s="3"/>
      <c r="B755" s="88"/>
      <c r="C755" s="88"/>
      <c r="D755" s="89"/>
      <c r="E755" s="88"/>
      <c r="F755" s="3"/>
      <c r="G755" s="88"/>
      <c r="H755" s="88"/>
      <c r="I755" s="89"/>
    </row>
    <row r="756">
      <c r="A756" s="3"/>
      <c r="B756" s="88"/>
      <c r="C756" s="88"/>
      <c r="D756" s="89"/>
      <c r="E756" s="88"/>
      <c r="F756" s="3"/>
      <c r="G756" s="88"/>
      <c r="H756" s="88"/>
      <c r="I756" s="89"/>
    </row>
    <row r="757">
      <c r="A757" s="3"/>
      <c r="B757" s="88"/>
      <c r="C757" s="88"/>
      <c r="D757" s="89"/>
      <c r="E757" s="88"/>
      <c r="F757" s="3"/>
      <c r="G757" s="88"/>
      <c r="H757" s="88"/>
      <c r="I757" s="89"/>
    </row>
    <row r="758">
      <c r="A758" s="3"/>
      <c r="B758" s="88"/>
      <c r="C758" s="88"/>
      <c r="D758" s="89"/>
      <c r="E758" s="88"/>
      <c r="F758" s="3"/>
      <c r="G758" s="88"/>
      <c r="H758" s="88"/>
      <c r="I758" s="89"/>
    </row>
    <row r="759">
      <c r="A759" s="3"/>
      <c r="B759" s="88"/>
      <c r="C759" s="88"/>
      <c r="D759" s="89"/>
      <c r="E759" s="88"/>
      <c r="F759" s="3"/>
      <c r="G759" s="88"/>
      <c r="H759" s="88"/>
      <c r="I759" s="89"/>
    </row>
    <row r="760">
      <c r="A760" s="3"/>
      <c r="B760" s="88"/>
      <c r="C760" s="88"/>
      <c r="D760" s="89"/>
      <c r="E760" s="88"/>
      <c r="F760" s="3"/>
      <c r="G760" s="88"/>
      <c r="H760" s="88"/>
      <c r="I760" s="89"/>
    </row>
    <row r="761">
      <c r="A761" s="3"/>
      <c r="B761" s="88"/>
      <c r="C761" s="88"/>
      <c r="D761" s="89"/>
      <c r="E761" s="88"/>
      <c r="F761" s="3"/>
      <c r="G761" s="88"/>
      <c r="H761" s="88"/>
      <c r="I761" s="89"/>
    </row>
    <row r="762">
      <c r="A762" s="3"/>
      <c r="B762" s="88"/>
      <c r="C762" s="88"/>
      <c r="D762" s="89"/>
      <c r="E762" s="88"/>
      <c r="F762" s="3"/>
      <c r="G762" s="88"/>
      <c r="H762" s="88"/>
      <c r="I762" s="89"/>
    </row>
    <row r="763">
      <c r="A763" s="3"/>
      <c r="B763" s="88"/>
      <c r="C763" s="88"/>
      <c r="D763" s="89"/>
      <c r="E763" s="88"/>
      <c r="F763" s="3"/>
      <c r="G763" s="88"/>
      <c r="H763" s="88"/>
      <c r="I763" s="89"/>
    </row>
    <row r="764">
      <c r="A764" s="3"/>
      <c r="B764" s="88"/>
      <c r="C764" s="88"/>
      <c r="D764" s="89"/>
      <c r="E764" s="88"/>
      <c r="F764" s="3"/>
      <c r="G764" s="88"/>
      <c r="H764" s="88"/>
      <c r="I764" s="89"/>
    </row>
    <row r="765">
      <c r="A765" s="3"/>
      <c r="B765" s="88"/>
      <c r="C765" s="88"/>
      <c r="D765" s="89"/>
      <c r="E765" s="88"/>
      <c r="F765" s="3"/>
      <c r="G765" s="88"/>
      <c r="H765" s="88"/>
      <c r="I765" s="89"/>
    </row>
    <row r="766">
      <c r="A766" s="3"/>
      <c r="B766" s="88"/>
      <c r="C766" s="88"/>
      <c r="D766" s="89"/>
      <c r="E766" s="88"/>
      <c r="F766" s="3"/>
      <c r="G766" s="88"/>
      <c r="H766" s="88"/>
      <c r="I766" s="89"/>
    </row>
    <row r="767">
      <c r="A767" s="3"/>
      <c r="B767" s="88"/>
      <c r="C767" s="88"/>
      <c r="D767" s="89"/>
      <c r="E767" s="88"/>
      <c r="F767" s="3"/>
      <c r="G767" s="88"/>
      <c r="H767" s="88"/>
      <c r="I767" s="89"/>
    </row>
    <row r="768">
      <c r="A768" s="3"/>
      <c r="B768" s="88"/>
      <c r="C768" s="88"/>
      <c r="D768" s="89"/>
      <c r="E768" s="88"/>
      <c r="F768" s="3"/>
      <c r="G768" s="88"/>
      <c r="H768" s="88"/>
      <c r="I768" s="89"/>
    </row>
    <row r="769">
      <c r="A769" s="3"/>
      <c r="B769" s="88"/>
      <c r="C769" s="88"/>
      <c r="D769" s="89"/>
      <c r="E769" s="88"/>
      <c r="F769" s="3"/>
      <c r="G769" s="88"/>
      <c r="H769" s="88"/>
      <c r="I769" s="89"/>
    </row>
    <row r="770">
      <c r="A770" s="3"/>
      <c r="B770" s="88"/>
      <c r="C770" s="88"/>
      <c r="D770" s="89"/>
      <c r="E770" s="88"/>
      <c r="F770" s="3"/>
      <c r="G770" s="88"/>
      <c r="H770" s="88"/>
      <c r="I770" s="89"/>
    </row>
    <row r="771">
      <c r="A771" s="3"/>
      <c r="B771" s="88"/>
      <c r="C771" s="88"/>
      <c r="D771" s="89"/>
      <c r="E771" s="88"/>
      <c r="F771" s="3"/>
      <c r="G771" s="88"/>
      <c r="H771" s="88"/>
      <c r="I771" s="89"/>
    </row>
    <row r="772">
      <c r="A772" s="3"/>
      <c r="B772" s="88"/>
      <c r="C772" s="88"/>
      <c r="D772" s="89"/>
      <c r="E772" s="88"/>
      <c r="F772" s="3"/>
      <c r="G772" s="88"/>
      <c r="H772" s="88"/>
      <c r="I772" s="89"/>
    </row>
    <row r="773">
      <c r="A773" s="3"/>
      <c r="B773" s="88"/>
      <c r="C773" s="88"/>
      <c r="D773" s="89"/>
      <c r="E773" s="88"/>
      <c r="F773" s="3"/>
      <c r="G773" s="88"/>
      <c r="H773" s="88"/>
      <c r="I773" s="89"/>
    </row>
    <row r="774">
      <c r="A774" s="3"/>
      <c r="B774" s="88"/>
      <c r="C774" s="88"/>
      <c r="D774" s="89"/>
      <c r="E774" s="88"/>
      <c r="F774" s="3"/>
      <c r="G774" s="88"/>
      <c r="H774" s="88"/>
      <c r="I774" s="89"/>
    </row>
    <row r="775">
      <c r="A775" s="3"/>
      <c r="B775" s="88"/>
      <c r="C775" s="88"/>
      <c r="D775" s="89"/>
      <c r="E775" s="88"/>
      <c r="F775" s="3"/>
      <c r="G775" s="88"/>
      <c r="H775" s="88"/>
      <c r="I775" s="89"/>
    </row>
    <row r="776">
      <c r="A776" s="3"/>
      <c r="B776" s="88"/>
      <c r="C776" s="88"/>
      <c r="D776" s="89"/>
      <c r="E776" s="88"/>
      <c r="F776" s="3"/>
      <c r="G776" s="88"/>
      <c r="H776" s="88"/>
      <c r="I776" s="89"/>
    </row>
    <row r="777">
      <c r="A777" s="3"/>
      <c r="B777" s="88"/>
      <c r="C777" s="88"/>
      <c r="D777" s="89"/>
      <c r="E777" s="88"/>
      <c r="F777" s="3"/>
      <c r="G777" s="88"/>
      <c r="H777" s="88"/>
      <c r="I777" s="89"/>
    </row>
    <row r="778">
      <c r="A778" s="3"/>
      <c r="B778" s="88"/>
      <c r="C778" s="88"/>
      <c r="D778" s="89"/>
      <c r="E778" s="88"/>
      <c r="F778" s="3"/>
      <c r="G778" s="88"/>
      <c r="H778" s="88"/>
      <c r="I778" s="89"/>
    </row>
    <row r="779">
      <c r="A779" s="3"/>
      <c r="B779" s="88"/>
      <c r="C779" s="88"/>
      <c r="D779" s="89"/>
      <c r="E779" s="88"/>
      <c r="F779" s="3"/>
      <c r="G779" s="88"/>
      <c r="H779" s="88"/>
      <c r="I779" s="89"/>
    </row>
    <row r="780">
      <c r="A780" s="3"/>
      <c r="B780" s="88"/>
      <c r="C780" s="88"/>
      <c r="D780" s="89"/>
      <c r="E780" s="88"/>
      <c r="F780" s="3"/>
      <c r="G780" s="88"/>
      <c r="H780" s="88"/>
      <c r="I780" s="89"/>
    </row>
    <row r="781">
      <c r="A781" s="3"/>
      <c r="B781" s="88"/>
      <c r="C781" s="88"/>
      <c r="D781" s="89"/>
      <c r="E781" s="88"/>
      <c r="F781" s="3"/>
      <c r="G781" s="88"/>
      <c r="H781" s="88"/>
      <c r="I781" s="89"/>
    </row>
    <row r="782">
      <c r="A782" s="3"/>
      <c r="B782" s="88"/>
      <c r="C782" s="88"/>
      <c r="D782" s="89"/>
      <c r="E782" s="88"/>
      <c r="F782" s="3"/>
      <c r="G782" s="88"/>
      <c r="H782" s="88"/>
      <c r="I782" s="89"/>
    </row>
    <row r="783">
      <c r="A783" s="3"/>
      <c r="B783" s="88"/>
      <c r="C783" s="88"/>
      <c r="D783" s="89"/>
      <c r="E783" s="88"/>
      <c r="F783" s="3"/>
      <c r="G783" s="88"/>
      <c r="H783" s="88"/>
      <c r="I783" s="89"/>
    </row>
    <row r="784">
      <c r="A784" s="3"/>
      <c r="B784" s="88"/>
      <c r="C784" s="88"/>
      <c r="D784" s="89"/>
      <c r="E784" s="88"/>
      <c r="F784" s="3"/>
      <c r="G784" s="88"/>
      <c r="H784" s="88"/>
      <c r="I784" s="89"/>
    </row>
    <row r="785">
      <c r="A785" s="3"/>
      <c r="B785" s="88"/>
      <c r="C785" s="88"/>
      <c r="D785" s="89"/>
      <c r="E785" s="88"/>
      <c r="F785" s="3"/>
      <c r="G785" s="88"/>
      <c r="H785" s="88"/>
      <c r="I785" s="89"/>
    </row>
    <row r="786">
      <c r="A786" s="3"/>
      <c r="B786" s="88"/>
      <c r="C786" s="88"/>
      <c r="D786" s="89"/>
      <c r="E786" s="88"/>
      <c r="F786" s="3"/>
      <c r="G786" s="88"/>
      <c r="H786" s="88"/>
      <c r="I786" s="89"/>
    </row>
    <row r="787">
      <c r="A787" s="3"/>
      <c r="B787" s="88"/>
      <c r="C787" s="88"/>
      <c r="D787" s="89"/>
      <c r="E787" s="88"/>
      <c r="F787" s="3"/>
      <c r="G787" s="88"/>
      <c r="H787" s="88"/>
      <c r="I787" s="89"/>
    </row>
    <row r="788">
      <c r="A788" s="3"/>
      <c r="B788" s="88"/>
      <c r="C788" s="88"/>
      <c r="D788" s="89"/>
      <c r="E788" s="88"/>
      <c r="F788" s="3"/>
      <c r="G788" s="88"/>
      <c r="H788" s="88"/>
      <c r="I788" s="89"/>
    </row>
    <row r="789">
      <c r="A789" s="3"/>
      <c r="B789" s="88"/>
      <c r="C789" s="88"/>
      <c r="D789" s="89"/>
      <c r="E789" s="88"/>
      <c r="F789" s="3"/>
      <c r="G789" s="88"/>
      <c r="H789" s="88"/>
      <c r="I789" s="89"/>
    </row>
    <row r="790">
      <c r="A790" s="3"/>
      <c r="B790" s="88"/>
      <c r="C790" s="88"/>
      <c r="D790" s="89"/>
      <c r="E790" s="88"/>
      <c r="F790" s="3"/>
      <c r="G790" s="88"/>
      <c r="H790" s="88"/>
      <c r="I790" s="89"/>
    </row>
    <row r="791">
      <c r="A791" s="3"/>
      <c r="B791" s="88"/>
      <c r="C791" s="88"/>
      <c r="D791" s="89"/>
      <c r="E791" s="88"/>
      <c r="F791" s="3"/>
      <c r="G791" s="88"/>
      <c r="H791" s="88"/>
      <c r="I791" s="89"/>
    </row>
    <row r="792">
      <c r="A792" s="3"/>
      <c r="B792" s="88"/>
      <c r="C792" s="88"/>
      <c r="D792" s="89"/>
      <c r="E792" s="88"/>
      <c r="F792" s="3"/>
      <c r="G792" s="88"/>
      <c r="H792" s="88"/>
      <c r="I792" s="89"/>
    </row>
    <row r="793">
      <c r="A793" s="3"/>
      <c r="B793" s="88"/>
      <c r="C793" s="88"/>
      <c r="D793" s="89"/>
      <c r="E793" s="88"/>
      <c r="F793" s="3"/>
      <c r="G793" s="88"/>
      <c r="H793" s="88"/>
      <c r="I793" s="89"/>
    </row>
    <row r="794">
      <c r="A794" s="3"/>
      <c r="B794" s="88"/>
      <c r="C794" s="88"/>
      <c r="D794" s="89"/>
      <c r="E794" s="88"/>
      <c r="F794" s="3"/>
      <c r="G794" s="88"/>
      <c r="H794" s="88"/>
      <c r="I794" s="89"/>
    </row>
    <row r="795">
      <c r="A795" s="3"/>
      <c r="B795" s="88"/>
      <c r="C795" s="88"/>
      <c r="D795" s="89"/>
      <c r="E795" s="88"/>
      <c r="F795" s="3"/>
      <c r="G795" s="88"/>
      <c r="H795" s="88"/>
      <c r="I795" s="89"/>
    </row>
    <row r="796">
      <c r="A796" s="3"/>
      <c r="B796" s="88"/>
      <c r="C796" s="88"/>
      <c r="D796" s="89"/>
      <c r="E796" s="88"/>
      <c r="F796" s="3"/>
      <c r="G796" s="88"/>
      <c r="H796" s="88"/>
      <c r="I796" s="89"/>
    </row>
    <row r="797">
      <c r="A797" s="3"/>
      <c r="B797" s="88"/>
      <c r="C797" s="88"/>
      <c r="D797" s="89"/>
      <c r="E797" s="88"/>
      <c r="F797" s="3"/>
      <c r="G797" s="88"/>
      <c r="H797" s="88"/>
      <c r="I797" s="89"/>
    </row>
    <row r="798">
      <c r="A798" s="3"/>
      <c r="B798" s="88"/>
      <c r="C798" s="88"/>
      <c r="D798" s="89"/>
      <c r="E798" s="88"/>
      <c r="F798" s="3"/>
      <c r="G798" s="88"/>
      <c r="H798" s="88"/>
      <c r="I798" s="89"/>
    </row>
    <row r="799">
      <c r="A799" s="3"/>
      <c r="B799" s="88"/>
      <c r="C799" s="88"/>
      <c r="D799" s="89"/>
      <c r="E799" s="88"/>
      <c r="F799" s="3"/>
      <c r="G799" s="88"/>
      <c r="H799" s="88"/>
      <c r="I799" s="89"/>
    </row>
    <row r="800">
      <c r="A800" s="3"/>
      <c r="B800" s="88"/>
      <c r="C800" s="88"/>
      <c r="D800" s="89"/>
      <c r="E800" s="88"/>
      <c r="F800" s="3"/>
      <c r="G800" s="88"/>
      <c r="H800" s="88"/>
      <c r="I800" s="89"/>
    </row>
    <row r="801">
      <c r="A801" s="3"/>
      <c r="B801" s="88"/>
      <c r="C801" s="88"/>
      <c r="D801" s="89"/>
      <c r="E801" s="88"/>
      <c r="F801" s="3"/>
      <c r="G801" s="88"/>
      <c r="H801" s="88"/>
      <c r="I801" s="89"/>
    </row>
    <row r="802">
      <c r="A802" s="3"/>
      <c r="B802" s="88"/>
      <c r="C802" s="88"/>
      <c r="D802" s="89"/>
      <c r="E802" s="88"/>
      <c r="F802" s="3"/>
      <c r="G802" s="88"/>
      <c r="H802" s="88"/>
      <c r="I802" s="89"/>
    </row>
    <row r="803">
      <c r="A803" s="3"/>
      <c r="B803" s="88"/>
      <c r="C803" s="88"/>
      <c r="D803" s="89"/>
      <c r="E803" s="88"/>
      <c r="F803" s="3"/>
      <c r="G803" s="88"/>
      <c r="H803" s="88"/>
      <c r="I803" s="89"/>
    </row>
    <row r="804">
      <c r="A804" s="3"/>
      <c r="B804" s="88"/>
      <c r="C804" s="88"/>
      <c r="D804" s="89"/>
      <c r="E804" s="88"/>
      <c r="F804" s="3"/>
      <c r="G804" s="88"/>
      <c r="H804" s="88"/>
      <c r="I804" s="89"/>
    </row>
    <row r="805">
      <c r="A805" s="3"/>
      <c r="B805" s="88"/>
      <c r="C805" s="88"/>
      <c r="D805" s="89"/>
      <c r="E805" s="88"/>
      <c r="F805" s="3"/>
      <c r="G805" s="88"/>
      <c r="H805" s="88"/>
      <c r="I805" s="89"/>
    </row>
    <row r="806">
      <c r="A806" s="3"/>
      <c r="B806" s="88"/>
      <c r="C806" s="88"/>
      <c r="D806" s="89"/>
      <c r="E806" s="88"/>
      <c r="F806" s="3"/>
      <c r="G806" s="88"/>
      <c r="H806" s="88"/>
      <c r="I806" s="89"/>
    </row>
    <row r="807">
      <c r="A807" s="3"/>
      <c r="B807" s="88"/>
      <c r="C807" s="88"/>
      <c r="D807" s="89"/>
      <c r="E807" s="88"/>
      <c r="F807" s="3"/>
      <c r="G807" s="88"/>
      <c r="H807" s="88"/>
      <c r="I807" s="89"/>
    </row>
    <row r="808">
      <c r="A808" s="3"/>
      <c r="B808" s="88"/>
      <c r="C808" s="88"/>
      <c r="D808" s="89"/>
      <c r="E808" s="88"/>
      <c r="F808" s="3"/>
      <c r="G808" s="88"/>
      <c r="H808" s="88"/>
      <c r="I808" s="89"/>
    </row>
    <row r="809">
      <c r="A809" s="3"/>
      <c r="B809" s="88"/>
      <c r="C809" s="88"/>
      <c r="D809" s="89"/>
      <c r="E809" s="88"/>
      <c r="F809" s="3"/>
      <c r="G809" s="88"/>
      <c r="H809" s="88"/>
      <c r="I809" s="89"/>
    </row>
    <row r="810">
      <c r="A810" s="3"/>
      <c r="B810" s="88"/>
      <c r="C810" s="88"/>
      <c r="D810" s="89"/>
      <c r="E810" s="88"/>
      <c r="F810" s="3"/>
      <c r="G810" s="88"/>
      <c r="H810" s="88"/>
      <c r="I810" s="89"/>
    </row>
    <row r="811">
      <c r="A811" s="3"/>
      <c r="B811" s="88"/>
      <c r="C811" s="88"/>
      <c r="D811" s="89"/>
      <c r="E811" s="88"/>
      <c r="F811" s="3"/>
      <c r="G811" s="88"/>
      <c r="H811" s="88"/>
      <c r="I811" s="89"/>
    </row>
    <row r="812">
      <c r="A812" s="3"/>
      <c r="B812" s="88"/>
      <c r="C812" s="88"/>
      <c r="D812" s="89"/>
      <c r="E812" s="88"/>
      <c r="F812" s="3"/>
      <c r="G812" s="88"/>
      <c r="H812" s="88"/>
      <c r="I812" s="89"/>
    </row>
    <row r="813">
      <c r="A813" s="3"/>
      <c r="B813" s="88"/>
      <c r="C813" s="88"/>
      <c r="D813" s="89"/>
      <c r="E813" s="88"/>
      <c r="F813" s="3"/>
      <c r="G813" s="88"/>
      <c r="H813" s="88"/>
      <c r="I813" s="89"/>
    </row>
    <row r="814">
      <c r="A814" s="3"/>
      <c r="B814" s="88"/>
      <c r="C814" s="88"/>
      <c r="D814" s="89"/>
      <c r="E814" s="88"/>
      <c r="F814" s="3"/>
      <c r="G814" s="88"/>
      <c r="H814" s="88"/>
      <c r="I814" s="89"/>
    </row>
    <row r="815">
      <c r="A815" s="3"/>
      <c r="B815" s="88"/>
      <c r="C815" s="88"/>
      <c r="D815" s="89"/>
      <c r="E815" s="88"/>
      <c r="F815" s="3"/>
      <c r="G815" s="88"/>
      <c r="H815" s="88"/>
      <c r="I815" s="89"/>
    </row>
    <row r="816">
      <c r="A816" s="3"/>
      <c r="B816" s="88"/>
      <c r="C816" s="88"/>
      <c r="D816" s="89"/>
      <c r="E816" s="88"/>
      <c r="F816" s="3"/>
      <c r="G816" s="88"/>
      <c r="H816" s="88"/>
      <c r="I816" s="89"/>
    </row>
    <row r="817">
      <c r="A817" s="3"/>
      <c r="B817" s="88"/>
      <c r="C817" s="88"/>
      <c r="D817" s="89"/>
      <c r="E817" s="88"/>
      <c r="F817" s="3"/>
      <c r="G817" s="88"/>
      <c r="H817" s="88"/>
      <c r="I817" s="89"/>
    </row>
    <row r="818">
      <c r="A818" s="3"/>
      <c r="B818" s="88"/>
      <c r="C818" s="88"/>
      <c r="D818" s="89"/>
      <c r="E818" s="88"/>
      <c r="F818" s="3"/>
      <c r="G818" s="88"/>
      <c r="H818" s="88"/>
      <c r="I818" s="89"/>
    </row>
    <row r="819">
      <c r="A819" s="3"/>
      <c r="B819" s="88"/>
      <c r="C819" s="88"/>
      <c r="D819" s="89"/>
      <c r="E819" s="88"/>
      <c r="F819" s="3"/>
      <c r="G819" s="88"/>
      <c r="H819" s="88"/>
      <c r="I819" s="89"/>
    </row>
    <row r="820">
      <c r="A820" s="3"/>
      <c r="B820" s="88"/>
      <c r="C820" s="88"/>
      <c r="D820" s="89"/>
      <c r="E820" s="88"/>
      <c r="F820" s="3"/>
      <c r="G820" s="88"/>
      <c r="H820" s="88"/>
      <c r="I820" s="89"/>
    </row>
    <row r="821">
      <c r="A821" s="3"/>
      <c r="B821" s="88"/>
      <c r="C821" s="88"/>
      <c r="D821" s="89"/>
      <c r="E821" s="88"/>
      <c r="F821" s="3"/>
      <c r="G821" s="88"/>
      <c r="H821" s="88"/>
      <c r="I821" s="89"/>
    </row>
    <row r="822">
      <c r="A822" s="3"/>
      <c r="B822" s="88"/>
      <c r="C822" s="88"/>
      <c r="D822" s="89"/>
      <c r="E822" s="88"/>
      <c r="F822" s="3"/>
      <c r="G822" s="88"/>
      <c r="H822" s="88"/>
      <c r="I822" s="89"/>
    </row>
    <row r="823">
      <c r="A823" s="3"/>
      <c r="B823" s="88"/>
      <c r="C823" s="88"/>
      <c r="D823" s="89"/>
      <c r="E823" s="88"/>
      <c r="F823" s="3"/>
      <c r="G823" s="88"/>
      <c r="H823" s="88"/>
      <c r="I823" s="89"/>
    </row>
    <row r="824">
      <c r="A824" s="3"/>
      <c r="B824" s="88"/>
      <c r="C824" s="88"/>
      <c r="D824" s="89"/>
      <c r="E824" s="88"/>
      <c r="F824" s="3"/>
      <c r="G824" s="88"/>
      <c r="H824" s="88"/>
      <c r="I824" s="89"/>
    </row>
    <row r="825">
      <c r="A825" s="3"/>
      <c r="B825" s="88"/>
      <c r="C825" s="88"/>
      <c r="D825" s="89"/>
      <c r="E825" s="88"/>
      <c r="F825" s="3"/>
      <c r="G825" s="88"/>
      <c r="H825" s="88"/>
      <c r="I825" s="89"/>
    </row>
    <row r="826">
      <c r="A826" s="3"/>
      <c r="B826" s="88"/>
      <c r="C826" s="88"/>
      <c r="D826" s="89"/>
      <c r="E826" s="88"/>
      <c r="F826" s="3"/>
      <c r="G826" s="88"/>
      <c r="H826" s="88"/>
      <c r="I826" s="89"/>
    </row>
    <row r="827">
      <c r="A827" s="3"/>
      <c r="B827" s="88"/>
      <c r="C827" s="88"/>
      <c r="D827" s="89"/>
      <c r="E827" s="88"/>
      <c r="F827" s="3"/>
      <c r="G827" s="88"/>
      <c r="H827" s="88"/>
      <c r="I827" s="89"/>
    </row>
    <row r="828">
      <c r="A828" s="3"/>
      <c r="B828" s="88"/>
      <c r="C828" s="88"/>
      <c r="D828" s="89"/>
      <c r="E828" s="88"/>
      <c r="F828" s="3"/>
      <c r="G828" s="88"/>
      <c r="H828" s="88"/>
      <c r="I828" s="89"/>
    </row>
    <row r="829">
      <c r="A829" s="3"/>
      <c r="B829" s="88"/>
      <c r="C829" s="88"/>
      <c r="D829" s="89"/>
      <c r="E829" s="88"/>
      <c r="F829" s="3"/>
      <c r="G829" s="88"/>
      <c r="H829" s="88"/>
      <c r="I829" s="89"/>
    </row>
    <row r="830">
      <c r="A830" s="3"/>
      <c r="B830" s="88"/>
      <c r="C830" s="88"/>
      <c r="D830" s="89"/>
      <c r="E830" s="88"/>
      <c r="F830" s="3"/>
      <c r="G830" s="88"/>
      <c r="H830" s="88"/>
      <c r="I830" s="89"/>
    </row>
    <row r="831">
      <c r="A831" s="3"/>
      <c r="B831" s="88"/>
      <c r="C831" s="88"/>
      <c r="D831" s="89"/>
      <c r="E831" s="88"/>
      <c r="F831" s="3"/>
      <c r="G831" s="88"/>
      <c r="H831" s="88"/>
      <c r="I831" s="89"/>
    </row>
    <row r="832">
      <c r="A832" s="3"/>
      <c r="B832" s="88"/>
      <c r="C832" s="88"/>
      <c r="D832" s="89"/>
      <c r="E832" s="88"/>
      <c r="F832" s="3"/>
      <c r="G832" s="88"/>
      <c r="H832" s="88"/>
      <c r="I832" s="89"/>
    </row>
    <row r="833">
      <c r="A833" s="3"/>
      <c r="B833" s="88"/>
      <c r="C833" s="88"/>
      <c r="D833" s="89"/>
      <c r="E833" s="88"/>
      <c r="F833" s="3"/>
      <c r="G833" s="88"/>
      <c r="H833" s="88"/>
      <c r="I833" s="89"/>
    </row>
    <row r="834">
      <c r="A834" s="3"/>
      <c r="B834" s="88"/>
      <c r="C834" s="88"/>
      <c r="D834" s="89"/>
      <c r="E834" s="88"/>
      <c r="F834" s="3"/>
      <c r="G834" s="88"/>
      <c r="H834" s="88"/>
      <c r="I834" s="89"/>
    </row>
    <row r="835">
      <c r="A835" s="3"/>
      <c r="B835" s="88"/>
      <c r="C835" s="88"/>
      <c r="D835" s="89"/>
      <c r="E835" s="88"/>
      <c r="F835" s="3"/>
      <c r="G835" s="88"/>
      <c r="H835" s="88"/>
      <c r="I835" s="89"/>
    </row>
    <row r="836">
      <c r="A836" s="3"/>
      <c r="B836" s="88"/>
      <c r="C836" s="88"/>
      <c r="D836" s="89"/>
      <c r="E836" s="88"/>
      <c r="F836" s="3"/>
      <c r="G836" s="88"/>
      <c r="H836" s="88"/>
      <c r="I836" s="89"/>
    </row>
    <row r="837">
      <c r="A837" s="3"/>
      <c r="B837" s="88"/>
      <c r="C837" s="88"/>
      <c r="D837" s="89"/>
      <c r="E837" s="88"/>
      <c r="F837" s="3"/>
      <c r="G837" s="88"/>
      <c r="H837" s="88"/>
      <c r="I837" s="89"/>
    </row>
    <row r="838">
      <c r="A838" s="3"/>
      <c r="B838" s="88"/>
      <c r="C838" s="88"/>
      <c r="D838" s="89"/>
      <c r="E838" s="88"/>
      <c r="F838" s="3"/>
      <c r="G838" s="88"/>
      <c r="H838" s="88"/>
      <c r="I838" s="89"/>
    </row>
    <row r="839">
      <c r="A839" s="3"/>
      <c r="B839" s="88"/>
      <c r="C839" s="88"/>
      <c r="D839" s="89"/>
      <c r="E839" s="88"/>
      <c r="F839" s="3"/>
      <c r="G839" s="88"/>
      <c r="H839" s="88"/>
      <c r="I839" s="89"/>
    </row>
    <row r="840">
      <c r="A840" s="3"/>
      <c r="B840" s="88"/>
      <c r="C840" s="88"/>
      <c r="D840" s="89"/>
      <c r="E840" s="88"/>
      <c r="F840" s="3"/>
      <c r="G840" s="88"/>
      <c r="H840" s="88"/>
      <c r="I840" s="89"/>
    </row>
    <row r="841">
      <c r="A841" s="3"/>
      <c r="B841" s="88"/>
      <c r="C841" s="88"/>
      <c r="D841" s="89"/>
      <c r="E841" s="88"/>
      <c r="F841" s="3"/>
      <c r="G841" s="88"/>
      <c r="H841" s="88"/>
      <c r="I841" s="89"/>
    </row>
    <row r="842">
      <c r="A842" s="3"/>
      <c r="B842" s="88"/>
      <c r="C842" s="88"/>
      <c r="D842" s="89"/>
      <c r="E842" s="88"/>
      <c r="F842" s="3"/>
      <c r="G842" s="88"/>
      <c r="H842" s="88"/>
      <c r="I842" s="89"/>
    </row>
    <row r="843">
      <c r="A843" s="3"/>
      <c r="B843" s="88"/>
      <c r="C843" s="88"/>
      <c r="D843" s="89"/>
      <c r="E843" s="88"/>
      <c r="F843" s="3"/>
      <c r="G843" s="88"/>
      <c r="H843" s="88"/>
      <c r="I843" s="89"/>
    </row>
    <row r="844">
      <c r="A844" s="3"/>
      <c r="B844" s="88"/>
      <c r="C844" s="88"/>
      <c r="D844" s="89"/>
      <c r="E844" s="88"/>
      <c r="F844" s="3"/>
      <c r="G844" s="88"/>
      <c r="H844" s="88"/>
      <c r="I844" s="89"/>
    </row>
    <row r="845">
      <c r="A845" s="3"/>
      <c r="B845" s="88"/>
      <c r="C845" s="88"/>
      <c r="D845" s="89"/>
      <c r="E845" s="88"/>
      <c r="F845" s="3"/>
      <c r="G845" s="88"/>
      <c r="H845" s="88"/>
      <c r="I845" s="89"/>
    </row>
    <row r="846">
      <c r="A846" s="3"/>
      <c r="B846" s="88"/>
      <c r="C846" s="88"/>
      <c r="D846" s="89"/>
      <c r="E846" s="88"/>
      <c r="F846" s="3"/>
      <c r="G846" s="88"/>
      <c r="H846" s="88"/>
      <c r="I846" s="89"/>
    </row>
    <row r="847">
      <c r="A847" s="3"/>
      <c r="B847" s="88"/>
      <c r="C847" s="88"/>
      <c r="D847" s="89"/>
      <c r="E847" s="88"/>
      <c r="F847" s="3"/>
      <c r="G847" s="88"/>
      <c r="H847" s="88"/>
      <c r="I847" s="89"/>
    </row>
    <row r="848">
      <c r="A848" s="3"/>
      <c r="B848" s="88"/>
      <c r="C848" s="88"/>
      <c r="D848" s="89"/>
      <c r="E848" s="88"/>
      <c r="F848" s="3"/>
      <c r="G848" s="88"/>
      <c r="H848" s="88"/>
      <c r="I848" s="89"/>
    </row>
    <row r="849">
      <c r="A849" s="3"/>
      <c r="B849" s="88"/>
      <c r="C849" s="88"/>
      <c r="D849" s="89"/>
      <c r="E849" s="88"/>
      <c r="F849" s="3"/>
      <c r="G849" s="88"/>
      <c r="H849" s="88"/>
      <c r="I849" s="89"/>
    </row>
    <row r="850">
      <c r="A850" s="3"/>
      <c r="B850" s="88"/>
      <c r="C850" s="88"/>
      <c r="D850" s="89"/>
      <c r="E850" s="88"/>
      <c r="F850" s="3"/>
      <c r="G850" s="88"/>
      <c r="H850" s="88"/>
      <c r="I850" s="89"/>
    </row>
    <row r="851">
      <c r="A851" s="3"/>
      <c r="B851" s="88"/>
      <c r="C851" s="88"/>
      <c r="D851" s="89"/>
      <c r="E851" s="88"/>
      <c r="F851" s="3"/>
      <c r="G851" s="88"/>
      <c r="H851" s="88"/>
      <c r="I851" s="89"/>
    </row>
    <row r="852">
      <c r="A852" s="3"/>
      <c r="B852" s="88"/>
      <c r="C852" s="88"/>
      <c r="D852" s="89"/>
      <c r="E852" s="88"/>
      <c r="F852" s="3"/>
      <c r="G852" s="88"/>
      <c r="H852" s="88"/>
      <c r="I852" s="89"/>
    </row>
    <row r="853">
      <c r="A853" s="3"/>
      <c r="B853" s="88"/>
      <c r="C853" s="88"/>
      <c r="D853" s="89"/>
      <c r="E853" s="88"/>
      <c r="F853" s="3"/>
      <c r="G853" s="88"/>
      <c r="H853" s="88"/>
      <c r="I853" s="89"/>
    </row>
    <row r="854">
      <c r="A854" s="3"/>
      <c r="B854" s="88"/>
      <c r="C854" s="88"/>
      <c r="D854" s="89"/>
      <c r="E854" s="88"/>
      <c r="F854" s="3"/>
      <c r="G854" s="88"/>
      <c r="H854" s="88"/>
      <c r="I854" s="89"/>
    </row>
    <row r="855">
      <c r="A855" s="3"/>
      <c r="B855" s="88"/>
      <c r="C855" s="88"/>
      <c r="D855" s="89"/>
      <c r="E855" s="88"/>
      <c r="F855" s="3"/>
      <c r="G855" s="88"/>
      <c r="H855" s="88"/>
      <c r="I855" s="89"/>
    </row>
    <row r="856">
      <c r="A856" s="3"/>
      <c r="B856" s="88"/>
      <c r="C856" s="88"/>
      <c r="D856" s="89"/>
      <c r="E856" s="88"/>
      <c r="F856" s="3"/>
      <c r="G856" s="88"/>
      <c r="H856" s="88"/>
      <c r="I856" s="89"/>
    </row>
    <row r="857">
      <c r="A857" s="3"/>
      <c r="B857" s="88"/>
      <c r="C857" s="88"/>
      <c r="D857" s="89"/>
      <c r="E857" s="88"/>
      <c r="F857" s="3"/>
      <c r="G857" s="88"/>
      <c r="H857" s="88"/>
      <c r="I857" s="89"/>
    </row>
    <row r="858">
      <c r="A858" s="3"/>
      <c r="B858" s="88"/>
      <c r="C858" s="88"/>
      <c r="D858" s="89"/>
      <c r="E858" s="88"/>
      <c r="F858" s="3"/>
      <c r="G858" s="88"/>
      <c r="H858" s="88"/>
      <c r="I858" s="89"/>
    </row>
    <row r="859">
      <c r="A859" s="3"/>
      <c r="B859" s="88"/>
      <c r="C859" s="88"/>
      <c r="D859" s="89"/>
      <c r="E859" s="88"/>
      <c r="F859" s="3"/>
      <c r="G859" s="88"/>
      <c r="H859" s="88"/>
      <c r="I859" s="89"/>
    </row>
    <row r="860">
      <c r="A860" s="3"/>
      <c r="B860" s="88"/>
      <c r="C860" s="88"/>
      <c r="D860" s="89"/>
      <c r="E860" s="88"/>
      <c r="F860" s="3"/>
      <c r="G860" s="88"/>
      <c r="H860" s="88"/>
      <c r="I860" s="89"/>
    </row>
    <row r="861">
      <c r="A861" s="3"/>
      <c r="B861" s="88"/>
      <c r="C861" s="88"/>
      <c r="D861" s="89"/>
      <c r="E861" s="88"/>
      <c r="F861" s="3"/>
      <c r="G861" s="88"/>
      <c r="H861" s="88"/>
      <c r="I861" s="89"/>
    </row>
    <row r="862">
      <c r="A862" s="3"/>
      <c r="B862" s="88"/>
      <c r="C862" s="88"/>
      <c r="D862" s="89"/>
      <c r="E862" s="88"/>
      <c r="F862" s="3"/>
      <c r="G862" s="88"/>
      <c r="H862" s="88"/>
      <c r="I862" s="89"/>
    </row>
    <row r="863">
      <c r="A863" s="3"/>
      <c r="B863" s="88"/>
      <c r="C863" s="88"/>
      <c r="D863" s="89"/>
      <c r="E863" s="88"/>
      <c r="F863" s="3"/>
      <c r="G863" s="88"/>
      <c r="H863" s="88"/>
      <c r="I863" s="89"/>
    </row>
    <row r="864">
      <c r="A864" s="3"/>
      <c r="B864" s="88"/>
      <c r="C864" s="88"/>
      <c r="D864" s="89"/>
      <c r="E864" s="88"/>
      <c r="F864" s="3"/>
      <c r="G864" s="88"/>
      <c r="H864" s="88"/>
      <c r="I864" s="89"/>
    </row>
    <row r="865">
      <c r="A865" s="3"/>
      <c r="B865" s="88"/>
      <c r="C865" s="88"/>
      <c r="D865" s="89"/>
      <c r="E865" s="88"/>
      <c r="F865" s="3"/>
      <c r="G865" s="88"/>
      <c r="H865" s="88"/>
      <c r="I865" s="89"/>
    </row>
    <row r="866">
      <c r="A866" s="3"/>
      <c r="B866" s="88"/>
      <c r="C866" s="88"/>
      <c r="D866" s="89"/>
      <c r="E866" s="88"/>
      <c r="F866" s="3"/>
      <c r="G866" s="88"/>
      <c r="H866" s="88"/>
      <c r="I866" s="89"/>
    </row>
    <row r="867">
      <c r="A867" s="3"/>
      <c r="B867" s="88"/>
      <c r="C867" s="88"/>
      <c r="D867" s="89"/>
      <c r="E867" s="88"/>
      <c r="F867" s="3"/>
      <c r="G867" s="88"/>
      <c r="H867" s="88"/>
      <c r="I867" s="89"/>
    </row>
    <row r="868">
      <c r="A868" s="3"/>
      <c r="B868" s="88"/>
      <c r="C868" s="88"/>
      <c r="D868" s="89"/>
      <c r="E868" s="88"/>
      <c r="F868" s="3"/>
      <c r="G868" s="88"/>
      <c r="H868" s="88"/>
      <c r="I868" s="89"/>
    </row>
    <row r="869">
      <c r="A869" s="3"/>
      <c r="B869" s="88"/>
      <c r="C869" s="88"/>
      <c r="D869" s="89"/>
      <c r="E869" s="88"/>
      <c r="F869" s="3"/>
      <c r="G869" s="88"/>
      <c r="H869" s="88"/>
      <c r="I869" s="89"/>
    </row>
    <row r="870">
      <c r="A870" s="3"/>
      <c r="B870" s="88"/>
      <c r="C870" s="88"/>
      <c r="D870" s="89"/>
      <c r="E870" s="88"/>
      <c r="F870" s="3"/>
      <c r="G870" s="88"/>
      <c r="H870" s="88"/>
      <c r="I870" s="89"/>
    </row>
    <row r="871">
      <c r="A871" s="3"/>
      <c r="B871" s="88"/>
      <c r="C871" s="88"/>
      <c r="D871" s="89"/>
      <c r="E871" s="88"/>
      <c r="F871" s="3"/>
      <c r="G871" s="88"/>
      <c r="H871" s="88"/>
      <c r="I871" s="89"/>
    </row>
    <row r="872">
      <c r="A872" s="3"/>
      <c r="B872" s="88"/>
      <c r="C872" s="88"/>
      <c r="D872" s="89"/>
      <c r="E872" s="88"/>
      <c r="F872" s="3"/>
      <c r="G872" s="88"/>
      <c r="H872" s="88"/>
      <c r="I872" s="89"/>
    </row>
    <row r="873">
      <c r="A873" s="3"/>
      <c r="B873" s="88"/>
      <c r="C873" s="88"/>
      <c r="D873" s="89"/>
      <c r="E873" s="88"/>
      <c r="F873" s="3"/>
      <c r="G873" s="88"/>
      <c r="H873" s="88"/>
      <c r="I873" s="89"/>
    </row>
    <row r="874">
      <c r="A874" s="3"/>
      <c r="B874" s="88"/>
      <c r="C874" s="88"/>
      <c r="D874" s="89"/>
      <c r="E874" s="88"/>
      <c r="F874" s="3"/>
      <c r="G874" s="88"/>
      <c r="H874" s="88"/>
      <c r="I874" s="89"/>
    </row>
    <row r="875">
      <c r="A875" s="3"/>
      <c r="B875" s="88"/>
      <c r="C875" s="88"/>
      <c r="D875" s="89"/>
      <c r="E875" s="88"/>
      <c r="F875" s="3"/>
      <c r="G875" s="88"/>
      <c r="H875" s="88"/>
      <c r="I875" s="89"/>
    </row>
    <row r="876">
      <c r="A876" s="3"/>
      <c r="B876" s="88"/>
      <c r="C876" s="88"/>
      <c r="D876" s="89"/>
      <c r="E876" s="88"/>
      <c r="F876" s="3"/>
      <c r="G876" s="88"/>
      <c r="H876" s="88"/>
      <c r="I876" s="89"/>
    </row>
    <row r="877">
      <c r="A877" s="3"/>
      <c r="B877" s="88"/>
      <c r="C877" s="88"/>
      <c r="D877" s="89"/>
      <c r="E877" s="88"/>
      <c r="F877" s="3"/>
      <c r="G877" s="88"/>
      <c r="H877" s="88"/>
      <c r="I877" s="89"/>
    </row>
    <row r="878">
      <c r="A878" s="3"/>
      <c r="B878" s="88"/>
      <c r="C878" s="88"/>
      <c r="D878" s="89"/>
      <c r="E878" s="88"/>
      <c r="F878" s="3"/>
      <c r="G878" s="88"/>
      <c r="H878" s="88"/>
      <c r="I878" s="89"/>
    </row>
    <row r="879">
      <c r="A879" s="3"/>
      <c r="B879" s="88"/>
      <c r="C879" s="88"/>
      <c r="D879" s="89"/>
      <c r="E879" s="88"/>
      <c r="F879" s="3"/>
      <c r="G879" s="88"/>
      <c r="H879" s="88"/>
      <c r="I879" s="89"/>
    </row>
    <row r="880">
      <c r="A880" s="3"/>
      <c r="B880" s="88"/>
      <c r="C880" s="88"/>
      <c r="D880" s="89"/>
      <c r="E880" s="88"/>
      <c r="F880" s="3"/>
      <c r="G880" s="88"/>
      <c r="H880" s="88"/>
      <c r="I880" s="89"/>
    </row>
    <row r="881">
      <c r="A881" s="3"/>
      <c r="B881" s="88"/>
      <c r="C881" s="88"/>
      <c r="D881" s="89"/>
      <c r="E881" s="88"/>
      <c r="F881" s="3"/>
      <c r="G881" s="88"/>
      <c r="H881" s="88"/>
      <c r="I881" s="89"/>
    </row>
    <row r="882">
      <c r="A882" s="3"/>
      <c r="B882" s="88"/>
      <c r="C882" s="88"/>
      <c r="D882" s="89"/>
      <c r="E882" s="88"/>
      <c r="F882" s="3"/>
      <c r="G882" s="88"/>
      <c r="H882" s="88"/>
      <c r="I882" s="89"/>
    </row>
    <row r="883">
      <c r="A883" s="3"/>
      <c r="B883" s="88"/>
      <c r="C883" s="88"/>
      <c r="D883" s="89"/>
      <c r="E883" s="88"/>
      <c r="F883" s="3"/>
      <c r="G883" s="88"/>
      <c r="H883" s="88"/>
      <c r="I883" s="89"/>
    </row>
    <row r="884">
      <c r="A884" s="3"/>
      <c r="B884" s="88"/>
      <c r="C884" s="88"/>
      <c r="D884" s="89"/>
      <c r="E884" s="88"/>
      <c r="F884" s="3"/>
      <c r="G884" s="88"/>
      <c r="H884" s="88"/>
      <c r="I884" s="89"/>
    </row>
    <row r="885">
      <c r="A885" s="3"/>
      <c r="B885" s="88"/>
      <c r="C885" s="88"/>
      <c r="D885" s="89"/>
      <c r="E885" s="88"/>
      <c r="F885" s="3"/>
      <c r="G885" s="88"/>
      <c r="H885" s="88"/>
      <c r="I885" s="89"/>
    </row>
    <row r="886">
      <c r="A886" s="3"/>
      <c r="B886" s="88"/>
      <c r="C886" s="88"/>
      <c r="D886" s="89"/>
      <c r="E886" s="88"/>
      <c r="F886" s="3"/>
      <c r="G886" s="88"/>
      <c r="H886" s="88"/>
      <c r="I886" s="89"/>
    </row>
    <row r="887">
      <c r="A887" s="3"/>
      <c r="B887" s="88"/>
      <c r="C887" s="88"/>
      <c r="D887" s="89"/>
      <c r="E887" s="88"/>
      <c r="F887" s="3"/>
      <c r="G887" s="88"/>
      <c r="H887" s="88"/>
      <c r="I887" s="89"/>
    </row>
    <row r="888">
      <c r="A888" s="3"/>
      <c r="B888" s="88"/>
      <c r="C888" s="88"/>
      <c r="D888" s="89"/>
      <c r="E888" s="88"/>
      <c r="F888" s="3"/>
      <c r="G888" s="88"/>
      <c r="H888" s="88"/>
      <c r="I888" s="89"/>
    </row>
    <row r="889">
      <c r="A889" s="3"/>
      <c r="B889" s="88"/>
      <c r="C889" s="88"/>
      <c r="D889" s="89"/>
      <c r="E889" s="88"/>
      <c r="F889" s="3"/>
      <c r="G889" s="88"/>
      <c r="H889" s="88"/>
      <c r="I889" s="89"/>
    </row>
    <row r="890">
      <c r="A890" s="3"/>
      <c r="B890" s="88"/>
      <c r="C890" s="88"/>
      <c r="D890" s="89"/>
      <c r="E890" s="88"/>
      <c r="F890" s="3"/>
      <c r="G890" s="88"/>
      <c r="H890" s="88"/>
      <c r="I890" s="89"/>
    </row>
    <row r="891">
      <c r="A891" s="3"/>
      <c r="B891" s="88"/>
      <c r="C891" s="88"/>
      <c r="D891" s="89"/>
      <c r="E891" s="88"/>
      <c r="F891" s="3"/>
      <c r="G891" s="88"/>
      <c r="H891" s="88"/>
      <c r="I891" s="89"/>
    </row>
    <row r="892">
      <c r="A892" s="3"/>
      <c r="B892" s="88"/>
      <c r="C892" s="88"/>
      <c r="D892" s="89"/>
      <c r="E892" s="88"/>
      <c r="F892" s="3"/>
      <c r="G892" s="88"/>
      <c r="H892" s="88"/>
      <c r="I892" s="89"/>
    </row>
    <row r="893">
      <c r="A893" s="3"/>
      <c r="B893" s="88"/>
      <c r="C893" s="88"/>
      <c r="D893" s="89"/>
      <c r="E893" s="88"/>
      <c r="F893" s="3"/>
      <c r="G893" s="88"/>
      <c r="H893" s="88"/>
      <c r="I893" s="89"/>
    </row>
    <row r="894">
      <c r="A894" s="3"/>
      <c r="B894" s="88"/>
      <c r="C894" s="88"/>
      <c r="D894" s="89"/>
      <c r="E894" s="88"/>
      <c r="F894" s="3"/>
      <c r="G894" s="88"/>
      <c r="H894" s="88"/>
      <c r="I894" s="89"/>
    </row>
    <row r="895">
      <c r="A895" s="3"/>
      <c r="B895" s="88"/>
      <c r="C895" s="88"/>
      <c r="D895" s="89"/>
      <c r="E895" s="88"/>
      <c r="F895" s="3"/>
      <c r="G895" s="88"/>
      <c r="H895" s="88"/>
      <c r="I895" s="89"/>
    </row>
    <row r="896">
      <c r="A896" s="3"/>
      <c r="B896" s="88"/>
      <c r="C896" s="88"/>
      <c r="D896" s="89"/>
      <c r="E896" s="88"/>
      <c r="F896" s="3"/>
      <c r="G896" s="88"/>
      <c r="H896" s="88"/>
      <c r="I896" s="89"/>
    </row>
    <row r="897">
      <c r="A897" s="3"/>
      <c r="B897" s="88"/>
      <c r="C897" s="88"/>
      <c r="D897" s="89"/>
      <c r="E897" s="88"/>
      <c r="F897" s="3"/>
      <c r="G897" s="88"/>
      <c r="H897" s="88"/>
      <c r="I897" s="89"/>
    </row>
    <row r="898">
      <c r="A898" s="3"/>
      <c r="B898" s="88"/>
      <c r="C898" s="88"/>
      <c r="D898" s="89"/>
      <c r="E898" s="88"/>
      <c r="F898" s="3"/>
      <c r="G898" s="88"/>
      <c r="H898" s="88"/>
      <c r="I898" s="89"/>
    </row>
    <row r="899">
      <c r="A899" s="3"/>
      <c r="B899" s="88"/>
      <c r="C899" s="88"/>
      <c r="D899" s="89"/>
      <c r="E899" s="88"/>
      <c r="F899" s="3"/>
      <c r="G899" s="88"/>
      <c r="H899" s="88"/>
      <c r="I899" s="89"/>
    </row>
    <row r="900">
      <c r="A900" s="3"/>
      <c r="B900" s="88"/>
      <c r="C900" s="88"/>
      <c r="D900" s="89"/>
      <c r="E900" s="88"/>
      <c r="F900" s="3"/>
      <c r="G900" s="88"/>
      <c r="H900" s="88"/>
      <c r="I900" s="89"/>
    </row>
    <row r="901">
      <c r="A901" s="3"/>
      <c r="B901" s="88"/>
      <c r="C901" s="88"/>
      <c r="D901" s="89"/>
      <c r="E901" s="88"/>
      <c r="F901" s="3"/>
      <c r="G901" s="88"/>
      <c r="H901" s="88"/>
      <c r="I901" s="89"/>
    </row>
    <row r="902">
      <c r="A902" s="3"/>
      <c r="B902" s="88"/>
      <c r="C902" s="88"/>
      <c r="D902" s="89"/>
      <c r="E902" s="88"/>
      <c r="F902" s="3"/>
      <c r="G902" s="88"/>
      <c r="H902" s="88"/>
      <c r="I902" s="89"/>
    </row>
    <row r="903">
      <c r="A903" s="3"/>
      <c r="B903" s="88"/>
      <c r="C903" s="88"/>
      <c r="D903" s="89"/>
      <c r="E903" s="88"/>
      <c r="F903" s="3"/>
      <c r="G903" s="88"/>
      <c r="H903" s="88"/>
      <c r="I903" s="89"/>
    </row>
    <row r="904">
      <c r="A904" s="3"/>
      <c r="B904" s="88"/>
      <c r="C904" s="88"/>
      <c r="D904" s="89"/>
      <c r="E904" s="88"/>
      <c r="F904" s="3"/>
      <c r="G904" s="88"/>
      <c r="H904" s="88"/>
      <c r="I904" s="89"/>
    </row>
    <row r="905">
      <c r="A905" s="3"/>
      <c r="B905" s="88"/>
      <c r="C905" s="88"/>
      <c r="D905" s="89"/>
      <c r="E905" s="88"/>
      <c r="F905" s="3"/>
      <c r="G905" s="88"/>
      <c r="H905" s="88"/>
      <c r="I905" s="89"/>
    </row>
    <row r="906">
      <c r="A906" s="3"/>
      <c r="B906" s="88"/>
      <c r="C906" s="88"/>
      <c r="D906" s="89"/>
      <c r="E906" s="88"/>
      <c r="F906" s="3"/>
      <c r="G906" s="88"/>
      <c r="H906" s="88"/>
      <c r="I906" s="89"/>
    </row>
    <row r="907">
      <c r="A907" s="3"/>
      <c r="B907" s="88"/>
      <c r="C907" s="88"/>
      <c r="D907" s="89"/>
      <c r="E907" s="88"/>
      <c r="F907" s="3"/>
      <c r="G907" s="88"/>
      <c r="H907" s="88"/>
      <c r="I907" s="89"/>
    </row>
    <row r="908">
      <c r="A908" s="3"/>
      <c r="B908" s="88"/>
      <c r="C908" s="88"/>
      <c r="D908" s="89"/>
      <c r="E908" s="88"/>
      <c r="F908" s="3"/>
      <c r="G908" s="88"/>
      <c r="H908" s="88"/>
      <c r="I908" s="89"/>
    </row>
    <row r="909">
      <c r="A909" s="3"/>
      <c r="B909" s="88"/>
      <c r="C909" s="88"/>
      <c r="D909" s="89"/>
      <c r="E909" s="88"/>
      <c r="F909" s="3"/>
      <c r="G909" s="88"/>
      <c r="H909" s="88"/>
      <c r="I909" s="89"/>
    </row>
    <row r="910">
      <c r="A910" s="3"/>
      <c r="B910" s="88"/>
      <c r="C910" s="88"/>
      <c r="D910" s="89"/>
      <c r="E910" s="88"/>
      <c r="F910" s="3"/>
      <c r="G910" s="88"/>
      <c r="H910" s="88"/>
      <c r="I910" s="89"/>
    </row>
    <row r="911">
      <c r="A911" s="3"/>
      <c r="B911" s="88"/>
      <c r="C911" s="88"/>
      <c r="D911" s="89"/>
      <c r="E911" s="88"/>
      <c r="F911" s="3"/>
      <c r="G911" s="88"/>
      <c r="H911" s="88"/>
      <c r="I911" s="89"/>
    </row>
    <row r="912">
      <c r="A912" s="3"/>
      <c r="B912" s="88"/>
      <c r="C912" s="88"/>
      <c r="D912" s="89"/>
      <c r="E912" s="88"/>
      <c r="F912" s="3"/>
      <c r="G912" s="88"/>
      <c r="H912" s="88"/>
      <c r="I912" s="89"/>
    </row>
    <row r="913">
      <c r="A913" s="3"/>
      <c r="B913" s="88"/>
      <c r="C913" s="88"/>
      <c r="D913" s="89"/>
      <c r="E913" s="88"/>
      <c r="F913" s="3"/>
      <c r="G913" s="88"/>
      <c r="H913" s="88"/>
      <c r="I913" s="89"/>
    </row>
    <row r="914">
      <c r="A914" s="3"/>
      <c r="B914" s="88"/>
      <c r="C914" s="88"/>
      <c r="D914" s="89"/>
      <c r="E914" s="88"/>
      <c r="F914" s="3"/>
      <c r="G914" s="88"/>
      <c r="H914" s="88"/>
      <c r="I914" s="89"/>
    </row>
    <row r="915">
      <c r="A915" s="3"/>
      <c r="B915" s="88"/>
      <c r="C915" s="88"/>
      <c r="D915" s="89"/>
      <c r="E915" s="88"/>
      <c r="F915" s="3"/>
      <c r="G915" s="88"/>
      <c r="H915" s="88"/>
      <c r="I915" s="89"/>
    </row>
    <row r="916">
      <c r="A916" s="3"/>
      <c r="B916" s="88"/>
      <c r="C916" s="88"/>
      <c r="D916" s="89"/>
      <c r="E916" s="88"/>
      <c r="F916" s="3"/>
      <c r="G916" s="88"/>
      <c r="H916" s="88"/>
      <c r="I916" s="89"/>
    </row>
    <row r="917">
      <c r="A917" s="3"/>
      <c r="B917" s="88"/>
      <c r="C917" s="88"/>
      <c r="D917" s="89"/>
      <c r="E917" s="88"/>
      <c r="F917" s="3"/>
      <c r="G917" s="88"/>
      <c r="H917" s="88"/>
      <c r="I917" s="89"/>
    </row>
    <row r="918">
      <c r="A918" s="3"/>
      <c r="B918" s="88"/>
      <c r="C918" s="88"/>
      <c r="D918" s="89"/>
      <c r="E918" s="88"/>
      <c r="F918" s="3"/>
      <c r="G918" s="88"/>
      <c r="H918" s="88"/>
      <c r="I918" s="89"/>
    </row>
    <row r="919">
      <c r="A919" s="3"/>
      <c r="B919" s="88"/>
      <c r="C919" s="88"/>
      <c r="D919" s="89"/>
      <c r="E919" s="88"/>
      <c r="F919" s="3"/>
      <c r="G919" s="88"/>
      <c r="H919" s="88"/>
      <c r="I919" s="89"/>
    </row>
    <row r="920">
      <c r="A920" s="3"/>
      <c r="B920" s="88"/>
      <c r="C920" s="88"/>
      <c r="D920" s="89"/>
      <c r="E920" s="88"/>
      <c r="F920" s="3"/>
      <c r="G920" s="88"/>
      <c r="H920" s="88"/>
      <c r="I920" s="89"/>
    </row>
    <row r="921">
      <c r="A921" s="3"/>
      <c r="B921" s="88"/>
      <c r="C921" s="88"/>
      <c r="D921" s="89"/>
      <c r="E921" s="88"/>
      <c r="F921" s="3"/>
      <c r="G921" s="88"/>
      <c r="H921" s="88"/>
      <c r="I921" s="89"/>
    </row>
    <row r="922">
      <c r="A922" s="3"/>
      <c r="B922" s="88"/>
      <c r="C922" s="88"/>
      <c r="D922" s="89"/>
      <c r="E922" s="88"/>
      <c r="F922" s="3"/>
      <c r="G922" s="88"/>
      <c r="H922" s="88"/>
      <c r="I922" s="89"/>
    </row>
    <row r="923">
      <c r="A923" s="3"/>
      <c r="B923" s="88"/>
      <c r="C923" s="88"/>
      <c r="D923" s="89"/>
      <c r="E923" s="88"/>
      <c r="F923" s="3"/>
      <c r="G923" s="88"/>
      <c r="H923" s="88"/>
      <c r="I923" s="89"/>
    </row>
    <row r="924">
      <c r="A924" s="3"/>
      <c r="B924" s="88"/>
      <c r="C924" s="88"/>
      <c r="D924" s="89"/>
      <c r="E924" s="88"/>
      <c r="F924" s="3"/>
      <c r="G924" s="88"/>
      <c r="H924" s="88"/>
      <c r="I924" s="89"/>
    </row>
    <row r="925">
      <c r="A925" s="3"/>
      <c r="B925" s="88"/>
      <c r="C925" s="88"/>
      <c r="D925" s="89"/>
      <c r="E925" s="88"/>
      <c r="F925" s="3"/>
      <c r="G925" s="88"/>
      <c r="H925" s="88"/>
      <c r="I925" s="89"/>
    </row>
    <row r="926">
      <c r="A926" s="3"/>
      <c r="B926" s="88"/>
      <c r="C926" s="88"/>
      <c r="D926" s="89"/>
      <c r="E926" s="88"/>
      <c r="F926" s="3"/>
      <c r="G926" s="88"/>
      <c r="H926" s="88"/>
      <c r="I926" s="89"/>
    </row>
    <row r="927">
      <c r="A927" s="3"/>
      <c r="B927" s="88"/>
      <c r="C927" s="88"/>
      <c r="D927" s="89"/>
      <c r="E927" s="88"/>
      <c r="F927" s="3"/>
      <c r="G927" s="88"/>
      <c r="H927" s="88"/>
      <c r="I927" s="89"/>
    </row>
    <row r="928">
      <c r="A928" s="3"/>
      <c r="B928" s="88"/>
      <c r="C928" s="88"/>
      <c r="D928" s="89"/>
      <c r="E928" s="88"/>
      <c r="F928" s="3"/>
      <c r="G928" s="88"/>
      <c r="H928" s="88"/>
      <c r="I928" s="89"/>
    </row>
    <row r="929">
      <c r="A929" s="3"/>
      <c r="B929" s="88"/>
      <c r="C929" s="88"/>
      <c r="D929" s="89"/>
      <c r="E929" s="88"/>
      <c r="F929" s="3"/>
      <c r="G929" s="88"/>
      <c r="H929" s="88"/>
      <c r="I929" s="89"/>
    </row>
    <row r="930">
      <c r="A930" s="3"/>
      <c r="B930" s="88"/>
      <c r="C930" s="88"/>
      <c r="D930" s="89"/>
      <c r="E930" s="88"/>
      <c r="F930" s="3"/>
      <c r="G930" s="88"/>
      <c r="H930" s="88"/>
      <c r="I930" s="89"/>
    </row>
    <row r="931">
      <c r="A931" s="3"/>
      <c r="B931" s="88"/>
      <c r="C931" s="88"/>
      <c r="D931" s="89"/>
      <c r="E931" s="88"/>
      <c r="F931" s="3"/>
      <c r="G931" s="88"/>
      <c r="H931" s="88"/>
      <c r="I931" s="89"/>
    </row>
    <row r="932">
      <c r="A932" s="3"/>
      <c r="B932" s="88"/>
      <c r="C932" s="88"/>
      <c r="D932" s="89"/>
      <c r="E932" s="88"/>
      <c r="F932" s="3"/>
      <c r="G932" s="88"/>
      <c r="H932" s="88"/>
      <c r="I932" s="89"/>
    </row>
    <row r="933">
      <c r="A933" s="3"/>
      <c r="B933" s="88"/>
      <c r="C933" s="88"/>
      <c r="D933" s="89"/>
      <c r="E933" s="88"/>
      <c r="F933" s="3"/>
      <c r="G933" s="88"/>
      <c r="H933" s="88"/>
      <c r="I933" s="89"/>
    </row>
    <row r="934">
      <c r="A934" s="3"/>
      <c r="B934" s="88"/>
      <c r="C934" s="88"/>
      <c r="D934" s="89"/>
      <c r="E934" s="88"/>
      <c r="F934" s="3"/>
      <c r="G934" s="88"/>
      <c r="H934" s="88"/>
      <c r="I934" s="89"/>
    </row>
    <row r="935">
      <c r="A935" s="3"/>
      <c r="B935" s="88"/>
      <c r="C935" s="88"/>
      <c r="D935" s="89"/>
      <c r="E935" s="88"/>
      <c r="F935" s="3"/>
      <c r="G935" s="88"/>
      <c r="H935" s="88"/>
      <c r="I935" s="89"/>
    </row>
    <row r="936">
      <c r="A936" s="3"/>
      <c r="B936" s="88"/>
      <c r="C936" s="88"/>
      <c r="D936" s="89"/>
      <c r="E936" s="88"/>
      <c r="F936" s="3"/>
      <c r="G936" s="88"/>
      <c r="H936" s="88"/>
      <c r="I936" s="89"/>
    </row>
    <row r="937">
      <c r="A937" s="3"/>
      <c r="B937" s="88"/>
      <c r="C937" s="88"/>
      <c r="D937" s="89"/>
      <c r="E937" s="88"/>
      <c r="F937" s="3"/>
      <c r="G937" s="88"/>
      <c r="H937" s="88"/>
      <c r="I937" s="89"/>
    </row>
    <row r="938">
      <c r="A938" s="3"/>
      <c r="B938" s="88"/>
      <c r="C938" s="88"/>
      <c r="D938" s="89"/>
      <c r="E938" s="88"/>
      <c r="F938" s="3"/>
      <c r="G938" s="88"/>
      <c r="H938" s="88"/>
      <c r="I938" s="89"/>
    </row>
    <row r="939">
      <c r="A939" s="3"/>
      <c r="B939" s="88"/>
      <c r="C939" s="88"/>
      <c r="D939" s="89"/>
      <c r="E939" s="88"/>
      <c r="F939" s="3"/>
      <c r="G939" s="88"/>
      <c r="H939" s="88"/>
      <c r="I939" s="89"/>
    </row>
    <row r="940">
      <c r="A940" s="3"/>
      <c r="B940" s="88"/>
      <c r="C940" s="88"/>
      <c r="D940" s="89"/>
      <c r="E940" s="88"/>
      <c r="F940" s="3"/>
      <c r="G940" s="88"/>
      <c r="H940" s="88"/>
      <c r="I940" s="89"/>
    </row>
    <row r="941">
      <c r="A941" s="3"/>
      <c r="B941" s="88"/>
      <c r="C941" s="88"/>
      <c r="D941" s="89"/>
      <c r="E941" s="88"/>
      <c r="F941" s="3"/>
      <c r="G941" s="88"/>
      <c r="H941" s="88"/>
      <c r="I941" s="89"/>
    </row>
    <row r="942">
      <c r="A942" s="3"/>
      <c r="B942" s="88"/>
      <c r="C942" s="88"/>
      <c r="D942" s="89"/>
      <c r="E942" s="88"/>
      <c r="F942" s="3"/>
      <c r="G942" s="88"/>
      <c r="H942" s="88"/>
      <c r="I942" s="89"/>
    </row>
    <row r="943">
      <c r="A943" s="3"/>
      <c r="B943" s="88"/>
      <c r="C943" s="88"/>
      <c r="D943" s="89"/>
      <c r="E943" s="88"/>
      <c r="F943" s="3"/>
      <c r="G943" s="88"/>
      <c r="H943" s="88"/>
      <c r="I943" s="89"/>
    </row>
    <row r="944">
      <c r="A944" s="3"/>
      <c r="B944" s="88"/>
      <c r="C944" s="88"/>
      <c r="D944" s="89"/>
      <c r="E944" s="88"/>
      <c r="F944" s="3"/>
      <c r="G944" s="88"/>
      <c r="H944" s="88"/>
      <c r="I944" s="89"/>
    </row>
    <row r="945">
      <c r="A945" s="3"/>
      <c r="B945" s="88"/>
      <c r="C945" s="88"/>
      <c r="D945" s="89"/>
      <c r="E945" s="88"/>
      <c r="F945" s="3"/>
      <c r="G945" s="88"/>
      <c r="H945" s="88"/>
      <c r="I945" s="89"/>
    </row>
    <row r="946">
      <c r="A946" s="3"/>
      <c r="B946" s="88"/>
      <c r="C946" s="88"/>
      <c r="D946" s="89"/>
      <c r="E946" s="88"/>
      <c r="F946" s="3"/>
      <c r="G946" s="88"/>
      <c r="H946" s="88"/>
      <c r="I946" s="89"/>
    </row>
    <row r="947">
      <c r="A947" s="3"/>
      <c r="B947" s="88"/>
      <c r="C947" s="88"/>
      <c r="D947" s="89"/>
      <c r="E947" s="88"/>
      <c r="F947" s="3"/>
      <c r="G947" s="88"/>
      <c r="H947" s="88"/>
      <c r="I947" s="89"/>
    </row>
    <row r="948">
      <c r="A948" s="3"/>
      <c r="B948" s="88"/>
      <c r="C948" s="88"/>
      <c r="D948" s="89"/>
      <c r="E948" s="88"/>
      <c r="F948" s="3"/>
      <c r="G948" s="88"/>
      <c r="H948" s="88"/>
      <c r="I948" s="89"/>
    </row>
    <row r="949">
      <c r="A949" s="3"/>
      <c r="B949" s="88"/>
      <c r="C949" s="88"/>
      <c r="D949" s="89"/>
      <c r="E949" s="88"/>
      <c r="F949" s="3"/>
      <c r="G949" s="88"/>
      <c r="H949" s="88"/>
      <c r="I949" s="89"/>
    </row>
    <row r="950">
      <c r="A950" s="3"/>
      <c r="B950" s="88"/>
      <c r="C950" s="88"/>
      <c r="D950" s="89"/>
      <c r="E950" s="88"/>
      <c r="F950" s="3"/>
      <c r="G950" s="88"/>
      <c r="H950" s="88"/>
      <c r="I950" s="89"/>
    </row>
    <row r="951">
      <c r="A951" s="3"/>
      <c r="B951" s="88"/>
      <c r="C951" s="88"/>
      <c r="D951" s="89"/>
      <c r="E951" s="88"/>
      <c r="F951" s="3"/>
      <c r="G951" s="88"/>
      <c r="H951" s="88"/>
      <c r="I951" s="89"/>
    </row>
    <row r="952">
      <c r="A952" s="3"/>
      <c r="B952" s="88"/>
      <c r="C952" s="88"/>
      <c r="D952" s="89"/>
      <c r="E952" s="88"/>
      <c r="F952" s="3"/>
      <c r="G952" s="88"/>
      <c r="H952" s="88"/>
      <c r="I952" s="89"/>
    </row>
    <row r="953">
      <c r="A953" s="3"/>
      <c r="B953" s="88"/>
      <c r="C953" s="88"/>
      <c r="D953" s="89"/>
      <c r="E953" s="88"/>
      <c r="F953" s="3"/>
      <c r="G953" s="88"/>
      <c r="H953" s="88"/>
      <c r="I953" s="89"/>
    </row>
    <row r="954">
      <c r="A954" s="3"/>
      <c r="B954" s="88"/>
      <c r="C954" s="88"/>
      <c r="D954" s="89"/>
      <c r="E954" s="88"/>
      <c r="F954" s="3"/>
      <c r="G954" s="88"/>
      <c r="H954" s="88"/>
      <c r="I954" s="89"/>
    </row>
    <row r="955">
      <c r="A955" s="3"/>
      <c r="B955" s="88"/>
      <c r="C955" s="88"/>
      <c r="D955" s="89"/>
      <c r="E955" s="88"/>
      <c r="F955" s="3"/>
      <c r="G955" s="88"/>
      <c r="H955" s="88"/>
      <c r="I955" s="89"/>
    </row>
    <row r="956">
      <c r="A956" s="3"/>
      <c r="B956" s="88"/>
      <c r="C956" s="88"/>
      <c r="D956" s="89"/>
      <c r="E956" s="88"/>
      <c r="F956" s="3"/>
      <c r="G956" s="88"/>
      <c r="H956" s="88"/>
      <c r="I956" s="89"/>
    </row>
    <row r="957">
      <c r="A957" s="3"/>
      <c r="B957" s="88"/>
      <c r="C957" s="88"/>
      <c r="D957" s="89"/>
      <c r="E957" s="88"/>
      <c r="F957" s="3"/>
      <c r="G957" s="88"/>
      <c r="H957" s="88"/>
      <c r="I957" s="89"/>
    </row>
    <row r="958">
      <c r="A958" s="3"/>
      <c r="B958" s="88"/>
      <c r="C958" s="88"/>
      <c r="D958" s="89"/>
      <c r="E958" s="88"/>
      <c r="F958" s="3"/>
      <c r="G958" s="88"/>
      <c r="H958" s="88"/>
      <c r="I958" s="89"/>
    </row>
    <row r="959">
      <c r="A959" s="3"/>
      <c r="B959" s="88"/>
      <c r="C959" s="88"/>
      <c r="D959" s="89"/>
      <c r="E959" s="88"/>
      <c r="F959" s="3"/>
      <c r="G959" s="88"/>
      <c r="H959" s="88"/>
      <c r="I959" s="89"/>
    </row>
    <row r="960">
      <c r="A960" s="3"/>
      <c r="B960" s="88"/>
      <c r="C960" s="88"/>
      <c r="D960" s="89"/>
      <c r="E960" s="88"/>
      <c r="F960" s="3"/>
      <c r="G960" s="88"/>
      <c r="H960" s="88"/>
      <c r="I960" s="89"/>
    </row>
    <row r="961">
      <c r="A961" s="3"/>
      <c r="B961" s="88"/>
      <c r="C961" s="88"/>
      <c r="D961" s="89"/>
      <c r="E961" s="88"/>
      <c r="F961" s="3"/>
      <c r="G961" s="88"/>
      <c r="H961" s="88"/>
      <c r="I961" s="89"/>
    </row>
    <row r="962">
      <c r="A962" s="3"/>
      <c r="B962" s="88"/>
      <c r="C962" s="88"/>
      <c r="D962" s="89"/>
      <c r="E962" s="88"/>
      <c r="F962" s="3"/>
      <c r="G962" s="88"/>
      <c r="H962" s="88"/>
      <c r="I962" s="89"/>
    </row>
    <row r="963">
      <c r="A963" s="3"/>
      <c r="B963" s="88"/>
      <c r="C963" s="88"/>
      <c r="D963" s="89"/>
      <c r="E963" s="88"/>
      <c r="F963" s="3"/>
      <c r="G963" s="88"/>
      <c r="H963" s="88"/>
      <c r="I963" s="89"/>
    </row>
    <row r="964">
      <c r="A964" s="3"/>
      <c r="B964" s="88"/>
      <c r="C964" s="88"/>
      <c r="D964" s="89"/>
      <c r="E964" s="88"/>
      <c r="F964" s="3"/>
      <c r="G964" s="88"/>
      <c r="H964" s="88"/>
      <c r="I964" s="89"/>
    </row>
    <row r="965">
      <c r="A965" s="3"/>
      <c r="B965" s="88"/>
      <c r="C965" s="88"/>
      <c r="D965" s="89"/>
      <c r="E965" s="88"/>
      <c r="F965" s="3"/>
      <c r="G965" s="88"/>
      <c r="H965" s="88"/>
      <c r="I965" s="89"/>
    </row>
    <row r="966">
      <c r="A966" s="3"/>
      <c r="B966" s="88"/>
      <c r="C966" s="88"/>
      <c r="D966" s="89"/>
      <c r="E966" s="88"/>
      <c r="F966" s="3"/>
      <c r="G966" s="88"/>
      <c r="H966" s="88"/>
      <c r="I966" s="89"/>
    </row>
    <row r="967">
      <c r="A967" s="3"/>
      <c r="B967" s="88"/>
      <c r="C967" s="88"/>
      <c r="D967" s="89"/>
      <c r="E967" s="88"/>
      <c r="F967" s="3"/>
      <c r="G967" s="88"/>
      <c r="H967" s="88"/>
      <c r="I967" s="89"/>
    </row>
    <row r="968">
      <c r="A968" s="3"/>
      <c r="B968" s="88"/>
      <c r="C968" s="88"/>
      <c r="D968" s="89"/>
      <c r="E968" s="88"/>
      <c r="F968" s="3"/>
      <c r="G968" s="88"/>
      <c r="H968" s="88"/>
      <c r="I968" s="89"/>
    </row>
    <row r="969">
      <c r="A969" s="3"/>
      <c r="B969" s="88"/>
      <c r="C969" s="88"/>
      <c r="D969" s="89"/>
      <c r="E969" s="88"/>
      <c r="F969" s="3"/>
      <c r="G969" s="88"/>
      <c r="H969" s="88"/>
      <c r="I969" s="89"/>
    </row>
    <row r="970">
      <c r="A970" s="3"/>
      <c r="B970" s="88"/>
      <c r="C970" s="88"/>
      <c r="D970" s="89"/>
      <c r="E970" s="88"/>
      <c r="F970" s="3"/>
      <c r="G970" s="88"/>
      <c r="H970" s="88"/>
      <c r="I970" s="89"/>
    </row>
    <row r="971">
      <c r="A971" s="3"/>
      <c r="B971" s="88"/>
      <c r="C971" s="88"/>
      <c r="D971" s="89"/>
      <c r="E971" s="88"/>
      <c r="F971" s="3"/>
      <c r="G971" s="88"/>
      <c r="H971" s="88"/>
      <c r="I971" s="89"/>
    </row>
    <row r="972">
      <c r="A972" s="3"/>
      <c r="B972" s="88"/>
      <c r="C972" s="88"/>
      <c r="D972" s="89"/>
      <c r="E972" s="88"/>
      <c r="F972" s="3"/>
      <c r="G972" s="88"/>
      <c r="H972" s="88"/>
      <c r="I972" s="89"/>
    </row>
    <row r="973">
      <c r="A973" s="3"/>
      <c r="B973" s="88"/>
      <c r="C973" s="88"/>
      <c r="D973" s="89"/>
      <c r="E973" s="88"/>
      <c r="F973" s="3"/>
      <c r="G973" s="88"/>
      <c r="H973" s="88"/>
      <c r="I973" s="89"/>
    </row>
    <row r="974">
      <c r="A974" s="3"/>
      <c r="B974" s="88"/>
      <c r="C974" s="88"/>
      <c r="D974" s="89"/>
      <c r="E974" s="88"/>
      <c r="F974" s="3"/>
      <c r="G974" s="88"/>
      <c r="H974" s="88"/>
      <c r="I974" s="89"/>
    </row>
    <row r="975">
      <c r="A975" s="3"/>
      <c r="B975" s="88"/>
      <c r="C975" s="88"/>
      <c r="D975" s="89"/>
      <c r="E975" s="88"/>
      <c r="F975" s="3"/>
      <c r="G975" s="88"/>
      <c r="H975" s="88"/>
      <c r="I975" s="89"/>
    </row>
    <row r="976">
      <c r="A976" s="3"/>
      <c r="B976" s="88"/>
      <c r="C976" s="88"/>
      <c r="D976" s="89"/>
      <c r="E976" s="88"/>
      <c r="F976" s="3"/>
      <c r="G976" s="88"/>
      <c r="H976" s="88"/>
      <c r="I976" s="89"/>
    </row>
    <row r="977">
      <c r="A977" s="3"/>
      <c r="B977" s="88"/>
      <c r="C977" s="88"/>
      <c r="D977" s="89"/>
      <c r="E977" s="88"/>
      <c r="F977" s="3"/>
      <c r="G977" s="88"/>
      <c r="H977" s="88"/>
      <c r="I977" s="89"/>
    </row>
    <row r="978">
      <c r="A978" s="3"/>
      <c r="B978" s="88"/>
      <c r="C978" s="88"/>
      <c r="D978" s="89"/>
      <c r="E978" s="88"/>
      <c r="F978" s="3"/>
      <c r="G978" s="88"/>
      <c r="H978" s="88"/>
      <c r="I978" s="89"/>
    </row>
    <row r="979">
      <c r="A979" s="3"/>
      <c r="B979" s="88"/>
      <c r="C979" s="88"/>
      <c r="D979" s="89"/>
      <c r="E979" s="88"/>
      <c r="F979" s="3"/>
      <c r="G979" s="88"/>
      <c r="H979" s="88"/>
      <c r="I979" s="89"/>
    </row>
    <row r="980">
      <c r="A980" s="3"/>
      <c r="B980" s="88"/>
      <c r="C980" s="88"/>
      <c r="D980" s="89"/>
      <c r="E980" s="88"/>
      <c r="F980" s="3"/>
      <c r="G980" s="88"/>
      <c r="H980" s="88"/>
      <c r="I980" s="89"/>
    </row>
    <row r="981">
      <c r="A981" s="3"/>
      <c r="B981" s="88"/>
      <c r="C981" s="88"/>
      <c r="D981" s="89"/>
      <c r="E981" s="88"/>
      <c r="F981" s="3"/>
      <c r="G981" s="88"/>
      <c r="H981" s="88"/>
      <c r="I981" s="89"/>
    </row>
    <row r="982">
      <c r="A982" s="3"/>
      <c r="B982" s="88"/>
      <c r="C982" s="88"/>
      <c r="D982" s="89"/>
      <c r="E982" s="88"/>
      <c r="F982" s="3"/>
      <c r="G982" s="88"/>
      <c r="H982" s="88"/>
      <c r="I982" s="89"/>
    </row>
    <row r="983">
      <c r="A983" s="3"/>
      <c r="B983" s="88"/>
      <c r="C983" s="88"/>
      <c r="D983" s="89"/>
      <c r="E983" s="88"/>
      <c r="F983" s="3"/>
      <c r="G983" s="88"/>
      <c r="H983" s="88"/>
      <c r="I983" s="89"/>
    </row>
    <row r="984">
      <c r="A984" s="3"/>
      <c r="B984" s="88"/>
      <c r="C984" s="88"/>
      <c r="D984" s="89"/>
      <c r="E984" s="88"/>
      <c r="F984" s="3"/>
      <c r="G984" s="88"/>
      <c r="H984" s="88"/>
      <c r="I984" s="89"/>
    </row>
    <row r="985">
      <c r="A985" s="3"/>
      <c r="B985" s="88"/>
      <c r="C985" s="88"/>
      <c r="D985" s="89"/>
      <c r="E985" s="88"/>
      <c r="F985" s="3"/>
      <c r="G985" s="88"/>
      <c r="H985" s="88"/>
      <c r="I985" s="89"/>
    </row>
    <row r="986">
      <c r="A986" s="3"/>
      <c r="B986" s="88"/>
      <c r="C986" s="88"/>
      <c r="D986" s="89"/>
      <c r="E986" s="88"/>
      <c r="F986" s="3"/>
      <c r="G986" s="88"/>
      <c r="H986" s="88"/>
      <c r="I986" s="89"/>
    </row>
    <row r="987">
      <c r="A987" s="3"/>
      <c r="B987" s="88"/>
      <c r="C987" s="88"/>
      <c r="D987" s="89"/>
      <c r="E987" s="88"/>
      <c r="F987" s="3"/>
      <c r="G987" s="88"/>
      <c r="H987" s="88"/>
      <c r="I987" s="89"/>
    </row>
    <row r="988">
      <c r="A988" s="3"/>
      <c r="B988" s="88"/>
      <c r="C988" s="88"/>
      <c r="D988" s="89"/>
      <c r="E988" s="88"/>
      <c r="F988" s="3"/>
      <c r="G988" s="88"/>
      <c r="H988" s="88"/>
      <c r="I988" s="89"/>
    </row>
    <row r="989">
      <c r="A989" s="3"/>
      <c r="B989" s="88"/>
      <c r="C989" s="88"/>
      <c r="D989" s="89"/>
      <c r="E989" s="88"/>
      <c r="F989" s="3"/>
      <c r="G989" s="88"/>
      <c r="H989" s="88"/>
      <c r="I989" s="89"/>
    </row>
    <row r="990">
      <c r="A990" s="3"/>
      <c r="B990" s="88"/>
      <c r="C990" s="88"/>
      <c r="D990" s="89"/>
      <c r="E990" s="88"/>
      <c r="F990" s="3"/>
      <c r="G990" s="88"/>
      <c r="H990" s="88"/>
      <c r="I990" s="89"/>
    </row>
    <row r="991">
      <c r="A991" s="3"/>
      <c r="B991" s="88"/>
      <c r="C991" s="88"/>
      <c r="D991" s="89"/>
      <c r="E991" s="88"/>
      <c r="F991" s="3"/>
      <c r="G991" s="88"/>
      <c r="H991" s="88"/>
      <c r="I991" s="89"/>
    </row>
    <row r="992">
      <c r="A992" s="3"/>
      <c r="B992" s="88"/>
      <c r="C992" s="88"/>
      <c r="D992" s="89"/>
      <c r="E992" s="88"/>
      <c r="F992" s="3"/>
      <c r="G992" s="88"/>
      <c r="H992" s="88"/>
      <c r="I992" s="89"/>
    </row>
    <row r="993">
      <c r="A993" s="3"/>
      <c r="B993" s="88"/>
      <c r="C993" s="88"/>
      <c r="D993" s="89"/>
      <c r="E993" s="88"/>
      <c r="F993" s="3"/>
      <c r="G993" s="88"/>
      <c r="H993" s="88"/>
      <c r="I993" s="89"/>
    </row>
    <row r="994">
      <c r="A994" s="3"/>
      <c r="B994" s="88"/>
      <c r="C994" s="88"/>
      <c r="D994" s="89"/>
      <c r="E994" s="88"/>
      <c r="F994" s="3"/>
      <c r="G994" s="88"/>
      <c r="H994" s="88"/>
      <c r="I994" s="89"/>
    </row>
    <row r="995">
      <c r="A995" s="3"/>
      <c r="B995" s="88"/>
      <c r="C995" s="88"/>
      <c r="D995" s="89"/>
      <c r="E995" s="88"/>
      <c r="F995" s="3"/>
      <c r="G995" s="88"/>
      <c r="H995" s="88"/>
      <c r="I995" s="89"/>
    </row>
    <row r="996">
      <c r="A996" s="3"/>
      <c r="B996" s="88"/>
      <c r="C996" s="88"/>
      <c r="D996" s="89"/>
      <c r="E996" s="88"/>
      <c r="F996" s="3"/>
      <c r="G996" s="88"/>
      <c r="H996" s="88"/>
      <c r="I996" s="89"/>
    </row>
    <row r="997">
      <c r="A997" s="3"/>
      <c r="B997" s="88"/>
      <c r="C997" s="88"/>
      <c r="D997" s="89"/>
      <c r="E997" s="88"/>
      <c r="F997" s="3"/>
      <c r="G997" s="88"/>
      <c r="H997" s="88"/>
      <c r="I997" s="89"/>
    </row>
    <row r="998">
      <c r="A998" s="3"/>
      <c r="B998" s="88"/>
      <c r="C998" s="88"/>
      <c r="D998" s="89"/>
      <c r="E998" s="88"/>
      <c r="F998" s="3"/>
      <c r="G998" s="88"/>
      <c r="H998" s="88"/>
      <c r="I998" s="89"/>
    </row>
    <row r="999">
      <c r="A999" s="3"/>
      <c r="B999" s="88"/>
      <c r="C999" s="88"/>
      <c r="D999" s="89"/>
      <c r="E999" s="88"/>
      <c r="F999" s="3"/>
      <c r="G999" s="88"/>
      <c r="H999" s="88"/>
      <c r="I999" s="89"/>
    </row>
    <row r="1000">
      <c r="A1000" s="3"/>
      <c r="B1000" s="88"/>
      <c r="C1000" s="88"/>
      <c r="D1000" s="89"/>
      <c r="E1000" s="88"/>
      <c r="F1000" s="3"/>
      <c r="G1000" s="88"/>
      <c r="H1000" s="88"/>
      <c r="I1000" s="89"/>
    </row>
    <row r="1001">
      <c r="A1001" s="3"/>
      <c r="B1001" s="88"/>
      <c r="C1001" s="88"/>
      <c r="D1001" s="89"/>
      <c r="E1001" s="88"/>
      <c r="F1001" s="3"/>
      <c r="G1001" s="88"/>
      <c r="H1001" s="88"/>
      <c r="I1001" s="8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/>
      <c r="T1" s="91"/>
      <c r="U1" s="91"/>
      <c r="V1" s="91"/>
    </row>
    <row r="2">
      <c r="A2" s="90"/>
      <c r="T2" s="91"/>
      <c r="U2" s="91"/>
      <c r="V2" s="91"/>
    </row>
    <row r="3">
      <c r="A3" s="92"/>
      <c r="T3" s="93"/>
      <c r="U3" s="93"/>
      <c r="V3" s="93"/>
    </row>
    <row r="4">
      <c r="A4" s="90"/>
      <c r="T4" s="93"/>
      <c r="U4" s="93"/>
      <c r="V4" s="93"/>
    </row>
    <row r="5">
      <c r="A5" s="91"/>
      <c r="B5" s="94" t="s">
        <v>58</v>
      </c>
      <c r="C5" s="94" t="s">
        <v>59</v>
      </c>
      <c r="D5" s="91"/>
      <c r="E5" s="94" t="s">
        <v>60</v>
      </c>
      <c r="F5" s="91"/>
      <c r="G5" s="94" t="s">
        <v>61</v>
      </c>
      <c r="H5" s="91"/>
      <c r="I5" s="91"/>
      <c r="J5" s="91"/>
      <c r="K5" s="95" t="s">
        <v>62</v>
      </c>
      <c r="L5" s="91"/>
      <c r="M5" s="97" t="s">
        <v>63</v>
      </c>
      <c r="N5" s="91"/>
      <c r="O5" s="98" t="s">
        <v>64</v>
      </c>
      <c r="P5" s="93"/>
      <c r="Q5" s="94" t="s">
        <v>65</v>
      </c>
      <c r="R5" s="99"/>
      <c r="S5" s="91"/>
      <c r="T5" s="91"/>
      <c r="U5" s="91"/>
      <c r="V5" s="91"/>
    </row>
    <row r="6">
      <c r="A6" s="100" t="s">
        <v>66</v>
      </c>
      <c r="C6" s="91"/>
      <c r="D6" s="91"/>
      <c r="E6" s="91"/>
      <c r="F6" s="91"/>
      <c r="G6" s="91"/>
      <c r="H6" s="91"/>
      <c r="I6" s="101"/>
      <c r="J6" s="91"/>
      <c r="K6" s="101"/>
      <c r="L6" s="91"/>
      <c r="M6" s="102"/>
      <c r="N6" s="91"/>
      <c r="O6" s="101"/>
      <c r="P6" s="101"/>
      <c r="Q6" s="91"/>
      <c r="R6" s="91"/>
      <c r="S6" s="91"/>
      <c r="T6" s="91"/>
      <c r="U6" s="91"/>
      <c r="V6" s="91"/>
    </row>
    <row r="7">
      <c r="A7" s="91"/>
      <c r="B7" s="104" t="s">
        <v>67</v>
      </c>
      <c r="C7" s="104" t="s">
        <v>68</v>
      </c>
      <c r="D7" s="91"/>
      <c r="E7" s="104" t="s">
        <v>69</v>
      </c>
      <c r="F7" s="91"/>
      <c r="G7" s="104" t="s">
        <v>70</v>
      </c>
      <c r="H7" s="91"/>
      <c r="I7" s="101"/>
      <c r="J7" s="91"/>
      <c r="K7" s="105">
        <v>0.0</v>
      </c>
      <c r="L7" s="91"/>
      <c r="M7" s="105">
        <v>0.0</v>
      </c>
      <c r="N7" s="91"/>
      <c r="O7" s="105">
        <v>0.0</v>
      </c>
      <c r="P7" s="101"/>
      <c r="Q7" s="106" t="s">
        <v>27</v>
      </c>
      <c r="S7" s="101"/>
      <c r="T7" s="101"/>
      <c r="U7" s="101"/>
      <c r="V7" s="101"/>
    </row>
    <row r="8">
      <c r="A8" s="91"/>
      <c r="B8" s="104" t="s">
        <v>72</v>
      </c>
      <c r="C8" s="104" t="s">
        <v>73</v>
      </c>
      <c r="D8" s="91"/>
      <c r="E8" s="104" t="s">
        <v>74</v>
      </c>
      <c r="F8" s="91"/>
      <c r="G8" s="104" t="s">
        <v>75</v>
      </c>
      <c r="H8" s="91"/>
      <c r="I8" s="101"/>
      <c r="J8" s="91"/>
      <c r="K8" s="105">
        <v>0.0</v>
      </c>
      <c r="L8" s="91"/>
      <c r="M8" s="105">
        <v>0.0</v>
      </c>
      <c r="N8" s="91"/>
      <c r="O8" s="105">
        <v>0.0</v>
      </c>
      <c r="P8" s="101"/>
      <c r="Q8" s="104" t="s">
        <v>76</v>
      </c>
      <c r="S8" s="101"/>
      <c r="T8" s="101"/>
      <c r="U8" s="101"/>
      <c r="V8" s="101"/>
    </row>
    <row r="9">
      <c r="A9" s="91"/>
      <c r="B9" s="104" t="s">
        <v>77</v>
      </c>
      <c r="C9" s="104" t="s">
        <v>78</v>
      </c>
      <c r="D9" s="91"/>
      <c r="E9" s="104" t="s">
        <v>79</v>
      </c>
      <c r="F9" s="91"/>
      <c r="G9" s="104" t="s">
        <v>80</v>
      </c>
      <c r="H9" s="91"/>
      <c r="I9" s="101"/>
      <c r="J9" s="91"/>
      <c r="K9" s="105">
        <v>0.0</v>
      </c>
      <c r="L9" s="91"/>
      <c r="M9" s="105">
        <v>0.0</v>
      </c>
      <c r="N9" s="91"/>
      <c r="O9" s="105">
        <v>0.0</v>
      </c>
      <c r="P9" s="101"/>
      <c r="Q9" s="104" t="s">
        <v>82</v>
      </c>
      <c r="S9" s="101"/>
      <c r="T9" s="101"/>
      <c r="U9" s="101"/>
      <c r="V9" s="101"/>
    </row>
    <row r="10">
      <c r="A10" s="91"/>
      <c r="B10" s="104" t="s">
        <v>83</v>
      </c>
      <c r="C10" s="104" t="s">
        <v>84</v>
      </c>
      <c r="D10" s="91"/>
      <c r="E10" s="104" t="s">
        <v>85</v>
      </c>
      <c r="F10" s="91"/>
      <c r="G10" s="104" t="s">
        <v>86</v>
      </c>
      <c r="H10" s="91"/>
      <c r="I10" s="101"/>
      <c r="J10" s="91"/>
      <c r="K10" s="105">
        <v>0.0</v>
      </c>
      <c r="L10" s="91"/>
      <c r="M10" s="105">
        <v>0.0</v>
      </c>
      <c r="N10" s="91"/>
      <c r="O10" s="105">
        <v>0.0</v>
      </c>
      <c r="P10" s="101"/>
      <c r="Q10" s="104" t="s">
        <v>87</v>
      </c>
      <c r="S10" s="101"/>
      <c r="T10" s="101"/>
      <c r="U10" s="101"/>
      <c r="V10" s="101"/>
    </row>
    <row r="11">
      <c r="A11" s="91"/>
      <c r="B11" s="104" t="s">
        <v>88</v>
      </c>
      <c r="C11" s="104" t="s">
        <v>89</v>
      </c>
      <c r="D11" s="91"/>
      <c r="E11" s="104" t="s">
        <v>90</v>
      </c>
      <c r="F11" s="91"/>
      <c r="G11" s="104" t="s">
        <v>91</v>
      </c>
      <c r="H11" s="91"/>
      <c r="I11" s="101"/>
      <c r="J11" s="91"/>
      <c r="K11" s="105">
        <v>0.0</v>
      </c>
      <c r="L11" s="91"/>
      <c r="M11" s="105">
        <v>0.0</v>
      </c>
      <c r="N11" s="91"/>
      <c r="O11" s="105">
        <v>0.0</v>
      </c>
      <c r="P11" s="101"/>
      <c r="Q11" s="104" t="s">
        <v>92</v>
      </c>
      <c r="S11" s="101"/>
      <c r="T11" s="101"/>
      <c r="U11" s="101"/>
      <c r="V11" s="101"/>
    </row>
    <row r="12">
      <c r="A12" s="91"/>
      <c r="B12" s="104" t="s">
        <v>94</v>
      </c>
      <c r="C12" s="104" t="s">
        <v>95</v>
      </c>
      <c r="D12" s="91"/>
      <c r="E12" s="104" t="s">
        <v>96</v>
      </c>
      <c r="F12" s="91"/>
      <c r="G12" s="104" t="s">
        <v>97</v>
      </c>
      <c r="H12" s="91"/>
      <c r="I12" s="101"/>
      <c r="J12" s="91"/>
      <c r="K12" s="105">
        <v>0.0</v>
      </c>
      <c r="L12" s="91"/>
      <c r="M12" s="105">
        <v>0.0</v>
      </c>
      <c r="N12" s="91"/>
      <c r="O12" s="105">
        <v>0.0</v>
      </c>
      <c r="P12" s="101"/>
      <c r="Q12" s="104" t="s">
        <v>99</v>
      </c>
      <c r="S12" s="101"/>
      <c r="T12" s="101"/>
      <c r="U12" s="101"/>
      <c r="V12" s="101"/>
    </row>
    <row r="13">
      <c r="A13" s="91"/>
      <c r="B13" s="104" t="s">
        <v>100</v>
      </c>
      <c r="C13" s="104" t="s">
        <v>101</v>
      </c>
      <c r="D13" s="91"/>
      <c r="E13" s="104" t="s">
        <v>102</v>
      </c>
      <c r="F13" s="91"/>
      <c r="G13" s="104" t="s">
        <v>103</v>
      </c>
      <c r="H13" s="91"/>
      <c r="I13" s="101"/>
      <c r="J13" s="91"/>
      <c r="K13" s="105">
        <v>0.0</v>
      </c>
      <c r="L13" s="91"/>
      <c r="M13" s="105">
        <v>0.0</v>
      </c>
      <c r="N13" s="91"/>
      <c r="O13" s="105">
        <v>0.0</v>
      </c>
      <c r="P13" s="101"/>
      <c r="Q13" s="104" t="s">
        <v>104</v>
      </c>
      <c r="S13" s="101"/>
      <c r="T13" s="101"/>
      <c r="U13" s="101"/>
      <c r="V13" s="101"/>
    </row>
    <row r="14">
      <c r="A14" s="91"/>
      <c r="B14" s="104" t="s">
        <v>106</v>
      </c>
      <c r="C14" s="104" t="s">
        <v>107</v>
      </c>
      <c r="D14" s="91"/>
      <c r="E14" s="104" t="s">
        <v>108</v>
      </c>
      <c r="F14" s="91"/>
      <c r="G14" s="104" t="s">
        <v>109</v>
      </c>
      <c r="H14" s="91"/>
      <c r="I14" s="101"/>
      <c r="J14" s="91"/>
      <c r="K14" s="105">
        <v>0.0</v>
      </c>
      <c r="L14" s="91"/>
      <c r="M14" s="105">
        <v>0.0</v>
      </c>
      <c r="N14" s="91"/>
      <c r="O14" s="105">
        <v>0.0</v>
      </c>
      <c r="P14" s="101"/>
      <c r="Q14" s="104" t="s">
        <v>111</v>
      </c>
      <c r="S14" s="101"/>
      <c r="T14" s="101"/>
      <c r="U14" s="101"/>
      <c r="V14" s="101"/>
    </row>
    <row r="15">
      <c r="A15" s="91"/>
      <c r="B15" s="104" t="s">
        <v>112</v>
      </c>
      <c r="C15" s="104" t="s">
        <v>113</v>
      </c>
      <c r="D15" s="91"/>
      <c r="E15" s="104" t="s">
        <v>114</v>
      </c>
      <c r="F15" s="91"/>
      <c r="G15" s="115" t="s">
        <v>116</v>
      </c>
      <c r="H15" s="93"/>
      <c r="I15" s="101"/>
      <c r="J15" s="93"/>
      <c r="K15" s="105">
        <v>0.0</v>
      </c>
      <c r="L15" s="93"/>
      <c r="M15" s="105">
        <v>0.0</v>
      </c>
      <c r="N15" s="93"/>
      <c r="O15" s="105">
        <v>0.0</v>
      </c>
      <c r="P15" s="101"/>
      <c r="Q15" s="115" t="s">
        <v>118</v>
      </c>
      <c r="S15" s="101"/>
      <c r="T15" s="101"/>
      <c r="U15" s="101"/>
      <c r="V15" s="101"/>
    </row>
    <row r="16">
      <c r="A16" s="91"/>
      <c r="B16" s="104" t="s">
        <v>120</v>
      </c>
      <c r="C16" s="104" t="s">
        <v>121</v>
      </c>
      <c r="D16" s="91"/>
      <c r="E16" s="104" t="s">
        <v>122</v>
      </c>
      <c r="F16" s="91"/>
      <c r="G16" s="104" t="s">
        <v>123</v>
      </c>
      <c r="H16" s="91"/>
      <c r="I16" s="101"/>
      <c r="J16" s="91"/>
      <c r="K16" s="105">
        <v>0.0</v>
      </c>
      <c r="L16" s="91"/>
      <c r="M16" s="105">
        <v>0.0</v>
      </c>
      <c r="N16" s="91"/>
      <c r="O16" s="105">
        <v>0.0</v>
      </c>
      <c r="P16" s="101"/>
      <c r="Q16" s="104" t="s">
        <v>125</v>
      </c>
      <c r="S16" s="101"/>
      <c r="T16" s="101"/>
      <c r="U16" s="101"/>
      <c r="V16" s="101"/>
    </row>
    <row r="17">
      <c r="A17" s="91"/>
      <c r="B17" s="104" t="s">
        <v>127</v>
      </c>
      <c r="C17" s="104" t="s">
        <v>128</v>
      </c>
      <c r="D17" s="91"/>
      <c r="E17" s="104" t="s">
        <v>129</v>
      </c>
      <c r="F17" s="91"/>
      <c r="G17" s="104" t="s">
        <v>130</v>
      </c>
      <c r="H17" s="91"/>
      <c r="I17" s="101"/>
      <c r="J17" s="91"/>
      <c r="K17" s="105">
        <v>0.0</v>
      </c>
      <c r="L17" s="91"/>
      <c r="M17" s="105">
        <v>0.0</v>
      </c>
      <c r="N17" s="91"/>
      <c r="O17" s="105">
        <v>0.0</v>
      </c>
      <c r="P17" s="101"/>
      <c r="Q17" s="104" t="s">
        <v>132</v>
      </c>
      <c r="S17" s="101"/>
      <c r="T17" s="101"/>
      <c r="U17" s="101"/>
      <c r="V17" s="101"/>
    </row>
    <row r="18">
      <c r="A18" s="91"/>
      <c r="B18" s="104" t="s">
        <v>133</v>
      </c>
      <c r="C18" s="104" t="s">
        <v>134</v>
      </c>
      <c r="D18" s="91"/>
      <c r="E18" s="104" t="s">
        <v>135</v>
      </c>
      <c r="F18" s="91"/>
      <c r="G18" s="104" t="s">
        <v>136</v>
      </c>
      <c r="H18" s="91"/>
      <c r="I18" s="101"/>
      <c r="J18" s="91"/>
      <c r="K18" s="105">
        <v>0.0</v>
      </c>
      <c r="L18" s="91"/>
      <c r="M18" s="105">
        <v>0.0</v>
      </c>
      <c r="N18" s="91"/>
      <c r="O18" s="105">
        <v>0.0</v>
      </c>
      <c r="P18" s="101"/>
      <c r="Q18" s="104" t="s">
        <v>137</v>
      </c>
      <c r="S18" s="101"/>
      <c r="T18" s="101"/>
      <c r="U18" s="101"/>
      <c r="V18" s="101"/>
    </row>
    <row r="19">
      <c r="A19" s="91"/>
      <c r="B19" s="104" t="s">
        <v>139</v>
      </c>
      <c r="C19" s="104" t="s">
        <v>141</v>
      </c>
      <c r="D19" s="91"/>
      <c r="E19" s="104" t="s">
        <v>142</v>
      </c>
      <c r="F19" s="91"/>
      <c r="G19" s="104" t="s">
        <v>143</v>
      </c>
      <c r="H19" s="91"/>
      <c r="I19" s="101"/>
      <c r="J19" s="91"/>
      <c r="K19" s="105">
        <v>0.0</v>
      </c>
      <c r="L19" s="91"/>
      <c r="M19" s="105">
        <v>0.0</v>
      </c>
      <c r="N19" s="91"/>
      <c r="O19" s="105">
        <v>0.0</v>
      </c>
      <c r="P19" s="101"/>
      <c r="Q19" s="104" t="s">
        <v>144</v>
      </c>
      <c r="S19" s="101"/>
      <c r="T19" s="101"/>
      <c r="U19" s="101"/>
      <c r="V19" s="101"/>
    </row>
    <row r="20">
      <c r="A20" s="91"/>
      <c r="B20" s="104" t="s">
        <v>146</v>
      </c>
      <c r="C20" s="104" t="s">
        <v>147</v>
      </c>
      <c r="D20" s="91"/>
      <c r="E20" s="104" t="s">
        <v>148</v>
      </c>
      <c r="F20" s="91"/>
      <c r="G20" s="104" t="s">
        <v>149</v>
      </c>
      <c r="H20" s="91"/>
      <c r="I20" s="101"/>
      <c r="J20" s="91"/>
      <c r="K20" s="105">
        <v>50900.0</v>
      </c>
      <c r="L20" s="91"/>
      <c r="M20" s="105">
        <v>0.0</v>
      </c>
      <c r="N20" s="91"/>
      <c r="O20" s="105">
        <v>0.0</v>
      </c>
      <c r="P20" s="101"/>
      <c r="Q20" s="104" t="s">
        <v>150</v>
      </c>
      <c r="S20" s="101"/>
      <c r="T20" s="101"/>
      <c r="U20" s="101"/>
      <c r="V20" s="101"/>
    </row>
    <row r="21">
      <c r="A21" s="91"/>
      <c r="B21" s="104" t="s">
        <v>151</v>
      </c>
      <c r="C21" s="104" t="s">
        <v>152</v>
      </c>
      <c r="D21" s="91"/>
      <c r="E21" s="104" t="s">
        <v>153</v>
      </c>
      <c r="F21" s="91"/>
      <c r="G21" s="104" t="s">
        <v>154</v>
      </c>
      <c r="H21" s="91"/>
      <c r="I21" s="91"/>
      <c r="J21" s="91"/>
      <c r="K21" s="105">
        <v>56900.0</v>
      </c>
      <c r="L21" s="91"/>
      <c r="M21" s="105">
        <v>0.0</v>
      </c>
      <c r="N21" s="91"/>
      <c r="O21" s="105">
        <v>0.0</v>
      </c>
      <c r="P21" s="101"/>
      <c r="Q21" s="104" t="s">
        <v>155</v>
      </c>
      <c r="S21" s="101"/>
      <c r="T21" s="101"/>
      <c r="U21" s="101"/>
      <c r="V21" s="101"/>
    </row>
    <row r="22">
      <c r="A22" s="91"/>
      <c r="B22" s="104" t="s">
        <v>156</v>
      </c>
      <c r="C22" s="104" t="s">
        <v>157</v>
      </c>
      <c r="D22" s="91"/>
      <c r="E22" s="104" t="s">
        <v>158</v>
      </c>
      <c r="F22" s="91"/>
      <c r="G22" s="104" t="s">
        <v>160</v>
      </c>
      <c r="H22" s="91"/>
      <c r="I22" s="101"/>
      <c r="J22" s="91"/>
      <c r="K22" s="105">
        <v>0.0</v>
      </c>
      <c r="L22" s="91"/>
      <c r="M22" s="105">
        <v>0.0</v>
      </c>
      <c r="N22" s="91"/>
      <c r="O22" s="105">
        <v>0.0</v>
      </c>
      <c r="P22" s="101"/>
      <c r="Q22" s="104" t="s">
        <v>161</v>
      </c>
      <c r="S22" s="101"/>
      <c r="T22" s="101"/>
      <c r="U22" s="101"/>
      <c r="V22" s="101"/>
    </row>
    <row r="23">
      <c r="A23" s="91"/>
      <c r="B23" s="104" t="s">
        <v>163</v>
      </c>
      <c r="C23" s="104" t="s">
        <v>164</v>
      </c>
      <c r="D23" s="91"/>
      <c r="E23" s="104" t="s">
        <v>165</v>
      </c>
      <c r="F23" s="91"/>
      <c r="G23" s="104" t="s">
        <v>166</v>
      </c>
      <c r="H23" s="91"/>
      <c r="I23" s="101"/>
      <c r="J23" s="91"/>
      <c r="K23" s="105">
        <v>0.0</v>
      </c>
      <c r="L23" s="91"/>
      <c r="M23" s="105">
        <v>0.0</v>
      </c>
      <c r="N23" s="91"/>
      <c r="O23" s="105">
        <v>0.0</v>
      </c>
      <c r="P23" s="101"/>
      <c r="Q23" s="104" t="s">
        <v>167</v>
      </c>
      <c r="S23" s="101"/>
      <c r="T23" s="101"/>
      <c r="U23" s="101"/>
      <c r="V23" s="101"/>
    </row>
    <row r="24">
      <c r="A24" s="91"/>
      <c r="B24" s="104" t="s">
        <v>168</v>
      </c>
      <c r="C24" s="104" t="s">
        <v>169</v>
      </c>
      <c r="D24" s="91"/>
      <c r="E24" s="104" t="s">
        <v>170</v>
      </c>
      <c r="F24" s="91"/>
      <c r="G24" s="104" t="s">
        <v>171</v>
      </c>
      <c r="H24" s="91"/>
      <c r="I24" s="101"/>
      <c r="J24" s="91"/>
      <c r="K24" s="105">
        <v>151000.0</v>
      </c>
      <c r="L24" s="91"/>
      <c r="M24" s="105">
        <v>0.0</v>
      </c>
      <c r="N24" s="91"/>
      <c r="O24" s="105">
        <v>0.0</v>
      </c>
      <c r="P24" s="101"/>
      <c r="Q24" s="104" t="s">
        <v>172</v>
      </c>
      <c r="S24" s="101"/>
      <c r="T24" s="101"/>
      <c r="U24" s="101"/>
      <c r="V24" s="101"/>
    </row>
    <row r="25">
      <c r="A25" s="91"/>
      <c r="B25" s="104" t="s">
        <v>173</v>
      </c>
      <c r="C25" s="104" t="s">
        <v>174</v>
      </c>
      <c r="D25" s="91"/>
      <c r="E25" s="104" t="s">
        <v>175</v>
      </c>
      <c r="F25" s="91"/>
      <c r="G25" s="104" t="s">
        <v>176</v>
      </c>
      <c r="H25" s="91"/>
      <c r="I25" s="101"/>
      <c r="J25" s="91"/>
      <c r="K25" s="105">
        <v>62900.0</v>
      </c>
      <c r="L25" s="91"/>
      <c r="M25" s="105">
        <v>0.0</v>
      </c>
      <c r="N25" s="91"/>
      <c r="O25" s="105">
        <v>0.0</v>
      </c>
      <c r="P25" s="101"/>
      <c r="Q25" s="104" t="s">
        <v>177</v>
      </c>
      <c r="S25" s="101"/>
      <c r="T25" s="101"/>
      <c r="U25" s="101"/>
      <c r="V25" s="101"/>
    </row>
    <row r="26">
      <c r="A26" s="91"/>
      <c r="B26" s="104" t="s">
        <v>178</v>
      </c>
      <c r="C26" s="104" t="s">
        <v>179</v>
      </c>
      <c r="D26" s="91"/>
      <c r="E26" s="104" t="s">
        <v>180</v>
      </c>
      <c r="F26" s="91"/>
      <c r="G26" s="104" t="s">
        <v>181</v>
      </c>
      <c r="H26" s="91"/>
      <c r="I26" s="101"/>
      <c r="J26" s="91"/>
      <c r="K26" s="105">
        <v>0.0</v>
      </c>
      <c r="L26" s="91"/>
      <c r="M26" s="105">
        <v>0.0</v>
      </c>
      <c r="N26" s="91"/>
      <c r="O26" s="105">
        <v>0.0</v>
      </c>
      <c r="P26" s="101"/>
      <c r="Q26" s="104" t="s">
        <v>182</v>
      </c>
      <c r="S26" s="101"/>
      <c r="T26" s="101"/>
      <c r="U26" s="101"/>
      <c r="V26" s="101"/>
    </row>
    <row r="27">
      <c r="A27" s="91"/>
      <c r="B27" s="104" t="s">
        <v>183</v>
      </c>
      <c r="C27" s="104" t="s">
        <v>184</v>
      </c>
      <c r="D27" s="91"/>
      <c r="E27" s="104" t="s">
        <v>185</v>
      </c>
      <c r="F27" s="91"/>
      <c r="G27" s="104" t="s">
        <v>186</v>
      </c>
      <c r="H27" s="91"/>
      <c r="I27" s="101"/>
      <c r="J27" s="91"/>
      <c r="K27" s="105">
        <v>143000.0</v>
      </c>
      <c r="L27" s="91"/>
      <c r="M27" s="105">
        <v>0.0</v>
      </c>
      <c r="N27" s="91"/>
      <c r="O27" s="105">
        <v>0.0</v>
      </c>
      <c r="P27" s="101"/>
      <c r="Q27" s="104" t="s">
        <v>187</v>
      </c>
      <c r="S27" s="101"/>
      <c r="T27" s="101"/>
      <c r="U27" s="101"/>
      <c r="V27" s="101"/>
    </row>
    <row r="28">
      <c r="A28" s="91"/>
      <c r="B28" s="104" t="s">
        <v>188</v>
      </c>
      <c r="C28" s="104" t="s">
        <v>189</v>
      </c>
      <c r="D28" s="91"/>
      <c r="E28" s="104" t="s">
        <v>190</v>
      </c>
      <c r="F28" s="91"/>
      <c r="G28" s="104" t="s">
        <v>191</v>
      </c>
      <c r="H28" s="91"/>
      <c r="I28" s="101"/>
      <c r="J28" s="91"/>
      <c r="K28" s="105">
        <v>75900.0</v>
      </c>
      <c r="L28" s="91"/>
      <c r="M28" s="105">
        <v>0.0</v>
      </c>
      <c r="N28" s="91"/>
      <c r="O28" s="105">
        <v>0.0</v>
      </c>
      <c r="P28" s="101"/>
      <c r="Q28" s="104" t="s">
        <v>192</v>
      </c>
      <c r="S28" s="101"/>
      <c r="T28" s="101"/>
      <c r="U28" s="101"/>
      <c r="V28" s="101"/>
    </row>
    <row r="29">
      <c r="A29" s="91"/>
      <c r="B29" s="104" t="s">
        <v>193</v>
      </c>
      <c r="C29" s="104" t="s">
        <v>194</v>
      </c>
      <c r="D29" s="91"/>
      <c r="E29" s="104" t="s">
        <v>195</v>
      </c>
      <c r="F29" s="91"/>
      <c r="G29" s="104" t="s">
        <v>197</v>
      </c>
      <c r="H29" s="91"/>
      <c r="I29" s="101"/>
      <c r="J29" s="91"/>
      <c r="K29" s="105">
        <v>0.0</v>
      </c>
      <c r="L29" s="91"/>
      <c r="M29" s="105">
        <v>0.0</v>
      </c>
      <c r="N29" s="91"/>
      <c r="O29" s="105">
        <v>0.0</v>
      </c>
      <c r="P29" s="101"/>
      <c r="Q29" s="104" t="s">
        <v>198</v>
      </c>
      <c r="S29" s="101"/>
      <c r="T29" s="101"/>
      <c r="U29" s="101"/>
      <c r="V29" s="101"/>
    </row>
    <row r="30">
      <c r="A30" s="91"/>
      <c r="B30" s="104" t="s">
        <v>200</v>
      </c>
      <c r="C30" s="104" t="s">
        <v>201</v>
      </c>
      <c r="D30" s="91"/>
      <c r="E30" s="104" t="s">
        <v>202</v>
      </c>
      <c r="F30" s="91"/>
      <c r="G30" s="104" t="s">
        <v>203</v>
      </c>
      <c r="H30" s="91"/>
      <c r="I30" s="101"/>
      <c r="J30" s="91"/>
      <c r="K30" s="105">
        <v>0.0</v>
      </c>
      <c r="L30" s="91"/>
      <c r="M30" s="105">
        <v>0.0</v>
      </c>
      <c r="N30" s="91"/>
      <c r="O30" s="105">
        <v>0.0</v>
      </c>
      <c r="P30" s="101"/>
      <c r="Q30" s="104" t="s">
        <v>204</v>
      </c>
      <c r="S30" s="101"/>
      <c r="T30" s="101"/>
      <c r="U30" s="101"/>
      <c r="V30" s="101"/>
    </row>
    <row r="31">
      <c r="A31" s="91"/>
      <c r="B31" s="104" t="s">
        <v>205</v>
      </c>
      <c r="C31" s="104" t="s">
        <v>206</v>
      </c>
      <c r="D31" s="91"/>
      <c r="E31" s="104" t="s">
        <v>207</v>
      </c>
      <c r="F31" s="91"/>
      <c r="G31" s="104" t="s">
        <v>208</v>
      </c>
      <c r="H31" s="91"/>
      <c r="I31" s="91"/>
      <c r="J31" s="91"/>
      <c r="K31" s="105">
        <v>0.0</v>
      </c>
      <c r="L31" s="91"/>
      <c r="M31" s="105">
        <v>0.0</v>
      </c>
      <c r="N31" s="91"/>
      <c r="O31" s="105">
        <v>0.0</v>
      </c>
      <c r="P31" s="91"/>
      <c r="Q31" s="104" t="s">
        <v>209</v>
      </c>
      <c r="S31" s="91"/>
      <c r="T31" s="91"/>
      <c r="U31" s="91"/>
      <c r="V31" s="91"/>
    </row>
    <row r="32">
      <c r="A32" s="91"/>
      <c r="B32" s="104" t="s">
        <v>210</v>
      </c>
      <c r="C32" s="104" t="s">
        <v>211</v>
      </c>
      <c r="D32" s="91"/>
      <c r="E32" s="104" t="s">
        <v>212</v>
      </c>
      <c r="F32" s="91"/>
      <c r="G32" s="104" t="s">
        <v>213</v>
      </c>
      <c r="H32" s="91"/>
      <c r="I32" s="91"/>
      <c r="J32" s="91"/>
      <c r="K32" s="105">
        <v>69900.0</v>
      </c>
      <c r="L32" s="91"/>
      <c r="M32" s="105">
        <v>0.0</v>
      </c>
      <c r="N32" s="91"/>
      <c r="O32" s="105">
        <v>0.0</v>
      </c>
      <c r="P32" s="91"/>
      <c r="Q32" s="104" t="s">
        <v>214</v>
      </c>
      <c r="S32" s="91"/>
      <c r="T32" s="91"/>
      <c r="U32" s="91"/>
      <c r="V32" s="91"/>
    </row>
    <row r="33">
      <c r="A33" s="91"/>
      <c r="B33" s="104" t="s">
        <v>215</v>
      </c>
      <c r="C33" s="104" t="s">
        <v>216</v>
      </c>
      <c r="D33" s="91"/>
      <c r="E33" s="104" t="s">
        <v>217</v>
      </c>
      <c r="F33" s="91"/>
      <c r="G33" s="104" t="s">
        <v>218</v>
      </c>
      <c r="H33" s="91"/>
      <c r="I33" s="91"/>
      <c r="J33" s="91"/>
      <c r="K33" s="105">
        <v>0.0</v>
      </c>
      <c r="L33" s="91"/>
      <c r="M33" s="105">
        <v>0.0</v>
      </c>
      <c r="N33" s="91"/>
      <c r="O33" s="105">
        <v>0.0</v>
      </c>
      <c r="P33" s="91"/>
      <c r="Q33" s="104" t="s">
        <v>219</v>
      </c>
      <c r="S33" s="91"/>
      <c r="T33" s="91"/>
      <c r="U33" s="91"/>
      <c r="V33" s="91"/>
    </row>
    <row r="34">
      <c r="A34" s="91"/>
      <c r="B34" s="104" t="s">
        <v>220</v>
      </c>
      <c r="C34" s="104" t="s">
        <v>221</v>
      </c>
      <c r="D34" s="91"/>
      <c r="E34" s="104" t="s">
        <v>222</v>
      </c>
      <c r="F34" s="91"/>
      <c r="G34" s="104" t="s">
        <v>223</v>
      </c>
      <c r="H34" s="91"/>
      <c r="I34" s="91"/>
      <c r="J34" s="91"/>
      <c r="K34" s="105">
        <v>165000.0</v>
      </c>
      <c r="L34" s="91"/>
      <c r="M34" s="105">
        <v>0.0</v>
      </c>
      <c r="N34" s="91"/>
      <c r="O34" s="105">
        <v>0.0</v>
      </c>
      <c r="P34" s="91"/>
      <c r="Q34" s="104" t="s">
        <v>224</v>
      </c>
      <c r="S34" s="91"/>
      <c r="T34" s="91"/>
      <c r="U34" s="91"/>
      <c r="V34" s="91"/>
    </row>
    <row r="35">
      <c r="A35" s="91"/>
      <c r="B35" s="104" t="s">
        <v>225</v>
      </c>
      <c r="C35" s="104" t="s">
        <v>226</v>
      </c>
      <c r="D35" s="91"/>
      <c r="E35" s="104" t="s">
        <v>227</v>
      </c>
      <c r="F35" s="91"/>
      <c r="G35" s="104" t="s">
        <v>228</v>
      </c>
      <c r="H35" s="91"/>
      <c r="I35" s="91"/>
      <c r="J35" s="91"/>
      <c r="K35" s="105">
        <v>61900.0</v>
      </c>
      <c r="L35" s="91"/>
      <c r="M35" s="105">
        <v>0.0</v>
      </c>
      <c r="N35" s="91"/>
      <c r="O35" s="105">
        <v>0.0</v>
      </c>
      <c r="P35" s="91"/>
      <c r="Q35" s="104" t="s">
        <v>229</v>
      </c>
      <c r="S35" s="91"/>
      <c r="T35" s="91"/>
      <c r="U35" s="91"/>
      <c r="V35" s="91"/>
    </row>
    <row r="36">
      <c r="A36" s="100" t="s">
        <v>230</v>
      </c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</row>
    <row r="37">
      <c r="A37" s="91"/>
      <c r="B37" s="104" t="s">
        <v>231</v>
      </c>
      <c r="C37" s="104" t="s">
        <v>232</v>
      </c>
      <c r="D37" s="91"/>
      <c r="E37" s="104" t="s">
        <v>233</v>
      </c>
      <c r="F37" s="91"/>
      <c r="G37" s="104" t="s">
        <v>234</v>
      </c>
      <c r="H37" s="91"/>
      <c r="I37" s="91"/>
      <c r="J37" s="91"/>
      <c r="K37" s="105">
        <v>28000.0</v>
      </c>
      <c r="L37" s="91"/>
      <c r="M37" s="105">
        <v>0.0</v>
      </c>
      <c r="N37" s="91"/>
      <c r="O37" s="105">
        <v>0.0</v>
      </c>
      <c r="P37" s="91"/>
      <c r="Q37" s="104" t="s">
        <v>235</v>
      </c>
      <c r="S37" s="91"/>
      <c r="T37" s="91"/>
      <c r="U37" s="91"/>
      <c r="V37" s="91"/>
    </row>
    <row r="38">
      <c r="A38" s="91"/>
      <c r="B38" s="104" t="s">
        <v>236</v>
      </c>
      <c r="C38" s="104" t="s">
        <v>237</v>
      </c>
      <c r="D38" s="91"/>
      <c r="E38" s="104" t="s">
        <v>238</v>
      </c>
      <c r="F38" s="91"/>
      <c r="G38" s="104" t="s">
        <v>239</v>
      </c>
      <c r="H38" s="91"/>
      <c r="I38" s="91"/>
      <c r="J38" s="91"/>
      <c r="K38" s="105">
        <v>22000.0</v>
      </c>
      <c r="L38" s="91"/>
      <c r="M38" s="105">
        <v>0.0</v>
      </c>
      <c r="N38" s="91"/>
      <c r="O38" s="105">
        <v>0.0</v>
      </c>
      <c r="P38" s="91"/>
      <c r="Q38" s="104" t="s">
        <v>240</v>
      </c>
      <c r="S38" s="91"/>
      <c r="T38" s="91"/>
      <c r="U38" s="91"/>
      <c r="V38" s="91"/>
    </row>
    <row r="39">
      <c r="A39" s="91"/>
      <c r="B39" s="104" t="s">
        <v>241</v>
      </c>
      <c r="C39" s="104" t="s">
        <v>242</v>
      </c>
      <c r="D39" s="91"/>
      <c r="E39" s="104" t="s">
        <v>243</v>
      </c>
      <c r="F39" s="91"/>
      <c r="G39" s="104" t="s">
        <v>244</v>
      </c>
      <c r="H39" s="91"/>
      <c r="I39" s="91"/>
      <c r="J39" s="91"/>
      <c r="K39" s="105">
        <v>24500.0</v>
      </c>
      <c r="L39" s="91"/>
      <c r="M39" s="105">
        <v>0.0</v>
      </c>
      <c r="N39" s="91"/>
      <c r="O39" s="105">
        <v>0.0</v>
      </c>
      <c r="P39" s="91"/>
      <c r="Q39" s="104" t="s">
        <v>245</v>
      </c>
      <c r="S39" s="91"/>
      <c r="T39" s="91"/>
      <c r="U39" s="91"/>
      <c r="V39" s="91"/>
    </row>
    <row r="40">
      <c r="A40" s="91"/>
      <c r="B40" s="104" t="s">
        <v>246</v>
      </c>
      <c r="C40" s="104" t="s">
        <v>247</v>
      </c>
      <c r="D40" s="91"/>
      <c r="E40" s="104" t="s">
        <v>248</v>
      </c>
      <c r="F40" s="91"/>
      <c r="G40" s="104" t="s">
        <v>249</v>
      </c>
      <c r="H40" s="91"/>
      <c r="I40" s="91"/>
      <c r="J40" s="91"/>
      <c r="K40" s="105">
        <v>26000.0</v>
      </c>
      <c r="L40" s="91"/>
      <c r="M40" s="105">
        <v>0.0</v>
      </c>
      <c r="N40" s="91"/>
      <c r="O40" s="105">
        <v>0.0</v>
      </c>
      <c r="P40" s="91"/>
      <c r="Q40" s="104" t="s">
        <v>250</v>
      </c>
      <c r="S40" s="91"/>
      <c r="T40" s="91"/>
      <c r="U40" s="91"/>
      <c r="V40" s="91"/>
    </row>
    <row r="41">
      <c r="A41" s="91"/>
      <c r="B41" s="104" t="s">
        <v>251</v>
      </c>
      <c r="C41" s="104" t="s">
        <v>252</v>
      </c>
      <c r="D41" s="91"/>
      <c r="E41" s="104" t="s">
        <v>253</v>
      </c>
      <c r="F41" s="91"/>
      <c r="G41" s="104" t="s">
        <v>254</v>
      </c>
      <c r="H41" s="91"/>
      <c r="I41" s="101"/>
      <c r="J41" s="91"/>
      <c r="K41" s="105">
        <v>12000.0</v>
      </c>
      <c r="L41" s="91"/>
      <c r="M41" s="105">
        <v>0.0</v>
      </c>
      <c r="N41" s="91"/>
      <c r="O41" s="105">
        <v>0.0</v>
      </c>
      <c r="P41" s="101"/>
      <c r="Q41" s="104" t="s">
        <v>255</v>
      </c>
      <c r="S41" s="101"/>
      <c r="T41" s="101"/>
      <c r="U41" s="101"/>
      <c r="V41" s="101"/>
    </row>
    <row r="42">
      <c r="A42" s="91"/>
      <c r="B42" s="104" t="s">
        <v>256</v>
      </c>
      <c r="C42" s="104" t="s">
        <v>257</v>
      </c>
      <c r="D42" s="91"/>
      <c r="E42" s="104" t="s">
        <v>258</v>
      </c>
      <c r="F42" s="91"/>
      <c r="G42" s="104" t="s">
        <v>259</v>
      </c>
      <c r="H42" s="91"/>
      <c r="I42" s="101"/>
      <c r="J42" s="91"/>
      <c r="K42" s="105">
        <v>22500.0</v>
      </c>
      <c r="L42" s="91"/>
      <c r="M42" s="105">
        <v>0.0</v>
      </c>
      <c r="N42" s="91"/>
      <c r="O42" s="105">
        <v>0.0</v>
      </c>
      <c r="P42" s="101"/>
      <c r="Q42" s="104" t="s">
        <v>261</v>
      </c>
      <c r="S42" s="101"/>
      <c r="T42" s="101"/>
      <c r="U42" s="101"/>
      <c r="V42" s="101"/>
    </row>
    <row r="43">
      <c r="A43" s="91"/>
      <c r="B43" s="104" t="s">
        <v>262</v>
      </c>
      <c r="C43" s="104" t="s">
        <v>263</v>
      </c>
      <c r="D43" s="91"/>
      <c r="E43" s="104" t="s">
        <v>264</v>
      </c>
      <c r="F43" s="91"/>
      <c r="G43" s="104" t="s">
        <v>265</v>
      </c>
      <c r="H43" s="91"/>
      <c r="I43" s="101"/>
      <c r="J43" s="91"/>
      <c r="K43" s="105">
        <v>28500.0</v>
      </c>
      <c r="L43" s="91"/>
      <c r="M43" s="105">
        <v>0.0</v>
      </c>
      <c r="N43" s="91"/>
      <c r="O43" s="105">
        <v>0.0</v>
      </c>
      <c r="P43" s="101"/>
      <c r="Q43" s="104" t="s">
        <v>266</v>
      </c>
      <c r="S43" s="101"/>
      <c r="T43" s="101"/>
      <c r="U43" s="101"/>
      <c r="V43" s="101"/>
    </row>
    <row r="44">
      <c r="A44" s="91"/>
      <c r="B44" s="104" t="s">
        <v>267</v>
      </c>
      <c r="C44" s="104" t="s">
        <v>268</v>
      </c>
      <c r="D44" s="91"/>
      <c r="E44" s="104" t="s">
        <v>269</v>
      </c>
      <c r="F44" s="91"/>
      <c r="G44" s="104" t="s">
        <v>270</v>
      </c>
      <c r="H44" s="91"/>
      <c r="I44" s="101"/>
      <c r="J44" s="91"/>
      <c r="K44" s="105">
        <v>12000.0</v>
      </c>
      <c r="L44" s="91"/>
      <c r="M44" s="105">
        <v>0.0</v>
      </c>
      <c r="N44" s="91"/>
      <c r="O44" s="105">
        <v>0.0</v>
      </c>
      <c r="P44" s="101"/>
      <c r="Q44" s="104" t="s">
        <v>271</v>
      </c>
      <c r="S44" s="101"/>
      <c r="T44" s="101"/>
      <c r="U44" s="101"/>
      <c r="V44" s="101"/>
    </row>
    <row r="45">
      <c r="A45" s="100" t="s">
        <v>272</v>
      </c>
      <c r="C45" s="91"/>
      <c r="D45" s="91"/>
      <c r="E45" s="91"/>
      <c r="F45" s="91"/>
      <c r="G45" s="91"/>
      <c r="H45" s="91"/>
      <c r="I45" s="101"/>
      <c r="J45" s="91"/>
      <c r="K45" s="101"/>
      <c r="L45" s="91"/>
      <c r="M45" s="101"/>
      <c r="N45" s="91"/>
      <c r="O45" s="101"/>
      <c r="P45" s="101"/>
      <c r="Q45" s="91"/>
      <c r="R45" s="101"/>
      <c r="S45" s="101"/>
      <c r="T45" s="101"/>
      <c r="U45" s="101"/>
      <c r="V45" s="101"/>
    </row>
    <row r="46">
      <c r="A46" s="91"/>
      <c r="B46" s="104" t="s">
        <v>273</v>
      </c>
      <c r="C46" s="104" t="s">
        <v>274</v>
      </c>
      <c r="D46" s="91"/>
      <c r="E46" s="104" t="s">
        <v>275</v>
      </c>
      <c r="F46" s="91"/>
      <c r="G46" s="104" t="s">
        <v>276</v>
      </c>
      <c r="H46" s="91"/>
      <c r="I46" s="91"/>
      <c r="J46" s="91"/>
      <c r="K46" s="105">
        <v>0.0</v>
      </c>
      <c r="L46" s="91"/>
      <c r="M46" s="105">
        <v>0.0</v>
      </c>
      <c r="N46" s="91"/>
      <c r="O46" s="105">
        <v>0.0</v>
      </c>
      <c r="P46" s="91"/>
      <c r="Q46" s="104" t="s">
        <v>277</v>
      </c>
      <c r="S46" s="91"/>
      <c r="T46" s="91"/>
      <c r="U46" s="91"/>
      <c r="V46" s="91"/>
    </row>
    <row r="47">
      <c r="A47" s="91"/>
      <c r="B47" s="104" t="s">
        <v>278</v>
      </c>
      <c r="C47" s="104" t="s">
        <v>279</v>
      </c>
      <c r="D47" s="91"/>
      <c r="E47" s="104" t="s">
        <v>280</v>
      </c>
      <c r="F47" s="91"/>
      <c r="G47" s="104" t="s">
        <v>281</v>
      </c>
      <c r="H47" s="91"/>
      <c r="I47" s="101"/>
      <c r="J47" s="91"/>
      <c r="K47" s="105">
        <v>0.0</v>
      </c>
      <c r="L47" s="91"/>
      <c r="M47" s="105">
        <v>0.0</v>
      </c>
      <c r="N47" s="91"/>
      <c r="O47" s="105">
        <v>0.0</v>
      </c>
      <c r="P47" s="101"/>
      <c r="Q47" s="104" t="s">
        <v>282</v>
      </c>
      <c r="S47" s="101"/>
      <c r="T47" s="101"/>
      <c r="U47" s="101"/>
      <c r="V47" s="101"/>
    </row>
    <row r="48">
      <c r="A48" s="91"/>
      <c r="B48" s="104" t="s">
        <v>283</v>
      </c>
      <c r="C48" s="104" t="s">
        <v>284</v>
      </c>
      <c r="D48" s="91"/>
      <c r="E48" s="104" t="s">
        <v>285</v>
      </c>
      <c r="F48" s="91"/>
      <c r="G48" s="104" t="s">
        <v>286</v>
      </c>
      <c r="H48" s="91"/>
      <c r="I48" s="101"/>
      <c r="J48" s="91"/>
      <c r="K48" s="105">
        <v>3000.0</v>
      </c>
      <c r="L48" s="91"/>
      <c r="M48" s="105">
        <v>0.0</v>
      </c>
      <c r="N48" s="91"/>
      <c r="O48" s="105">
        <v>0.0</v>
      </c>
      <c r="P48" s="101"/>
      <c r="Q48" s="104" t="s">
        <v>287</v>
      </c>
      <c r="S48" s="101"/>
      <c r="T48" s="101"/>
      <c r="U48" s="101"/>
      <c r="V48" s="101"/>
    </row>
    <row r="49">
      <c r="A49" s="91"/>
      <c r="B49" s="104" t="s">
        <v>288</v>
      </c>
      <c r="C49" s="104" t="s">
        <v>289</v>
      </c>
      <c r="D49" s="91"/>
      <c r="E49" s="104" t="s">
        <v>290</v>
      </c>
      <c r="F49" s="91"/>
      <c r="G49" s="104" t="s">
        <v>291</v>
      </c>
      <c r="H49" s="91"/>
      <c r="I49" s="101"/>
      <c r="J49" s="91"/>
      <c r="K49" s="105">
        <v>36900.0</v>
      </c>
      <c r="L49" s="91"/>
      <c r="M49" s="105">
        <v>0.0</v>
      </c>
      <c r="N49" s="91"/>
      <c r="O49" s="105">
        <v>0.0</v>
      </c>
      <c r="P49" s="101"/>
      <c r="Q49" s="104" t="s">
        <v>292</v>
      </c>
      <c r="S49" s="101"/>
      <c r="T49" s="101"/>
      <c r="U49" s="101"/>
      <c r="V49" s="101"/>
    </row>
    <row r="50">
      <c r="A50" s="91"/>
      <c r="B50" s="104" t="s">
        <v>293</v>
      </c>
      <c r="C50" s="104" t="s">
        <v>294</v>
      </c>
      <c r="D50" s="91"/>
      <c r="E50" s="104" t="s">
        <v>295</v>
      </c>
      <c r="F50" s="91"/>
      <c r="G50" s="104" t="s">
        <v>296</v>
      </c>
      <c r="H50" s="91"/>
      <c r="I50" s="101"/>
      <c r="J50" s="91"/>
      <c r="K50" s="105">
        <v>29900.0</v>
      </c>
      <c r="L50" s="91"/>
      <c r="M50" s="105">
        <v>0.0</v>
      </c>
      <c r="N50" s="91"/>
      <c r="O50" s="105">
        <v>0.0</v>
      </c>
      <c r="P50" s="101"/>
      <c r="Q50" s="104" t="s">
        <v>297</v>
      </c>
      <c r="S50" s="101"/>
      <c r="T50" s="101"/>
      <c r="U50" s="101"/>
      <c r="V50" s="101"/>
    </row>
    <row r="51">
      <c r="A51" s="91"/>
      <c r="B51" s="104" t="s">
        <v>298</v>
      </c>
      <c r="C51" s="104" t="s">
        <v>299</v>
      </c>
      <c r="D51" s="91"/>
      <c r="E51" s="104" t="s">
        <v>300</v>
      </c>
      <c r="F51" s="91"/>
      <c r="G51" s="104" t="s">
        <v>301</v>
      </c>
      <c r="H51" s="91"/>
      <c r="I51" s="101"/>
      <c r="J51" s="91"/>
      <c r="K51" s="105">
        <v>10000.0</v>
      </c>
      <c r="L51" s="91"/>
      <c r="M51" s="105">
        <v>0.0</v>
      </c>
      <c r="N51" s="91"/>
      <c r="O51" s="105">
        <v>0.0</v>
      </c>
      <c r="P51" s="101"/>
      <c r="Q51" s="104" t="s">
        <v>302</v>
      </c>
      <c r="S51" s="101"/>
      <c r="T51" s="101"/>
      <c r="U51" s="101"/>
      <c r="V51" s="101"/>
    </row>
    <row r="52">
      <c r="A52" s="91"/>
      <c r="B52" s="104" t="s">
        <v>303</v>
      </c>
      <c r="C52" s="104" t="s">
        <v>304</v>
      </c>
      <c r="D52" s="91"/>
      <c r="E52" s="104" t="s">
        <v>305</v>
      </c>
      <c r="F52" s="91"/>
      <c r="G52" s="104" t="s">
        <v>306</v>
      </c>
      <c r="H52" s="91"/>
      <c r="I52" s="101"/>
      <c r="J52" s="91"/>
      <c r="K52" s="105">
        <v>3000.0</v>
      </c>
      <c r="L52" s="91"/>
      <c r="M52" s="105">
        <v>0.0</v>
      </c>
      <c r="N52" s="91"/>
      <c r="O52" s="105">
        <v>0.0</v>
      </c>
      <c r="P52" s="101"/>
      <c r="Q52" s="104" t="s">
        <v>307</v>
      </c>
      <c r="S52" s="101"/>
      <c r="T52" s="101"/>
      <c r="U52" s="101"/>
      <c r="V52" s="101"/>
    </row>
    <row r="53">
      <c r="A53" s="91"/>
      <c r="B53" s="104" t="s">
        <v>308</v>
      </c>
      <c r="C53" s="104" t="s">
        <v>309</v>
      </c>
      <c r="D53" s="91"/>
      <c r="E53" s="104" t="s">
        <v>310</v>
      </c>
      <c r="F53" s="91"/>
      <c r="G53" s="104" t="s">
        <v>311</v>
      </c>
      <c r="H53" s="91"/>
      <c r="I53" s="101"/>
      <c r="J53" s="91"/>
      <c r="K53" s="105">
        <v>3000.0</v>
      </c>
      <c r="L53" s="91"/>
      <c r="M53" s="105">
        <v>0.0</v>
      </c>
      <c r="N53" s="91"/>
      <c r="O53" s="105">
        <v>0.0</v>
      </c>
      <c r="P53" s="101"/>
      <c r="Q53" s="104" t="s">
        <v>312</v>
      </c>
      <c r="S53" s="101"/>
      <c r="T53" s="101"/>
      <c r="U53" s="101"/>
      <c r="V53" s="101"/>
    </row>
    <row r="54">
      <c r="A54" s="91"/>
      <c r="B54" s="104" t="s">
        <v>313</v>
      </c>
      <c r="C54" s="104" t="s">
        <v>314</v>
      </c>
      <c r="D54" s="91"/>
      <c r="E54" s="104" t="s">
        <v>315</v>
      </c>
      <c r="F54" s="91"/>
      <c r="G54" s="104" t="s">
        <v>316</v>
      </c>
      <c r="H54" s="91"/>
      <c r="I54" s="101"/>
      <c r="J54" s="91"/>
      <c r="K54" s="105">
        <v>36900.0</v>
      </c>
      <c r="L54" s="91"/>
      <c r="M54" s="105">
        <v>0.0</v>
      </c>
      <c r="N54" s="91"/>
      <c r="O54" s="105">
        <v>0.0</v>
      </c>
      <c r="P54" s="101"/>
      <c r="Q54" s="104" t="s">
        <v>317</v>
      </c>
      <c r="S54" s="101"/>
      <c r="T54" s="101"/>
      <c r="U54" s="101"/>
      <c r="V54" s="101"/>
    </row>
    <row r="55">
      <c r="A55" s="91"/>
      <c r="B55" s="104" t="s">
        <v>318</v>
      </c>
      <c r="C55" s="104" t="s">
        <v>319</v>
      </c>
      <c r="D55" s="91"/>
      <c r="E55" s="104" t="s">
        <v>320</v>
      </c>
      <c r="F55" s="91"/>
      <c r="G55" s="104" t="s">
        <v>321</v>
      </c>
      <c r="H55" s="91"/>
      <c r="I55" s="91"/>
      <c r="J55" s="91"/>
      <c r="K55" s="105">
        <v>3000.0</v>
      </c>
      <c r="L55" s="91"/>
      <c r="M55" s="105">
        <v>0.0</v>
      </c>
      <c r="N55" s="91"/>
      <c r="O55" s="105">
        <v>0.0</v>
      </c>
      <c r="P55" s="91"/>
      <c r="Q55" s="104" t="s">
        <v>322</v>
      </c>
      <c r="S55" s="91"/>
      <c r="T55" s="91"/>
      <c r="U55" s="91"/>
      <c r="V55" s="91"/>
    </row>
    <row r="56">
      <c r="A56" s="91"/>
      <c r="B56" s="104" t="s">
        <v>323</v>
      </c>
      <c r="C56" s="104" t="s">
        <v>324</v>
      </c>
      <c r="D56" s="91"/>
      <c r="E56" s="104" t="s">
        <v>325</v>
      </c>
      <c r="F56" s="91"/>
      <c r="G56" s="104" t="s">
        <v>326</v>
      </c>
      <c r="H56" s="91"/>
      <c r="I56" s="101"/>
      <c r="J56" s="91"/>
      <c r="K56" s="105">
        <v>36900.0</v>
      </c>
      <c r="L56" s="91"/>
      <c r="M56" s="105">
        <v>0.0</v>
      </c>
      <c r="N56" s="91"/>
      <c r="O56" s="105">
        <v>0.0</v>
      </c>
      <c r="P56" s="101"/>
      <c r="Q56" s="104" t="s">
        <v>327</v>
      </c>
      <c r="S56" s="101"/>
      <c r="T56" s="101"/>
      <c r="U56" s="101"/>
      <c r="V56" s="101"/>
    </row>
    <row r="57">
      <c r="A57" s="91"/>
      <c r="B57" s="104" t="s">
        <v>328</v>
      </c>
      <c r="C57" s="104" t="s">
        <v>329</v>
      </c>
      <c r="D57" s="91"/>
      <c r="E57" s="104" t="s">
        <v>330</v>
      </c>
      <c r="F57" s="91"/>
      <c r="G57" s="104" t="s">
        <v>331</v>
      </c>
      <c r="H57" s="91"/>
      <c r="I57" s="101"/>
      <c r="J57" s="91"/>
      <c r="K57" s="105">
        <v>29900.0</v>
      </c>
      <c r="L57" s="91"/>
      <c r="M57" s="105">
        <v>0.0</v>
      </c>
      <c r="N57" s="91"/>
      <c r="O57" s="105">
        <v>0.0</v>
      </c>
      <c r="P57" s="101"/>
      <c r="Q57" s="90"/>
      <c r="S57" s="101"/>
      <c r="T57" s="101"/>
      <c r="U57" s="101"/>
      <c r="V57" s="101"/>
    </row>
    <row r="58">
      <c r="A58" s="91"/>
      <c r="B58" s="104" t="s">
        <v>332</v>
      </c>
      <c r="C58" s="104" t="s">
        <v>333</v>
      </c>
      <c r="D58" s="91"/>
      <c r="E58" s="104" t="s">
        <v>334</v>
      </c>
      <c r="F58" s="91"/>
      <c r="G58" s="104" t="s">
        <v>335</v>
      </c>
      <c r="H58" s="91"/>
      <c r="I58" s="101"/>
      <c r="J58" s="91"/>
      <c r="K58" s="105">
        <v>28900.0</v>
      </c>
      <c r="L58" s="91"/>
      <c r="M58" s="105">
        <v>0.0</v>
      </c>
      <c r="N58" s="91"/>
      <c r="O58" s="105">
        <v>0.0</v>
      </c>
      <c r="P58" s="101"/>
      <c r="Q58" s="104" t="s">
        <v>336</v>
      </c>
      <c r="S58" s="101"/>
      <c r="T58" s="101"/>
      <c r="U58" s="101"/>
      <c r="V58" s="101"/>
    </row>
    <row r="59">
      <c r="A59" s="91"/>
      <c r="B59" s="104" t="s">
        <v>337</v>
      </c>
      <c r="C59" s="104" t="s">
        <v>338</v>
      </c>
      <c r="D59" s="91"/>
      <c r="E59" s="104" t="s">
        <v>339</v>
      </c>
      <c r="F59" s="91"/>
      <c r="G59" s="104" t="s">
        <v>340</v>
      </c>
      <c r="H59" s="91"/>
      <c r="I59" s="101"/>
      <c r="J59" s="91"/>
      <c r="K59" s="105">
        <v>36900.0</v>
      </c>
      <c r="L59" s="91"/>
      <c r="M59" s="105">
        <v>0.0</v>
      </c>
      <c r="N59" s="91"/>
      <c r="O59" s="105">
        <v>0.0</v>
      </c>
      <c r="P59" s="101"/>
      <c r="Q59" s="104" t="s">
        <v>341</v>
      </c>
      <c r="S59" s="101"/>
      <c r="T59" s="101"/>
      <c r="U59" s="101"/>
      <c r="V59" s="101"/>
    </row>
    <row r="60">
      <c r="A60" s="91"/>
      <c r="B60" s="104" t="s">
        <v>342</v>
      </c>
      <c r="C60" s="104" t="s">
        <v>343</v>
      </c>
      <c r="D60" s="91"/>
      <c r="E60" s="104" t="s">
        <v>344</v>
      </c>
      <c r="F60" s="91"/>
      <c r="G60" s="104" t="s">
        <v>345</v>
      </c>
      <c r="H60" s="91"/>
      <c r="I60" s="101"/>
      <c r="J60" s="91"/>
      <c r="K60" s="105">
        <v>28900.0</v>
      </c>
      <c r="L60" s="91"/>
      <c r="M60" s="105">
        <v>0.0</v>
      </c>
      <c r="N60" s="91"/>
      <c r="O60" s="105">
        <v>0.0</v>
      </c>
      <c r="P60" s="101"/>
      <c r="Q60" s="104" t="s">
        <v>346</v>
      </c>
      <c r="S60" s="101"/>
      <c r="T60" s="101"/>
      <c r="U60" s="101"/>
      <c r="V60" s="101"/>
    </row>
    <row r="61">
      <c r="A61" s="91"/>
      <c r="B61" s="104" t="s">
        <v>347</v>
      </c>
      <c r="C61" s="104" t="s">
        <v>348</v>
      </c>
      <c r="D61" s="91"/>
      <c r="E61" s="104" t="s">
        <v>349</v>
      </c>
      <c r="F61" s="91"/>
      <c r="G61" s="104" t="s">
        <v>350</v>
      </c>
      <c r="H61" s="91"/>
      <c r="I61" s="101"/>
      <c r="J61" s="91"/>
      <c r="K61" s="105">
        <v>28900.0</v>
      </c>
      <c r="L61" s="91"/>
      <c r="M61" s="105">
        <v>0.0</v>
      </c>
      <c r="N61" s="91"/>
      <c r="O61" s="105">
        <v>0.0</v>
      </c>
      <c r="P61" s="101"/>
      <c r="Q61" s="104" t="s">
        <v>351</v>
      </c>
      <c r="S61" s="101"/>
      <c r="T61" s="101"/>
      <c r="U61" s="101"/>
      <c r="V61" s="101"/>
    </row>
    <row r="62">
      <c r="A62" s="91"/>
      <c r="B62" s="104" t="s">
        <v>352</v>
      </c>
      <c r="C62" s="104" t="s">
        <v>353</v>
      </c>
      <c r="D62" s="91"/>
      <c r="E62" s="104" t="s">
        <v>354</v>
      </c>
      <c r="F62" s="91"/>
      <c r="G62" s="104" t="s">
        <v>355</v>
      </c>
      <c r="H62" s="91"/>
      <c r="I62" s="101"/>
      <c r="J62" s="91"/>
      <c r="K62" s="105">
        <v>28900.0</v>
      </c>
      <c r="L62" s="91"/>
      <c r="M62" s="105">
        <v>0.0</v>
      </c>
      <c r="N62" s="91"/>
      <c r="O62" s="105">
        <v>0.0</v>
      </c>
      <c r="P62" s="101"/>
      <c r="Q62" s="104" t="s">
        <v>356</v>
      </c>
      <c r="S62" s="101"/>
      <c r="T62" s="101"/>
      <c r="U62" s="101"/>
      <c r="V62" s="101"/>
    </row>
    <row r="63">
      <c r="A63" s="91"/>
      <c r="B63" s="104" t="s">
        <v>357</v>
      </c>
      <c r="C63" s="104" t="s">
        <v>358</v>
      </c>
      <c r="D63" s="91"/>
      <c r="E63" s="104" t="s">
        <v>359</v>
      </c>
      <c r="F63" s="91"/>
      <c r="G63" s="104" t="s">
        <v>360</v>
      </c>
      <c r="H63" s="91"/>
      <c r="I63" s="101"/>
      <c r="J63" s="91"/>
      <c r="K63" s="105">
        <v>14000.0</v>
      </c>
      <c r="L63" s="91"/>
      <c r="M63" s="105">
        <v>0.0</v>
      </c>
      <c r="N63" s="91"/>
      <c r="O63" s="105">
        <v>0.0</v>
      </c>
      <c r="P63" s="101"/>
      <c r="Q63" s="104" t="s">
        <v>361</v>
      </c>
      <c r="S63" s="101"/>
      <c r="T63" s="101"/>
      <c r="U63" s="101"/>
      <c r="V63" s="101"/>
    </row>
    <row r="64">
      <c r="A64" s="100" t="s">
        <v>362</v>
      </c>
      <c r="C64" s="91"/>
      <c r="D64" s="91"/>
      <c r="E64" s="91"/>
      <c r="F64" s="91"/>
      <c r="G64" s="91"/>
      <c r="H64" s="91"/>
      <c r="I64" s="101"/>
      <c r="J64" s="91"/>
      <c r="K64" s="101"/>
      <c r="L64" s="91"/>
      <c r="M64" s="101"/>
      <c r="N64" s="91"/>
      <c r="O64" s="101"/>
      <c r="P64" s="101"/>
      <c r="Q64" s="91"/>
      <c r="R64" s="101"/>
      <c r="S64" s="101"/>
      <c r="T64" s="101"/>
      <c r="U64" s="101"/>
      <c r="V64" s="101"/>
    </row>
    <row r="65">
      <c r="A65" s="91"/>
      <c r="B65" s="104" t="s">
        <v>363</v>
      </c>
      <c r="C65" s="104" t="s">
        <v>364</v>
      </c>
      <c r="D65" s="91"/>
      <c r="E65" s="104" t="s">
        <v>365</v>
      </c>
      <c r="F65" s="91"/>
      <c r="G65" s="104" t="s">
        <v>366</v>
      </c>
      <c r="H65" s="91"/>
      <c r="I65" s="101"/>
      <c r="J65" s="91"/>
      <c r="K65" s="105">
        <v>0.0</v>
      </c>
      <c r="L65" s="91"/>
      <c r="M65" s="105">
        <v>0.0</v>
      </c>
      <c r="N65" s="91"/>
      <c r="O65" s="105">
        <v>0.0</v>
      </c>
      <c r="P65" s="101"/>
      <c r="Q65" s="104" t="s">
        <v>367</v>
      </c>
      <c r="S65" s="101"/>
      <c r="T65" s="101"/>
      <c r="U65" s="101"/>
      <c r="V65" s="101"/>
    </row>
    <row r="66">
      <c r="A66" s="91"/>
      <c r="B66" s="104" t="s">
        <v>368</v>
      </c>
      <c r="C66" s="104" t="s">
        <v>369</v>
      </c>
      <c r="D66" s="91"/>
      <c r="E66" s="104" t="s">
        <v>370</v>
      </c>
      <c r="F66" s="91"/>
      <c r="G66" s="104" t="s">
        <v>371</v>
      </c>
      <c r="H66" s="91"/>
      <c r="I66" s="91"/>
      <c r="J66" s="91"/>
      <c r="K66" s="105">
        <v>10000.0</v>
      </c>
      <c r="L66" s="91"/>
      <c r="M66" s="105">
        <v>0.0</v>
      </c>
      <c r="N66" s="91"/>
      <c r="O66" s="105">
        <v>0.0</v>
      </c>
      <c r="P66" s="91"/>
      <c r="Q66" s="104" t="s">
        <v>372</v>
      </c>
      <c r="S66" s="91"/>
      <c r="T66" s="91"/>
      <c r="U66" s="91"/>
      <c r="V66" s="91"/>
    </row>
    <row r="67">
      <c r="A67" s="91"/>
      <c r="B67" s="104" t="s">
        <v>373</v>
      </c>
      <c r="C67" s="104" t="s">
        <v>374</v>
      </c>
      <c r="D67" s="91"/>
      <c r="E67" s="104" t="s">
        <v>375</v>
      </c>
      <c r="F67" s="91"/>
      <c r="G67" s="104" t="s">
        <v>376</v>
      </c>
      <c r="H67" s="91"/>
      <c r="I67" s="91"/>
      <c r="J67" s="91"/>
      <c r="K67" s="105">
        <v>3000.0</v>
      </c>
      <c r="L67" s="91"/>
      <c r="M67" s="105">
        <v>0.0</v>
      </c>
      <c r="N67" s="91"/>
      <c r="O67" s="105">
        <v>0.0</v>
      </c>
      <c r="P67" s="91"/>
      <c r="Q67" s="104" t="s">
        <v>377</v>
      </c>
      <c r="S67" s="91"/>
      <c r="T67" s="91"/>
      <c r="U67" s="91"/>
      <c r="V67" s="91"/>
    </row>
    <row r="68">
      <c r="A68" s="91"/>
      <c r="B68" s="104" t="s">
        <v>378</v>
      </c>
      <c r="C68" s="104" t="s">
        <v>379</v>
      </c>
      <c r="D68" s="91"/>
      <c r="E68" s="104" t="s">
        <v>380</v>
      </c>
      <c r="F68" s="91"/>
      <c r="G68" s="104" t="s">
        <v>381</v>
      </c>
      <c r="H68" s="91"/>
      <c r="I68" s="91"/>
      <c r="J68" s="91"/>
      <c r="K68" s="105">
        <v>3000.0</v>
      </c>
      <c r="L68" s="91"/>
      <c r="M68" s="105">
        <v>0.0</v>
      </c>
      <c r="N68" s="91"/>
      <c r="O68" s="105">
        <v>0.0</v>
      </c>
      <c r="P68" s="91"/>
      <c r="Q68" s="104" t="s">
        <v>382</v>
      </c>
      <c r="S68" s="91"/>
      <c r="T68" s="91"/>
      <c r="U68" s="91"/>
      <c r="V68" s="91"/>
    </row>
    <row r="69">
      <c r="A69" s="91"/>
      <c r="B69" s="104" t="s">
        <v>383</v>
      </c>
      <c r="C69" s="104" t="s">
        <v>384</v>
      </c>
      <c r="D69" s="91"/>
      <c r="E69" s="104" t="s">
        <v>385</v>
      </c>
      <c r="F69" s="91"/>
      <c r="G69" s="104" t="s">
        <v>387</v>
      </c>
      <c r="H69" s="91"/>
      <c r="I69" s="91"/>
      <c r="J69" s="91"/>
      <c r="K69" s="105">
        <v>0.0</v>
      </c>
      <c r="L69" s="91"/>
      <c r="M69" s="105">
        <v>0.0</v>
      </c>
      <c r="N69" s="91"/>
      <c r="O69" s="105">
        <v>0.0</v>
      </c>
      <c r="P69" s="91"/>
      <c r="Q69" s="104" t="s">
        <v>388</v>
      </c>
      <c r="S69" s="91"/>
      <c r="T69" s="91"/>
      <c r="U69" s="91"/>
      <c r="V69" s="91"/>
    </row>
    <row r="70">
      <c r="A70" s="91"/>
      <c r="B70" s="104" t="s">
        <v>389</v>
      </c>
      <c r="C70" s="104" t="s">
        <v>390</v>
      </c>
      <c r="D70" s="91"/>
      <c r="E70" s="104" t="s">
        <v>391</v>
      </c>
      <c r="F70" s="91"/>
      <c r="G70" s="104" t="s">
        <v>392</v>
      </c>
      <c r="H70" s="91"/>
      <c r="I70" s="91"/>
      <c r="J70" s="91"/>
      <c r="K70" s="146">
        <v>25900.0</v>
      </c>
      <c r="L70" s="91"/>
      <c r="M70" s="105">
        <v>0.0</v>
      </c>
      <c r="N70" s="91"/>
      <c r="O70" s="105">
        <v>0.0</v>
      </c>
      <c r="P70" s="91"/>
      <c r="Q70" s="104" t="s">
        <v>393</v>
      </c>
      <c r="S70" s="91"/>
      <c r="T70" s="91"/>
      <c r="U70" s="91"/>
      <c r="V70" s="91"/>
    </row>
    <row r="71">
      <c r="A71" s="91"/>
      <c r="B71" s="104" t="s">
        <v>394</v>
      </c>
      <c r="C71" s="104" t="s">
        <v>395</v>
      </c>
      <c r="D71" s="91"/>
      <c r="E71" s="104" t="s">
        <v>396</v>
      </c>
      <c r="F71" s="91"/>
      <c r="G71" s="104" t="s">
        <v>397</v>
      </c>
      <c r="H71" s="91"/>
      <c r="I71" s="91"/>
      <c r="J71" s="91"/>
      <c r="K71" s="146">
        <v>32900.0</v>
      </c>
      <c r="L71" s="91"/>
      <c r="M71" s="105">
        <v>0.0</v>
      </c>
      <c r="N71" s="91"/>
      <c r="O71" s="105">
        <v>0.0</v>
      </c>
      <c r="P71" s="91"/>
      <c r="Q71" s="104" t="s">
        <v>398</v>
      </c>
      <c r="S71" s="91"/>
      <c r="T71" s="91"/>
      <c r="U71" s="91"/>
      <c r="V71" s="91"/>
    </row>
    <row r="72">
      <c r="A72" s="91"/>
      <c r="B72" s="104" t="s">
        <v>399</v>
      </c>
      <c r="C72" s="104" t="s">
        <v>400</v>
      </c>
      <c r="D72" s="91"/>
      <c r="E72" s="104" t="s">
        <v>401</v>
      </c>
      <c r="F72" s="91"/>
      <c r="G72" s="104" t="s">
        <v>402</v>
      </c>
      <c r="H72" s="91"/>
      <c r="I72" s="91"/>
      <c r="J72" s="91"/>
      <c r="K72" s="146">
        <v>25900.0</v>
      </c>
      <c r="L72" s="91"/>
      <c r="M72" s="105">
        <v>0.0</v>
      </c>
      <c r="N72" s="91"/>
      <c r="O72" s="105">
        <v>0.0</v>
      </c>
      <c r="P72" s="91"/>
      <c r="Q72" s="104" t="s">
        <v>403</v>
      </c>
      <c r="S72" s="91"/>
      <c r="T72" s="91"/>
      <c r="U72" s="91"/>
      <c r="V72" s="91"/>
    </row>
    <row r="73">
      <c r="A73" s="91"/>
      <c r="B73" s="104" t="s">
        <v>404</v>
      </c>
      <c r="C73" s="104" t="s">
        <v>405</v>
      </c>
      <c r="D73" s="91"/>
      <c r="E73" s="104" t="s">
        <v>406</v>
      </c>
      <c r="F73" s="91"/>
      <c r="G73" s="104" t="s">
        <v>407</v>
      </c>
      <c r="H73" s="91"/>
      <c r="I73" s="91"/>
      <c r="J73" s="91"/>
      <c r="K73" s="146">
        <v>25900.0</v>
      </c>
      <c r="L73" s="91"/>
      <c r="M73" s="105">
        <v>0.0</v>
      </c>
      <c r="N73" s="91"/>
      <c r="O73" s="105">
        <v>0.0</v>
      </c>
      <c r="P73" s="91"/>
      <c r="Q73" s="104" t="s">
        <v>408</v>
      </c>
      <c r="S73" s="91"/>
      <c r="T73" s="91"/>
      <c r="U73" s="91"/>
      <c r="V73" s="91"/>
    </row>
    <row r="74">
      <c r="A74" s="91"/>
      <c r="B74" s="104" t="s">
        <v>409</v>
      </c>
      <c r="C74" s="104" t="s">
        <v>410</v>
      </c>
      <c r="D74" s="91"/>
      <c r="E74" s="104" t="s">
        <v>411</v>
      </c>
      <c r="F74" s="91"/>
      <c r="G74" s="104" t="s">
        <v>412</v>
      </c>
      <c r="H74" s="91"/>
      <c r="I74" s="91"/>
      <c r="J74" s="91"/>
      <c r="K74" s="105">
        <v>9900.0</v>
      </c>
      <c r="L74" s="91"/>
      <c r="M74" s="105">
        <v>0.0</v>
      </c>
      <c r="N74" s="91"/>
      <c r="O74" s="105">
        <v>0.0</v>
      </c>
      <c r="P74" s="91"/>
      <c r="Q74" s="104" t="s">
        <v>413</v>
      </c>
      <c r="S74" s="91"/>
      <c r="T74" s="91"/>
      <c r="U74" s="91"/>
      <c r="V74" s="91"/>
    </row>
    <row r="75">
      <c r="A75" s="91"/>
      <c r="B75" s="104" t="s">
        <v>414</v>
      </c>
      <c r="C75" s="104" t="s">
        <v>415</v>
      </c>
      <c r="D75" s="91"/>
      <c r="E75" s="104" t="s">
        <v>416</v>
      </c>
      <c r="F75" s="91"/>
      <c r="G75" s="104" t="s">
        <v>417</v>
      </c>
      <c r="H75" s="91"/>
      <c r="I75" s="91"/>
      <c r="J75" s="91"/>
      <c r="K75" s="146">
        <v>25900.0</v>
      </c>
      <c r="L75" s="91"/>
      <c r="M75" s="105">
        <v>0.0</v>
      </c>
      <c r="N75" s="91"/>
      <c r="O75" s="105">
        <v>0.0</v>
      </c>
      <c r="P75" s="91"/>
      <c r="Q75" s="104" t="s">
        <v>418</v>
      </c>
      <c r="S75" s="91"/>
      <c r="T75" s="91"/>
      <c r="U75" s="91"/>
      <c r="V75" s="91"/>
    </row>
    <row r="76">
      <c r="A76" s="91"/>
      <c r="B76" s="104" t="s">
        <v>419</v>
      </c>
      <c r="C76" s="104" t="s">
        <v>420</v>
      </c>
      <c r="D76" s="91"/>
      <c r="E76" s="104" t="s">
        <v>421</v>
      </c>
      <c r="F76" s="91"/>
      <c r="G76" s="104" t="s">
        <v>422</v>
      </c>
      <c r="H76" s="91"/>
      <c r="I76" s="101"/>
      <c r="J76" s="91"/>
      <c r="K76" s="146">
        <v>25900.0</v>
      </c>
      <c r="L76" s="91"/>
      <c r="M76" s="105">
        <v>0.0</v>
      </c>
      <c r="N76" s="91"/>
      <c r="O76" s="105">
        <v>0.0</v>
      </c>
      <c r="P76" s="101"/>
      <c r="Q76" s="104" t="s">
        <v>423</v>
      </c>
      <c r="S76" s="101"/>
      <c r="T76" s="101"/>
      <c r="U76" s="101"/>
      <c r="V76" s="101"/>
    </row>
    <row r="77">
      <c r="A77" s="91"/>
      <c r="B77" s="104" t="s">
        <v>424</v>
      </c>
      <c r="C77" s="104" t="s">
        <v>425</v>
      </c>
      <c r="D77" s="91"/>
      <c r="E77" s="104" t="s">
        <v>426</v>
      </c>
      <c r="F77" s="91"/>
      <c r="G77" s="104" t="s">
        <v>427</v>
      </c>
      <c r="H77" s="91"/>
      <c r="I77" s="101"/>
      <c r="J77" s="91"/>
      <c r="K77" s="105">
        <v>9900.0</v>
      </c>
      <c r="L77" s="91"/>
      <c r="M77" s="105">
        <v>0.0</v>
      </c>
      <c r="N77" s="91"/>
      <c r="O77" s="105">
        <v>0.0</v>
      </c>
      <c r="P77" s="101"/>
      <c r="Q77" s="104" t="s">
        <v>428</v>
      </c>
      <c r="S77" s="101"/>
      <c r="T77" s="101"/>
      <c r="U77" s="101"/>
      <c r="V77" s="101"/>
    </row>
    <row r="78">
      <c r="A78" s="91"/>
      <c r="B78" s="104" t="s">
        <v>429</v>
      </c>
      <c r="C78" s="104" t="s">
        <v>430</v>
      </c>
      <c r="D78" s="91"/>
      <c r="E78" s="104" t="s">
        <v>431</v>
      </c>
      <c r="F78" s="91"/>
      <c r="G78" s="104" t="s">
        <v>432</v>
      </c>
      <c r="H78" s="91"/>
      <c r="I78" s="101"/>
      <c r="J78" s="91"/>
      <c r="K78" s="105">
        <v>31900.0</v>
      </c>
      <c r="L78" s="91"/>
      <c r="M78" s="105">
        <v>0.0</v>
      </c>
      <c r="N78" s="91"/>
      <c r="O78" s="105">
        <v>0.0</v>
      </c>
      <c r="P78" s="101"/>
      <c r="Q78" s="104" t="s">
        <v>433</v>
      </c>
      <c r="S78" s="101"/>
      <c r="T78" s="101"/>
      <c r="U78" s="101"/>
      <c r="V78" s="101"/>
    </row>
    <row r="79">
      <c r="A79" s="91"/>
      <c r="B79" s="104" t="s">
        <v>434</v>
      </c>
      <c r="C79" s="104" t="s">
        <v>435</v>
      </c>
      <c r="D79" s="91"/>
      <c r="E79" s="104" t="s">
        <v>436</v>
      </c>
      <c r="F79" s="91"/>
      <c r="G79" s="104" t="s">
        <v>437</v>
      </c>
      <c r="H79" s="91"/>
      <c r="I79" s="101"/>
      <c r="J79" s="91"/>
      <c r="K79" s="146">
        <v>32900.0</v>
      </c>
      <c r="L79" s="91"/>
      <c r="M79" s="105">
        <v>0.0</v>
      </c>
      <c r="N79" s="91"/>
      <c r="O79" s="105">
        <v>0.0</v>
      </c>
      <c r="P79" s="101"/>
      <c r="Q79" s="104" t="s">
        <v>439</v>
      </c>
      <c r="S79" s="101"/>
      <c r="T79" s="101"/>
      <c r="U79" s="101"/>
      <c r="V79" s="101"/>
    </row>
    <row r="80">
      <c r="A80" s="91"/>
      <c r="B80" s="104" t="s">
        <v>441</v>
      </c>
      <c r="C80" s="104" t="s">
        <v>442</v>
      </c>
      <c r="D80" s="91"/>
      <c r="E80" s="104" t="s">
        <v>443</v>
      </c>
      <c r="F80" s="91"/>
      <c r="G80" s="104" t="s">
        <v>444</v>
      </c>
      <c r="H80" s="91"/>
      <c r="I80" s="101"/>
      <c r="J80" s="91"/>
      <c r="K80" s="146">
        <v>25900.0</v>
      </c>
      <c r="L80" s="91"/>
      <c r="M80" s="105">
        <v>0.0</v>
      </c>
      <c r="N80" s="91"/>
      <c r="O80" s="105">
        <v>0.0</v>
      </c>
      <c r="P80" s="101"/>
      <c r="Q80" s="104" t="s">
        <v>445</v>
      </c>
      <c r="S80" s="101"/>
      <c r="T80" s="101"/>
      <c r="U80" s="101"/>
      <c r="V80" s="101"/>
    </row>
    <row r="81">
      <c r="A81" s="91"/>
      <c r="B81" s="104" t="s">
        <v>446</v>
      </c>
      <c r="C81" s="104" t="s">
        <v>447</v>
      </c>
      <c r="D81" s="91"/>
      <c r="E81" s="104" t="s">
        <v>448</v>
      </c>
      <c r="F81" s="91"/>
      <c r="G81" s="104" t="s">
        <v>449</v>
      </c>
      <c r="H81" s="91"/>
      <c r="I81" s="101"/>
      <c r="J81" s="91"/>
      <c r="K81" s="146">
        <v>25900.0</v>
      </c>
      <c r="L81" s="91"/>
      <c r="M81" s="105">
        <v>0.0</v>
      </c>
      <c r="N81" s="91"/>
      <c r="O81" s="105">
        <v>0.0</v>
      </c>
      <c r="P81" s="101"/>
      <c r="Q81" s="104" t="s">
        <v>450</v>
      </c>
      <c r="S81" s="101"/>
      <c r="T81" s="101"/>
      <c r="U81" s="101"/>
      <c r="V81" s="101"/>
    </row>
    <row r="82">
      <c r="A82" s="91"/>
      <c r="B82" s="104" t="s">
        <v>451</v>
      </c>
      <c r="C82" s="104" t="s">
        <v>452</v>
      </c>
      <c r="D82" s="91"/>
      <c r="E82" s="104" t="s">
        <v>453</v>
      </c>
      <c r="F82" s="91"/>
      <c r="G82" s="104" t="s">
        <v>454</v>
      </c>
      <c r="H82" s="91"/>
      <c r="I82" s="101"/>
      <c r="J82" s="91"/>
      <c r="K82" s="105">
        <v>3000.0</v>
      </c>
      <c r="L82" s="91"/>
      <c r="M82" s="105">
        <v>0.0</v>
      </c>
      <c r="N82" s="91"/>
      <c r="O82" s="105">
        <v>0.0</v>
      </c>
      <c r="P82" s="101"/>
      <c r="Q82" s="104" t="s">
        <v>455</v>
      </c>
      <c r="S82" s="101"/>
      <c r="T82" s="101"/>
      <c r="U82" s="101"/>
      <c r="V82" s="101"/>
    </row>
    <row r="83">
      <c r="A83" s="91"/>
      <c r="B83" s="104" t="s">
        <v>456</v>
      </c>
      <c r="C83" s="104" t="s">
        <v>457</v>
      </c>
      <c r="D83" s="91"/>
      <c r="E83" s="104" t="s">
        <v>458</v>
      </c>
      <c r="F83" s="91"/>
      <c r="G83" s="104" t="s">
        <v>459</v>
      </c>
      <c r="H83" s="91"/>
      <c r="I83" s="101"/>
      <c r="J83" s="91"/>
      <c r="K83" s="146">
        <v>25900.0</v>
      </c>
      <c r="L83" s="91"/>
      <c r="M83" s="105">
        <v>0.0</v>
      </c>
      <c r="N83" s="91"/>
      <c r="O83" s="105">
        <v>0.0</v>
      </c>
      <c r="P83" s="101"/>
      <c r="Q83" s="104" t="s">
        <v>460</v>
      </c>
      <c r="S83" s="101"/>
      <c r="T83" s="101"/>
      <c r="U83" s="101"/>
      <c r="V83" s="101"/>
    </row>
    <row r="84">
      <c r="A84" s="91"/>
      <c r="B84" s="104" t="s">
        <v>461</v>
      </c>
      <c r="C84" s="104" t="s">
        <v>462</v>
      </c>
      <c r="D84" s="91"/>
      <c r="E84" s="104" t="s">
        <v>463</v>
      </c>
      <c r="F84" s="91"/>
      <c r="G84" s="104" t="s">
        <v>464</v>
      </c>
      <c r="H84" s="91"/>
      <c r="I84" s="91"/>
      <c r="J84" s="91"/>
      <c r="K84" s="146">
        <v>25900.0</v>
      </c>
      <c r="L84" s="91"/>
      <c r="M84" s="105">
        <v>0.0</v>
      </c>
      <c r="N84" s="91"/>
      <c r="O84" s="105">
        <v>0.0</v>
      </c>
      <c r="P84" s="91"/>
      <c r="Q84" s="104" t="s">
        <v>465</v>
      </c>
      <c r="S84" s="91"/>
      <c r="T84" s="91"/>
      <c r="U84" s="91"/>
      <c r="V84" s="91"/>
    </row>
    <row r="85">
      <c r="A85" s="100" t="s">
        <v>466</v>
      </c>
      <c r="C85" s="91"/>
      <c r="D85" s="91"/>
      <c r="E85" s="91"/>
      <c r="F85" s="91"/>
      <c r="G85" s="91"/>
      <c r="H85" s="91"/>
      <c r="I85" s="101"/>
      <c r="J85" s="91"/>
      <c r="K85" s="101"/>
      <c r="L85" s="91"/>
      <c r="M85" s="101"/>
      <c r="N85" s="91"/>
      <c r="O85" s="101"/>
      <c r="P85" s="101"/>
      <c r="Q85" s="91"/>
      <c r="R85" s="101"/>
      <c r="S85" s="101"/>
      <c r="T85" s="101"/>
      <c r="U85" s="101"/>
      <c r="V85" s="101"/>
    </row>
    <row r="86">
      <c r="A86" s="91"/>
      <c r="B86" s="104" t="s">
        <v>467</v>
      </c>
      <c r="C86" s="104" t="s">
        <v>468</v>
      </c>
      <c r="D86" s="91"/>
      <c r="E86" s="104" t="s">
        <v>469</v>
      </c>
      <c r="F86" s="91"/>
      <c r="G86" s="104" t="s">
        <v>470</v>
      </c>
      <c r="H86" s="91"/>
      <c r="I86" s="101"/>
      <c r="J86" s="91"/>
      <c r="K86" s="105">
        <v>11700.0</v>
      </c>
      <c r="L86" s="91"/>
      <c r="M86" s="105">
        <v>0.0</v>
      </c>
      <c r="N86" s="91"/>
      <c r="O86" s="105">
        <v>0.0</v>
      </c>
      <c r="P86" s="101"/>
      <c r="Q86" s="104" t="s">
        <v>471</v>
      </c>
      <c r="S86" s="101"/>
      <c r="T86" s="101"/>
      <c r="U86" s="101"/>
      <c r="V86" s="101"/>
    </row>
    <row r="87">
      <c r="A87" s="91"/>
      <c r="B87" s="104" t="s">
        <v>472</v>
      </c>
      <c r="C87" s="104" t="s">
        <v>473</v>
      </c>
      <c r="D87" s="91"/>
      <c r="E87" s="104" t="s">
        <v>474</v>
      </c>
      <c r="F87" s="91"/>
      <c r="G87" s="104" t="s">
        <v>475</v>
      </c>
      <c r="H87" s="91"/>
      <c r="I87" s="101"/>
      <c r="J87" s="91"/>
      <c r="K87" s="105">
        <v>11700.0</v>
      </c>
      <c r="L87" s="91"/>
      <c r="M87" s="105">
        <v>0.0</v>
      </c>
      <c r="N87" s="91"/>
      <c r="O87" s="105">
        <v>0.0</v>
      </c>
      <c r="P87" s="101"/>
      <c r="Q87" s="104" t="s">
        <v>476</v>
      </c>
      <c r="S87" s="101"/>
      <c r="T87" s="101"/>
      <c r="U87" s="101"/>
      <c r="V87" s="101"/>
    </row>
    <row r="88">
      <c r="A88" s="91"/>
      <c r="B88" s="104" t="s">
        <v>477</v>
      </c>
      <c r="C88" s="104" t="s">
        <v>478</v>
      </c>
      <c r="D88" s="91"/>
      <c r="E88" s="104" t="s">
        <v>479</v>
      </c>
      <c r="F88" s="91"/>
      <c r="G88" s="104" t="s">
        <v>480</v>
      </c>
      <c r="H88" s="91"/>
      <c r="I88" s="101"/>
      <c r="J88" s="91"/>
      <c r="K88" s="105">
        <v>9100.0</v>
      </c>
      <c r="L88" s="91"/>
      <c r="M88" s="105">
        <v>0.0</v>
      </c>
      <c r="N88" s="91"/>
      <c r="O88" s="105">
        <v>0.0</v>
      </c>
      <c r="P88" s="101"/>
      <c r="Q88" s="104" t="s">
        <v>481</v>
      </c>
      <c r="S88" s="101"/>
      <c r="T88" s="101"/>
      <c r="U88" s="101"/>
      <c r="V88" s="101"/>
    </row>
    <row r="89">
      <c r="A89" s="91"/>
      <c r="B89" s="104" t="s">
        <v>482</v>
      </c>
      <c r="C89" s="104" t="s">
        <v>483</v>
      </c>
      <c r="D89" s="91"/>
      <c r="E89" s="104" t="s">
        <v>484</v>
      </c>
      <c r="F89" s="91"/>
      <c r="G89" s="104" t="s">
        <v>485</v>
      </c>
      <c r="H89" s="91"/>
      <c r="I89" s="101"/>
      <c r="J89" s="91"/>
      <c r="K89" s="105">
        <v>9900.0</v>
      </c>
      <c r="L89" s="91"/>
      <c r="M89" s="105">
        <v>0.0</v>
      </c>
      <c r="N89" s="91"/>
      <c r="O89" s="105">
        <v>0.0</v>
      </c>
      <c r="P89" s="101"/>
      <c r="Q89" s="104" t="s">
        <v>486</v>
      </c>
      <c r="S89" s="101"/>
      <c r="T89" s="101"/>
      <c r="U89" s="101"/>
      <c r="V89" s="101"/>
    </row>
    <row r="90">
      <c r="A90" s="91"/>
      <c r="B90" s="104" t="s">
        <v>487</v>
      </c>
      <c r="C90" s="104" t="s">
        <v>488</v>
      </c>
      <c r="D90" s="91"/>
      <c r="E90" s="104" t="s">
        <v>489</v>
      </c>
      <c r="F90" s="91"/>
      <c r="G90" s="104" t="s">
        <v>490</v>
      </c>
      <c r="H90" s="91"/>
      <c r="I90" s="101"/>
      <c r="J90" s="91"/>
      <c r="K90" s="105">
        <v>9100.0</v>
      </c>
      <c r="L90" s="91"/>
      <c r="M90" s="105">
        <v>0.0</v>
      </c>
      <c r="N90" s="91"/>
      <c r="O90" s="105">
        <v>0.0</v>
      </c>
      <c r="P90" s="101"/>
      <c r="Q90" s="104" t="s">
        <v>491</v>
      </c>
      <c r="S90" s="101"/>
      <c r="T90" s="101"/>
      <c r="U90" s="101"/>
      <c r="V90" s="101"/>
    </row>
    <row r="91">
      <c r="A91" s="91"/>
      <c r="B91" s="104" t="s">
        <v>492</v>
      </c>
      <c r="C91" s="104" t="s">
        <v>493</v>
      </c>
      <c r="D91" s="91"/>
      <c r="E91" s="104" t="s">
        <v>494</v>
      </c>
      <c r="F91" s="91"/>
      <c r="G91" s="104" t="s">
        <v>495</v>
      </c>
      <c r="H91" s="91"/>
      <c r="I91" s="101"/>
      <c r="J91" s="91"/>
      <c r="K91" s="105">
        <v>10990.0</v>
      </c>
      <c r="L91" s="91"/>
      <c r="M91" s="105">
        <v>0.0</v>
      </c>
      <c r="N91" s="91"/>
      <c r="O91" s="105">
        <v>0.0</v>
      </c>
      <c r="P91" s="101"/>
      <c r="Q91" s="104" t="s">
        <v>496</v>
      </c>
      <c r="S91" s="101"/>
      <c r="T91" s="101"/>
      <c r="U91" s="101"/>
      <c r="V91" s="101"/>
    </row>
    <row r="92">
      <c r="A92" s="91"/>
      <c r="B92" s="104" t="s">
        <v>497</v>
      </c>
      <c r="C92" s="104" t="s">
        <v>498</v>
      </c>
      <c r="D92" s="91"/>
      <c r="E92" s="104" t="s">
        <v>499</v>
      </c>
      <c r="F92" s="91"/>
      <c r="G92" s="104" t="s">
        <v>500</v>
      </c>
      <c r="H92" s="91"/>
      <c r="I92" s="101"/>
      <c r="J92" s="91"/>
      <c r="K92" s="105">
        <v>10990.0</v>
      </c>
      <c r="L92" s="91"/>
      <c r="M92" s="105">
        <v>0.0</v>
      </c>
      <c r="N92" s="91"/>
      <c r="O92" s="105">
        <v>0.0</v>
      </c>
      <c r="P92" s="101"/>
      <c r="Q92" s="104" t="s">
        <v>501</v>
      </c>
      <c r="S92" s="101"/>
      <c r="T92" s="101"/>
      <c r="U92" s="101"/>
      <c r="V92" s="101"/>
    </row>
    <row r="93">
      <c r="A93" s="91"/>
      <c r="B93" s="104" t="s">
        <v>504</v>
      </c>
      <c r="C93" s="104" t="s">
        <v>505</v>
      </c>
      <c r="D93" s="91"/>
      <c r="E93" s="104" t="s">
        <v>507</v>
      </c>
      <c r="F93" s="91"/>
      <c r="G93" s="104" t="s">
        <v>508</v>
      </c>
      <c r="H93" s="91"/>
      <c r="I93" s="101"/>
      <c r="J93" s="91"/>
      <c r="K93" s="105">
        <v>10990.0</v>
      </c>
      <c r="L93" s="91"/>
      <c r="M93" s="105">
        <v>0.0</v>
      </c>
      <c r="N93" s="91"/>
      <c r="O93" s="105">
        <v>0.0</v>
      </c>
      <c r="P93" s="101"/>
      <c r="Q93" s="104" t="s">
        <v>510</v>
      </c>
      <c r="S93" s="101"/>
      <c r="T93" s="101"/>
      <c r="U93" s="101"/>
      <c r="V93" s="101"/>
    </row>
    <row r="94">
      <c r="A94" s="91"/>
      <c r="B94" s="104" t="s">
        <v>511</v>
      </c>
      <c r="C94" s="104" t="s">
        <v>512</v>
      </c>
      <c r="D94" s="91"/>
      <c r="E94" s="104" t="s">
        <v>513</v>
      </c>
      <c r="F94" s="91"/>
      <c r="G94" s="104" t="s">
        <v>514</v>
      </c>
      <c r="H94" s="91"/>
      <c r="I94" s="101"/>
      <c r="J94" s="91"/>
      <c r="K94" s="105">
        <v>10990.0</v>
      </c>
      <c r="L94" s="91"/>
      <c r="M94" s="105">
        <v>0.0</v>
      </c>
      <c r="N94" s="91"/>
      <c r="O94" s="105">
        <v>0.0</v>
      </c>
      <c r="P94" s="101"/>
      <c r="Q94" s="104" t="s">
        <v>515</v>
      </c>
      <c r="S94" s="101"/>
      <c r="T94" s="101"/>
      <c r="U94" s="101"/>
      <c r="V94" s="101"/>
    </row>
    <row r="95">
      <c r="A95" s="91"/>
      <c r="B95" s="104" t="s">
        <v>516</v>
      </c>
      <c r="C95" s="104" t="s">
        <v>517</v>
      </c>
      <c r="D95" s="91"/>
      <c r="E95" s="104" t="s">
        <v>518</v>
      </c>
      <c r="F95" s="91"/>
      <c r="G95" s="104" t="s">
        <v>519</v>
      </c>
      <c r="H95" s="91"/>
      <c r="I95" s="101"/>
      <c r="J95" s="91"/>
      <c r="K95" s="105">
        <v>10990.0</v>
      </c>
      <c r="L95" s="91"/>
      <c r="M95" s="105">
        <v>0.0</v>
      </c>
      <c r="N95" s="91"/>
      <c r="O95" s="105">
        <v>0.0</v>
      </c>
      <c r="P95" s="101"/>
      <c r="Q95" s="104" t="s">
        <v>520</v>
      </c>
      <c r="S95" s="101"/>
      <c r="T95" s="101"/>
      <c r="U95" s="101"/>
      <c r="V95" s="101"/>
    </row>
    <row r="96">
      <c r="A96" s="91"/>
      <c r="B96" s="104" t="s">
        <v>521</v>
      </c>
      <c r="C96" s="104" t="s">
        <v>522</v>
      </c>
      <c r="D96" s="91"/>
      <c r="E96" s="104" t="s">
        <v>523</v>
      </c>
      <c r="F96" s="91"/>
      <c r="G96" s="104" t="s">
        <v>524</v>
      </c>
      <c r="H96" s="91"/>
      <c r="I96" s="101"/>
      <c r="J96" s="91"/>
      <c r="K96" s="105">
        <v>14600.0</v>
      </c>
      <c r="L96" s="91"/>
      <c r="M96" s="105">
        <v>0.0</v>
      </c>
      <c r="N96" s="91"/>
      <c r="O96" s="105">
        <v>0.0</v>
      </c>
      <c r="P96" s="101"/>
      <c r="Q96" s="104" t="s">
        <v>525</v>
      </c>
      <c r="S96" s="101"/>
      <c r="T96" s="101"/>
      <c r="U96" s="101"/>
      <c r="V96" s="101"/>
    </row>
    <row r="97">
      <c r="A97" s="91"/>
      <c r="B97" s="104" t="s">
        <v>526</v>
      </c>
      <c r="C97" s="104" t="s">
        <v>527</v>
      </c>
      <c r="D97" s="91"/>
      <c r="E97" s="104" t="s">
        <v>528</v>
      </c>
      <c r="F97" s="91"/>
      <c r="G97" s="104" t="s">
        <v>529</v>
      </c>
      <c r="H97" s="91"/>
      <c r="I97" s="101"/>
      <c r="J97" s="91"/>
      <c r="K97" s="105">
        <v>9100.0</v>
      </c>
      <c r="L97" s="91"/>
      <c r="M97" s="105">
        <v>0.0</v>
      </c>
      <c r="N97" s="91"/>
      <c r="O97" s="105">
        <v>0.0</v>
      </c>
      <c r="P97" s="101"/>
      <c r="Q97" s="104" t="s">
        <v>530</v>
      </c>
      <c r="S97" s="101"/>
      <c r="T97" s="101"/>
      <c r="U97" s="101"/>
      <c r="V97" s="101"/>
    </row>
    <row r="98">
      <c r="A98" s="91"/>
      <c r="B98" s="104" t="s">
        <v>531</v>
      </c>
      <c r="C98" s="104" t="s">
        <v>532</v>
      </c>
      <c r="D98" s="91"/>
      <c r="E98" s="104" t="s">
        <v>533</v>
      </c>
      <c r="F98" s="91"/>
      <c r="G98" s="104" t="s">
        <v>534</v>
      </c>
      <c r="H98" s="91"/>
      <c r="I98" s="101"/>
      <c r="J98" s="91"/>
      <c r="K98" s="105">
        <v>14600.0</v>
      </c>
      <c r="L98" s="91"/>
      <c r="M98" s="105">
        <v>0.0</v>
      </c>
      <c r="N98" s="91"/>
      <c r="O98" s="105">
        <v>0.0</v>
      </c>
      <c r="P98" s="101"/>
      <c r="Q98" s="104" t="s">
        <v>535</v>
      </c>
      <c r="S98" s="101"/>
      <c r="T98" s="101"/>
      <c r="U98" s="101"/>
      <c r="V98" s="101"/>
    </row>
    <row r="99">
      <c r="A99" s="91"/>
      <c r="B99" s="104" t="s">
        <v>536</v>
      </c>
      <c r="C99" s="104" t="s">
        <v>537</v>
      </c>
      <c r="D99" s="91"/>
      <c r="E99" s="104" t="s">
        <v>538</v>
      </c>
      <c r="F99" s="91"/>
      <c r="G99" s="104" t="s">
        <v>539</v>
      </c>
      <c r="H99" s="91"/>
      <c r="I99" s="101"/>
      <c r="J99" s="91"/>
      <c r="K99" s="105">
        <v>14600.0</v>
      </c>
      <c r="L99" s="91"/>
      <c r="M99" s="105">
        <v>0.0</v>
      </c>
      <c r="N99" s="91"/>
      <c r="O99" s="105">
        <v>0.0</v>
      </c>
      <c r="P99" s="101"/>
      <c r="Q99" s="104" t="s">
        <v>540</v>
      </c>
      <c r="S99" s="101"/>
      <c r="T99" s="101"/>
      <c r="U99" s="101"/>
      <c r="V99" s="101"/>
    </row>
    <row r="100">
      <c r="A100" s="91"/>
      <c r="B100" s="104" t="s">
        <v>541</v>
      </c>
      <c r="C100" s="104" t="s">
        <v>542</v>
      </c>
      <c r="D100" s="91"/>
      <c r="E100" s="104" t="s">
        <v>543</v>
      </c>
      <c r="F100" s="91"/>
      <c r="G100" s="104" t="s">
        <v>544</v>
      </c>
      <c r="H100" s="91"/>
      <c r="I100" s="101"/>
      <c r="J100" s="91"/>
      <c r="K100" s="105">
        <v>9900.0</v>
      </c>
      <c r="L100" s="91"/>
      <c r="M100" s="105">
        <v>0.0</v>
      </c>
      <c r="N100" s="91"/>
      <c r="O100" s="105">
        <v>0.0</v>
      </c>
      <c r="P100" s="101"/>
      <c r="Q100" s="104" t="s">
        <v>545</v>
      </c>
      <c r="S100" s="101"/>
      <c r="T100" s="101"/>
      <c r="U100" s="101"/>
      <c r="V100" s="101"/>
    </row>
    <row r="101">
      <c r="A101" s="91"/>
      <c r="B101" s="104" t="s">
        <v>546</v>
      </c>
      <c r="C101" s="104" t="s">
        <v>547</v>
      </c>
      <c r="D101" s="91"/>
      <c r="E101" s="104" t="s">
        <v>548</v>
      </c>
      <c r="F101" s="91"/>
      <c r="G101" s="104" t="s">
        <v>549</v>
      </c>
      <c r="H101" s="91"/>
      <c r="I101" s="91"/>
      <c r="J101" s="91"/>
      <c r="K101" s="105">
        <v>4500.0</v>
      </c>
      <c r="L101" s="91"/>
      <c r="M101" s="105">
        <v>0.0</v>
      </c>
      <c r="N101" s="91"/>
      <c r="O101" s="105">
        <v>0.0</v>
      </c>
      <c r="P101" s="91"/>
      <c r="Q101" s="104" t="s">
        <v>550</v>
      </c>
      <c r="S101" s="91"/>
      <c r="T101" s="91"/>
      <c r="U101" s="91"/>
      <c r="V101" s="91"/>
    </row>
    <row r="102">
      <c r="A102" s="91"/>
      <c r="B102" s="104" t="s">
        <v>552</v>
      </c>
      <c r="C102" s="104" t="s">
        <v>553</v>
      </c>
      <c r="D102" s="91"/>
      <c r="E102" s="104" t="s">
        <v>555</v>
      </c>
      <c r="F102" s="91"/>
      <c r="G102" s="104" t="s">
        <v>556</v>
      </c>
      <c r="H102" s="91"/>
      <c r="I102" s="91"/>
      <c r="J102" s="91"/>
      <c r="K102" s="105">
        <v>12800.0</v>
      </c>
      <c r="L102" s="91"/>
      <c r="M102" s="105">
        <v>0.0</v>
      </c>
      <c r="N102" s="91"/>
      <c r="O102" s="105">
        <v>0.0</v>
      </c>
      <c r="P102" s="91"/>
      <c r="Q102" s="104" t="s">
        <v>557</v>
      </c>
      <c r="S102" s="91"/>
      <c r="T102" s="91"/>
      <c r="U102" s="91"/>
      <c r="V102" s="91"/>
    </row>
    <row r="103">
      <c r="A103" s="91"/>
      <c r="B103" s="104" t="s">
        <v>558</v>
      </c>
      <c r="C103" s="104" t="s">
        <v>559</v>
      </c>
      <c r="D103" s="91"/>
      <c r="E103" s="104" t="s">
        <v>560</v>
      </c>
      <c r="F103" s="91"/>
      <c r="G103" s="104" t="s">
        <v>561</v>
      </c>
      <c r="H103" s="91"/>
      <c r="I103" s="91"/>
      <c r="J103" s="91"/>
      <c r="K103" s="105">
        <v>12900.0</v>
      </c>
      <c r="L103" s="91"/>
      <c r="M103" s="105">
        <v>0.0</v>
      </c>
      <c r="N103" s="91"/>
      <c r="O103" s="105">
        <v>0.0</v>
      </c>
      <c r="P103" s="91"/>
      <c r="Q103" s="104" t="s">
        <v>562</v>
      </c>
      <c r="S103" s="91"/>
      <c r="T103" s="91"/>
      <c r="U103" s="91"/>
      <c r="V103" s="91"/>
    </row>
    <row r="104">
      <c r="A104" s="91"/>
      <c r="B104" s="104" t="s">
        <v>563</v>
      </c>
      <c r="C104" s="104" t="s">
        <v>564</v>
      </c>
      <c r="D104" s="91"/>
      <c r="E104" s="104" t="s">
        <v>565</v>
      </c>
      <c r="F104" s="91"/>
      <c r="G104" s="104" t="s">
        <v>566</v>
      </c>
      <c r="H104" s="91"/>
      <c r="I104" s="91"/>
      <c r="J104" s="91"/>
      <c r="K104" s="105">
        <v>12900.0</v>
      </c>
      <c r="L104" s="91"/>
      <c r="M104" s="105">
        <v>0.0</v>
      </c>
      <c r="N104" s="91"/>
      <c r="O104" s="105">
        <v>0.0</v>
      </c>
      <c r="P104" s="91"/>
      <c r="Q104" s="104" t="s">
        <v>567</v>
      </c>
      <c r="S104" s="91"/>
      <c r="T104" s="91"/>
      <c r="U104" s="91"/>
      <c r="V104" s="91"/>
    </row>
    <row r="105">
      <c r="A105" s="91"/>
      <c r="B105" s="104" t="s">
        <v>568</v>
      </c>
      <c r="C105" s="104" t="s">
        <v>569</v>
      </c>
      <c r="D105" s="91"/>
      <c r="E105" s="104" t="s">
        <v>570</v>
      </c>
      <c r="F105" s="91"/>
      <c r="G105" s="104" t="s">
        <v>571</v>
      </c>
      <c r="H105" s="91"/>
      <c r="I105" s="91"/>
      <c r="J105" s="91"/>
      <c r="K105" s="105">
        <v>12900.0</v>
      </c>
      <c r="L105" s="91"/>
      <c r="M105" s="105">
        <v>0.0</v>
      </c>
      <c r="N105" s="91"/>
      <c r="O105" s="105">
        <v>0.0</v>
      </c>
      <c r="P105" s="91"/>
      <c r="Q105" s="104" t="s">
        <v>572</v>
      </c>
      <c r="S105" s="91"/>
      <c r="T105" s="91"/>
      <c r="U105" s="91"/>
      <c r="V105" s="91"/>
    </row>
    <row r="106">
      <c r="A106" s="91"/>
      <c r="B106" s="104" t="s">
        <v>573</v>
      </c>
      <c r="C106" s="104" t="s">
        <v>574</v>
      </c>
      <c r="D106" s="91"/>
      <c r="E106" s="104" t="s">
        <v>575</v>
      </c>
      <c r="F106" s="91"/>
      <c r="G106" s="104" t="s">
        <v>576</v>
      </c>
      <c r="H106" s="91"/>
      <c r="I106" s="91"/>
      <c r="J106" s="91"/>
      <c r="K106" s="105">
        <v>10990.0</v>
      </c>
      <c r="L106" s="91"/>
      <c r="M106" s="105">
        <v>0.0</v>
      </c>
      <c r="N106" s="91"/>
      <c r="O106" s="105">
        <v>0.0</v>
      </c>
      <c r="P106" s="91"/>
      <c r="Q106" s="104" t="s">
        <v>577</v>
      </c>
      <c r="S106" s="91"/>
      <c r="T106" s="91"/>
      <c r="U106" s="91"/>
      <c r="V106" s="91"/>
    </row>
    <row r="107">
      <c r="A107" s="91"/>
      <c r="B107" s="104" t="s">
        <v>578</v>
      </c>
      <c r="C107" s="104" t="s">
        <v>579</v>
      </c>
      <c r="D107" s="91"/>
      <c r="E107" s="104" t="s">
        <v>580</v>
      </c>
      <c r="F107" s="91"/>
      <c r="G107" s="104" t="s">
        <v>581</v>
      </c>
      <c r="H107" s="91"/>
      <c r="I107" s="91"/>
      <c r="J107" s="91"/>
      <c r="K107" s="105">
        <v>11700.0</v>
      </c>
      <c r="L107" s="91"/>
      <c r="M107" s="105">
        <v>0.0</v>
      </c>
      <c r="N107" s="91"/>
      <c r="O107" s="105">
        <v>0.0</v>
      </c>
      <c r="P107" s="91"/>
      <c r="Q107" s="104" t="s">
        <v>582</v>
      </c>
      <c r="S107" s="91"/>
      <c r="T107" s="91"/>
      <c r="U107" s="91"/>
      <c r="V107" s="91"/>
    </row>
    <row r="108">
      <c r="A108" s="100" t="s">
        <v>583</v>
      </c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</row>
    <row r="109">
      <c r="A109" s="91"/>
      <c r="B109" s="104" t="s">
        <v>586</v>
      </c>
      <c r="C109" s="104" t="s">
        <v>587</v>
      </c>
      <c r="D109" s="91"/>
      <c r="E109" s="104" t="s">
        <v>588</v>
      </c>
      <c r="F109" s="91"/>
      <c r="G109" s="104" t="s">
        <v>589</v>
      </c>
      <c r="H109" s="91"/>
      <c r="I109" s="91"/>
      <c r="J109" s="91"/>
      <c r="K109" s="105">
        <v>5400.0</v>
      </c>
      <c r="L109" s="91"/>
      <c r="M109" s="105">
        <v>0.0</v>
      </c>
      <c r="N109" s="91"/>
      <c r="O109" s="105">
        <v>0.0</v>
      </c>
      <c r="P109" s="91"/>
      <c r="Q109" s="104" t="s">
        <v>590</v>
      </c>
      <c r="S109" s="91"/>
      <c r="T109" s="91"/>
      <c r="U109" s="91"/>
      <c r="V109" s="91"/>
    </row>
    <row r="110">
      <c r="A110" s="91"/>
      <c r="B110" s="104" t="s">
        <v>591</v>
      </c>
      <c r="C110" s="104" t="s">
        <v>592</v>
      </c>
      <c r="D110" s="91"/>
      <c r="E110" s="104" t="s">
        <v>593</v>
      </c>
      <c r="F110" s="91"/>
      <c r="G110" s="104" t="s">
        <v>594</v>
      </c>
      <c r="H110" s="91"/>
      <c r="I110" s="91"/>
      <c r="J110" s="91"/>
      <c r="K110" s="105">
        <v>10800.0</v>
      </c>
      <c r="L110" s="91"/>
      <c r="M110" s="105">
        <v>0.0</v>
      </c>
      <c r="N110" s="91"/>
      <c r="O110" s="105">
        <v>0.0</v>
      </c>
      <c r="P110" s="91"/>
      <c r="Q110" s="104" t="s">
        <v>595</v>
      </c>
      <c r="S110" s="91"/>
      <c r="T110" s="91"/>
      <c r="U110" s="91"/>
      <c r="V110" s="91"/>
    </row>
    <row r="111">
      <c r="A111" s="91"/>
      <c r="B111" s="104" t="s">
        <v>596</v>
      </c>
      <c r="C111" s="104" t="s">
        <v>597</v>
      </c>
      <c r="D111" s="91"/>
      <c r="E111" s="104" t="s">
        <v>598</v>
      </c>
      <c r="F111" s="91"/>
      <c r="G111" s="104" t="s">
        <v>599</v>
      </c>
      <c r="H111" s="91"/>
      <c r="I111" s="101"/>
      <c r="J111" s="91"/>
      <c r="K111" s="105">
        <v>5400.0</v>
      </c>
      <c r="L111" s="91"/>
      <c r="M111" s="105">
        <v>0.0</v>
      </c>
      <c r="N111" s="91"/>
      <c r="O111" s="105">
        <v>0.0</v>
      </c>
      <c r="P111" s="101"/>
      <c r="Q111" s="104" t="s">
        <v>600</v>
      </c>
      <c r="S111" s="101"/>
      <c r="T111" s="101"/>
      <c r="U111" s="101"/>
      <c r="V111" s="101"/>
    </row>
    <row r="112">
      <c r="A112" s="91"/>
      <c r="B112" s="104" t="s">
        <v>601</v>
      </c>
      <c r="C112" s="104" t="s">
        <v>602</v>
      </c>
      <c r="D112" s="91"/>
      <c r="E112" s="104" t="s">
        <v>603</v>
      </c>
      <c r="F112" s="91"/>
      <c r="G112" s="104" t="s">
        <v>604</v>
      </c>
      <c r="H112" s="91"/>
      <c r="I112" s="101"/>
      <c r="J112" s="91"/>
      <c r="K112" s="105">
        <v>10800.0</v>
      </c>
      <c r="L112" s="91"/>
      <c r="M112" s="105">
        <v>0.0</v>
      </c>
      <c r="N112" s="91"/>
      <c r="O112" s="105">
        <v>0.0</v>
      </c>
      <c r="P112" s="101"/>
      <c r="Q112" s="104" t="s">
        <v>605</v>
      </c>
      <c r="S112" s="101"/>
      <c r="T112" s="101"/>
      <c r="U112" s="101"/>
      <c r="V112" s="101"/>
    </row>
    <row r="113">
      <c r="A113" s="91"/>
      <c r="B113" s="104" t="s">
        <v>606</v>
      </c>
      <c r="C113" s="104" t="s">
        <v>607</v>
      </c>
      <c r="D113" s="91"/>
      <c r="E113" s="104" t="s">
        <v>608</v>
      </c>
      <c r="F113" s="91"/>
      <c r="G113" s="104" t="s">
        <v>609</v>
      </c>
      <c r="H113" s="91"/>
      <c r="I113" s="101"/>
      <c r="J113" s="91"/>
      <c r="K113" s="105">
        <v>10800.0</v>
      </c>
      <c r="L113" s="91"/>
      <c r="M113" s="105">
        <v>0.0</v>
      </c>
      <c r="N113" s="91"/>
      <c r="O113" s="105">
        <v>0.0</v>
      </c>
      <c r="P113" s="101"/>
      <c r="Q113" s="104" t="s">
        <v>610</v>
      </c>
      <c r="S113" s="101"/>
      <c r="T113" s="101"/>
      <c r="U113" s="101"/>
      <c r="V113" s="101"/>
    </row>
    <row r="114">
      <c r="A114" s="91"/>
      <c r="B114" s="104" t="s">
        <v>611</v>
      </c>
      <c r="C114" s="104" t="s">
        <v>612</v>
      </c>
      <c r="D114" s="91"/>
      <c r="E114" s="104" t="s">
        <v>613</v>
      </c>
      <c r="F114" s="91"/>
      <c r="G114" s="104" t="s">
        <v>615</v>
      </c>
      <c r="H114" s="91"/>
      <c r="I114" s="101"/>
      <c r="J114" s="91"/>
      <c r="K114" s="105">
        <v>5400.0</v>
      </c>
      <c r="L114" s="91"/>
      <c r="M114" s="105">
        <v>0.0</v>
      </c>
      <c r="N114" s="91"/>
      <c r="O114" s="105">
        <v>0.0</v>
      </c>
      <c r="P114" s="101"/>
      <c r="Q114" s="104" t="s">
        <v>616</v>
      </c>
      <c r="S114" s="101"/>
      <c r="T114" s="101"/>
      <c r="U114" s="101"/>
      <c r="V114" s="101"/>
    </row>
    <row r="115">
      <c r="A115" s="91"/>
      <c r="B115" s="104" t="s">
        <v>618</v>
      </c>
      <c r="C115" s="104" t="s">
        <v>619</v>
      </c>
      <c r="D115" s="91"/>
      <c r="E115" s="104" t="s">
        <v>620</v>
      </c>
      <c r="F115" s="91"/>
      <c r="G115" s="104" t="s">
        <v>621</v>
      </c>
      <c r="H115" s="91"/>
      <c r="I115" s="91"/>
      <c r="J115" s="91"/>
      <c r="K115" s="105">
        <v>10800.0</v>
      </c>
      <c r="L115" s="91"/>
      <c r="M115" s="105">
        <v>0.0</v>
      </c>
      <c r="N115" s="91"/>
      <c r="O115" s="105">
        <v>0.0</v>
      </c>
      <c r="P115" s="91"/>
      <c r="Q115" s="104" t="s">
        <v>622</v>
      </c>
      <c r="S115" s="91"/>
      <c r="T115" s="91"/>
      <c r="U115" s="91"/>
      <c r="V115" s="91"/>
    </row>
    <row r="116">
      <c r="A116" s="91"/>
      <c r="B116" s="104" t="s">
        <v>623</v>
      </c>
      <c r="C116" s="104" t="s">
        <v>624</v>
      </c>
      <c r="D116" s="91"/>
      <c r="E116" s="104" t="s">
        <v>625</v>
      </c>
      <c r="F116" s="91"/>
      <c r="G116" s="104" t="s">
        <v>626</v>
      </c>
      <c r="H116" s="91"/>
      <c r="I116" s="101"/>
      <c r="J116" s="91"/>
      <c r="K116" s="105">
        <v>5400.0</v>
      </c>
      <c r="L116" s="91"/>
      <c r="M116" s="105">
        <v>0.0</v>
      </c>
      <c r="N116" s="91"/>
      <c r="O116" s="105">
        <v>0.0</v>
      </c>
      <c r="P116" s="101"/>
      <c r="Q116" s="104" t="s">
        <v>629</v>
      </c>
      <c r="S116" s="101"/>
      <c r="T116" s="101"/>
      <c r="U116" s="101"/>
      <c r="V116" s="101"/>
    </row>
    <row r="117">
      <c r="A117" s="91"/>
      <c r="B117" s="104" t="s">
        <v>630</v>
      </c>
      <c r="C117" s="104" t="s">
        <v>631</v>
      </c>
      <c r="D117" s="91"/>
      <c r="E117" s="104" t="s">
        <v>632</v>
      </c>
      <c r="F117" s="91"/>
      <c r="G117" s="104" t="s">
        <v>633</v>
      </c>
      <c r="H117" s="91"/>
      <c r="I117" s="101"/>
      <c r="J117" s="91"/>
      <c r="K117" s="105">
        <v>10800.0</v>
      </c>
      <c r="L117" s="91"/>
      <c r="M117" s="105">
        <v>0.0</v>
      </c>
      <c r="N117" s="91"/>
      <c r="O117" s="105">
        <v>0.0</v>
      </c>
      <c r="P117" s="101"/>
      <c r="Q117" s="104" t="s">
        <v>634</v>
      </c>
      <c r="S117" s="101"/>
      <c r="T117" s="101"/>
      <c r="U117" s="101"/>
      <c r="V117" s="101"/>
    </row>
    <row r="118">
      <c r="A118" s="91"/>
      <c r="B118" s="104" t="s">
        <v>635</v>
      </c>
      <c r="C118" s="104" t="s">
        <v>636</v>
      </c>
      <c r="D118" s="91"/>
      <c r="E118" s="104" t="s">
        <v>637</v>
      </c>
      <c r="F118" s="91"/>
      <c r="G118" s="104" t="s">
        <v>638</v>
      </c>
      <c r="H118" s="91"/>
      <c r="I118" s="101"/>
      <c r="J118" s="91"/>
      <c r="K118" s="105">
        <v>7900.0</v>
      </c>
      <c r="L118" s="91"/>
      <c r="M118" s="105">
        <v>0.0</v>
      </c>
      <c r="N118" s="91"/>
      <c r="O118" s="105">
        <v>0.0</v>
      </c>
      <c r="P118" s="101"/>
      <c r="Q118" s="104" t="s">
        <v>639</v>
      </c>
      <c r="S118" s="101"/>
      <c r="T118" s="101"/>
      <c r="U118" s="101"/>
      <c r="V118" s="101"/>
    </row>
    <row r="119">
      <c r="A119" s="91"/>
      <c r="B119" s="104" t="s">
        <v>640</v>
      </c>
      <c r="C119" s="104" t="s">
        <v>641</v>
      </c>
      <c r="D119" s="91"/>
      <c r="E119" s="104" t="s">
        <v>642</v>
      </c>
      <c r="F119" s="91"/>
      <c r="G119" s="104" t="s">
        <v>643</v>
      </c>
      <c r="H119" s="91"/>
      <c r="I119" s="101"/>
      <c r="J119" s="91"/>
      <c r="K119" s="105">
        <v>5400.0</v>
      </c>
      <c r="L119" s="91"/>
      <c r="M119" s="105">
        <v>0.0</v>
      </c>
      <c r="N119" s="91"/>
      <c r="O119" s="105">
        <v>0.0</v>
      </c>
      <c r="P119" s="101"/>
      <c r="Q119" s="104" t="s">
        <v>644</v>
      </c>
      <c r="S119" s="101"/>
      <c r="T119" s="101"/>
      <c r="U119" s="101"/>
      <c r="V119" s="101"/>
    </row>
    <row r="120">
      <c r="A120" s="91"/>
      <c r="B120" s="104" t="s">
        <v>645</v>
      </c>
      <c r="C120" s="104" t="s">
        <v>646</v>
      </c>
      <c r="D120" s="91"/>
      <c r="E120" s="104" t="s">
        <v>647</v>
      </c>
      <c r="F120" s="91"/>
      <c r="G120" s="104" t="s">
        <v>648</v>
      </c>
      <c r="H120" s="91"/>
      <c r="I120" s="101"/>
      <c r="J120" s="91"/>
      <c r="K120" s="105">
        <v>10800.0</v>
      </c>
      <c r="L120" s="91"/>
      <c r="M120" s="105">
        <v>0.0</v>
      </c>
      <c r="N120" s="91"/>
      <c r="O120" s="105">
        <v>0.0</v>
      </c>
      <c r="P120" s="101"/>
      <c r="Q120" s="104" t="s">
        <v>649</v>
      </c>
      <c r="S120" s="101"/>
      <c r="T120" s="101"/>
      <c r="U120" s="101"/>
      <c r="V120" s="101"/>
    </row>
    <row r="121">
      <c r="A121" s="91"/>
      <c r="B121" s="104" t="s">
        <v>650</v>
      </c>
      <c r="C121" s="104" t="s">
        <v>651</v>
      </c>
      <c r="D121" s="91"/>
      <c r="E121" s="104" t="s">
        <v>652</v>
      </c>
      <c r="F121" s="91"/>
      <c r="G121" s="104" t="s">
        <v>653</v>
      </c>
      <c r="H121" s="91"/>
      <c r="I121" s="101"/>
      <c r="J121" s="91"/>
      <c r="K121" s="105">
        <v>5400.0</v>
      </c>
      <c r="L121" s="91"/>
      <c r="M121" s="105">
        <v>0.0</v>
      </c>
      <c r="N121" s="91"/>
      <c r="O121" s="105">
        <v>0.0</v>
      </c>
      <c r="P121" s="101"/>
      <c r="Q121" s="104" t="s">
        <v>654</v>
      </c>
      <c r="S121" s="101"/>
      <c r="T121" s="101"/>
      <c r="U121" s="101"/>
      <c r="V121" s="101"/>
    </row>
    <row r="122">
      <c r="A122" s="91"/>
      <c r="B122" s="104" t="s">
        <v>655</v>
      </c>
      <c r="C122" s="104" t="s">
        <v>656</v>
      </c>
      <c r="D122" s="91"/>
      <c r="E122" s="104" t="s">
        <v>657</v>
      </c>
      <c r="F122" s="91"/>
      <c r="G122" s="104" t="s">
        <v>658</v>
      </c>
      <c r="H122" s="91"/>
      <c r="I122" s="101"/>
      <c r="J122" s="91"/>
      <c r="K122" s="105">
        <v>10800.0</v>
      </c>
      <c r="L122" s="91"/>
      <c r="M122" s="105">
        <v>0.0</v>
      </c>
      <c r="N122" s="91"/>
      <c r="O122" s="105">
        <v>0.0</v>
      </c>
      <c r="P122" s="101"/>
      <c r="Q122" s="104" t="s">
        <v>659</v>
      </c>
      <c r="S122" s="101"/>
      <c r="T122" s="101"/>
      <c r="U122" s="101"/>
      <c r="V122" s="101"/>
    </row>
    <row r="123">
      <c r="A123" s="91"/>
      <c r="B123" s="104" t="s">
        <v>660</v>
      </c>
      <c r="C123" s="104" t="s">
        <v>661</v>
      </c>
      <c r="D123" s="91"/>
      <c r="E123" s="104" t="s">
        <v>662</v>
      </c>
      <c r="F123" s="91"/>
      <c r="G123" s="104" t="s">
        <v>663</v>
      </c>
      <c r="H123" s="91"/>
      <c r="I123" s="101"/>
      <c r="J123" s="91"/>
      <c r="K123" s="105">
        <v>5400.0</v>
      </c>
      <c r="L123" s="91"/>
      <c r="M123" s="105">
        <v>0.0</v>
      </c>
      <c r="N123" s="91"/>
      <c r="O123" s="105">
        <v>0.0</v>
      </c>
      <c r="P123" s="101"/>
      <c r="Q123" s="104" t="s">
        <v>664</v>
      </c>
      <c r="S123" s="101"/>
      <c r="T123" s="101"/>
      <c r="U123" s="101"/>
      <c r="V123" s="101"/>
    </row>
    <row r="124">
      <c r="A124" s="91"/>
      <c r="B124" s="104" t="s">
        <v>665</v>
      </c>
      <c r="C124" s="104" t="s">
        <v>666</v>
      </c>
      <c r="D124" s="91"/>
      <c r="E124" s="104" t="s">
        <v>667</v>
      </c>
      <c r="F124" s="91"/>
      <c r="G124" s="104" t="s">
        <v>668</v>
      </c>
      <c r="H124" s="91"/>
      <c r="I124" s="101"/>
      <c r="J124" s="91"/>
      <c r="K124" s="105">
        <v>10800.0</v>
      </c>
      <c r="L124" s="91"/>
      <c r="M124" s="105">
        <v>0.0</v>
      </c>
      <c r="N124" s="91"/>
      <c r="O124" s="105">
        <v>0.0</v>
      </c>
      <c r="P124" s="101"/>
      <c r="Q124" s="104" t="s">
        <v>669</v>
      </c>
      <c r="S124" s="101"/>
      <c r="T124" s="101"/>
      <c r="U124" s="101"/>
      <c r="V124" s="101"/>
    </row>
    <row r="125">
      <c r="A125" s="100" t="s">
        <v>670</v>
      </c>
      <c r="C125" s="91"/>
      <c r="D125" s="91"/>
      <c r="E125" s="91"/>
      <c r="F125" s="91"/>
      <c r="G125" s="91"/>
      <c r="H125" s="91"/>
      <c r="I125" s="101"/>
      <c r="J125" s="91"/>
      <c r="K125" s="101"/>
      <c r="L125" s="91"/>
      <c r="M125" s="101"/>
      <c r="N125" s="91"/>
      <c r="O125" s="101"/>
      <c r="P125" s="101"/>
      <c r="Q125" s="91"/>
      <c r="R125" s="101"/>
      <c r="S125" s="101"/>
      <c r="T125" s="101"/>
      <c r="U125" s="101"/>
      <c r="V125" s="101"/>
    </row>
    <row r="126">
      <c r="A126" s="91"/>
      <c r="B126" s="104" t="s">
        <v>671</v>
      </c>
      <c r="C126" s="104" t="s">
        <v>672</v>
      </c>
      <c r="D126" s="91"/>
      <c r="E126" s="104" t="s">
        <v>673</v>
      </c>
      <c r="F126" s="91"/>
      <c r="G126" s="104" t="s">
        <v>674</v>
      </c>
      <c r="H126" s="91"/>
      <c r="I126" s="101"/>
      <c r="J126" s="91"/>
      <c r="K126" s="105">
        <v>12800.0</v>
      </c>
      <c r="L126" s="91"/>
      <c r="M126" s="105">
        <v>0.0</v>
      </c>
      <c r="N126" s="91"/>
      <c r="O126" s="105">
        <v>0.0</v>
      </c>
      <c r="P126" s="101"/>
      <c r="Q126" s="104" t="s">
        <v>675</v>
      </c>
      <c r="S126" s="101"/>
      <c r="T126" s="101"/>
      <c r="U126" s="101"/>
      <c r="V126" s="101"/>
    </row>
    <row r="127">
      <c r="A127" s="91"/>
      <c r="B127" s="104" t="s">
        <v>676</v>
      </c>
      <c r="C127" s="104" t="s">
        <v>677</v>
      </c>
      <c r="D127" s="91"/>
      <c r="E127" s="104" t="s">
        <v>678</v>
      </c>
      <c r="F127" s="91"/>
      <c r="G127" s="104" t="s">
        <v>679</v>
      </c>
      <c r="H127" s="91"/>
      <c r="I127" s="101"/>
      <c r="J127" s="91"/>
      <c r="K127" s="105">
        <v>9100.0</v>
      </c>
      <c r="L127" s="91"/>
      <c r="M127" s="105">
        <v>0.0</v>
      </c>
      <c r="N127" s="91"/>
      <c r="O127" s="105">
        <v>0.0</v>
      </c>
      <c r="P127" s="101"/>
      <c r="Q127" s="104" t="s">
        <v>680</v>
      </c>
      <c r="S127" s="101"/>
      <c r="T127" s="101"/>
      <c r="U127" s="101"/>
      <c r="V127" s="101"/>
    </row>
    <row r="128">
      <c r="A128" s="91"/>
      <c r="B128" s="104" t="s">
        <v>681</v>
      </c>
      <c r="C128" s="104" t="s">
        <v>682</v>
      </c>
      <c r="D128" s="91"/>
      <c r="E128" s="104" t="s">
        <v>683</v>
      </c>
      <c r="F128" s="91"/>
      <c r="G128" s="104" t="s">
        <v>684</v>
      </c>
      <c r="H128" s="91"/>
      <c r="I128" s="101"/>
      <c r="J128" s="91"/>
      <c r="K128" s="105">
        <v>14700.0</v>
      </c>
      <c r="L128" s="91"/>
      <c r="M128" s="105">
        <v>0.0</v>
      </c>
      <c r="N128" s="91"/>
      <c r="O128" s="105">
        <v>0.0</v>
      </c>
      <c r="P128" s="101"/>
      <c r="Q128" s="104" t="s">
        <v>685</v>
      </c>
      <c r="S128" s="101"/>
      <c r="T128" s="101"/>
      <c r="U128" s="101"/>
      <c r="V128" s="101"/>
    </row>
    <row r="129">
      <c r="A129" s="91"/>
      <c r="B129" s="104" t="s">
        <v>686</v>
      </c>
      <c r="C129" s="104" t="s">
        <v>687</v>
      </c>
      <c r="D129" s="91"/>
      <c r="E129" s="104" t="s">
        <v>688</v>
      </c>
      <c r="F129" s="91"/>
      <c r="G129" s="104" t="s">
        <v>689</v>
      </c>
      <c r="H129" s="91"/>
      <c r="I129" s="101"/>
      <c r="J129" s="91"/>
      <c r="K129" s="105">
        <v>11700.0</v>
      </c>
      <c r="L129" s="91"/>
      <c r="M129" s="105">
        <v>0.0</v>
      </c>
      <c r="N129" s="91"/>
      <c r="O129" s="105">
        <v>0.0</v>
      </c>
      <c r="P129" s="101"/>
      <c r="Q129" s="104" t="s">
        <v>690</v>
      </c>
      <c r="S129" s="101"/>
      <c r="T129" s="101"/>
      <c r="U129" s="101"/>
      <c r="V129" s="101"/>
    </row>
    <row r="130">
      <c r="A130" s="91"/>
      <c r="B130" s="104" t="s">
        <v>691</v>
      </c>
      <c r="C130" s="104" t="s">
        <v>692</v>
      </c>
      <c r="D130" s="91"/>
      <c r="E130" s="104" t="s">
        <v>693</v>
      </c>
      <c r="F130" s="91"/>
      <c r="G130" s="104" t="s">
        <v>694</v>
      </c>
      <c r="H130" s="91"/>
      <c r="I130" s="101"/>
      <c r="J130" s="91"/>
      <c r="K130" s="105">
        <v>11700.0</v>
      </c>
      <c r="L130" s="91"/>
      <c r="M130" s="105">
        <v>0.0</v>
      </c>
      <c r="N130" s="91"/>
      <c r="O130" s="105">
        <v>0.0</v>
      </c>
      <c r="P130" s="101"/>
      <c r="Q130" s="104" t="s">
        <v>695</v>
      </c>
      <c r="S130" s="101"/>
      <c r="T130" s="101"/>
      <c r="U130" s="101"/>
      <c r="V130" s="101"/>
    </row>
    <row r="131">
      <c r="A131" s="91"/>
      <c r="B131" s="104" t="s">
        <v>696</v>
      </c>
      <c r="C131" s="104" t="s">
        <v>697</v>
      </c>
      <c r="D131" s="91"/>
      <c r="E131" s="104" t="s">
        <v>698</v>
      </c>
      <c r="F131" s="91"/>
      <c r="G131" s="104" t="s">
        <v>699</v>
      </c>
      <c r="H131" s="91"/>
      <c r="I131" s="101"/>
      <c r="J131" s="91"/>
      <c r="K131" s="105">
        <v>12800.0</v>
      </c>
      <c r="L131" s="91"/>
      <c r="M131" s="105">
        <v>0.0</v>
      </c>
      <c r="N131" s="91"/>
      <c r="O131" s="105">
        <v>0.0</v>
      </c>
      <c r="P131" s="101"/>
      <c r="Q131" s="104" t="s">
        <v>700</v>
      </c>
      <c r="S131" s="101"/>
      <c r="T131" s="101"/>
      <c r="U131" s="101"/>
      <c r="V131" s="101"/>
    </row>
    <row r="132">
      <c r="A132" s="91"/>
      <c r="B132" s="104" t="s">
        <v>701</v>
      </c>
      <c r="C132" s="104" t="s">
        <v>702</v>
      </c>
      <c r="D132" s="91"/>
      <c r="E132" s="104" t="s">
        <v>703</v>
      </c>
      <c r="F132" s="91"/>
      <c r="G132" s="104" t="s">
        <v>704</v>
      </c>
      <c r="H132" s="91"/>
      <c r="I132" s="101"/>
      <c r="J132" s="91"/>
      <c r="K132" s="105">
        <v>7300.0</v>
      </c>
      <c r="L132" s="91"/>
      <c r="M132" s="105">
        <v>0.0</v>
      </c>
      <c r="N132" s="91"/>
      <c r="O132" s="105">
        <v>0.0</v>
      </c>
      <c r="P132" s="101"/>
      <c r="Q132" s="104" t="s">
        <v>705</v>
      </c>
      <c r="S132" s="101"/>
      <c r="T132" s="101"/>
      <c r="U132" s="101"/>
      <c r="V132" s="101"/>
    </row>
    <row r="133">
      <c r="A133" s="100" t="s">
        <v>706</v>
      </c>
      <c r="C133" s="91"/>
      <c r="D133" s="91"/>
      <c r="E133" s="91"/>
      <c r="F133" s="91"/>
      <c r="G133" s="91"/>
      <c r="H133" s="91"/>
      <c r="I133" s="101"/>
      <c r="J133" s="91"/>
      <c r="K133" s="101"/>
      <c r="L133" s="91"/>
      <c r="M133" s="101"/>
      <c r="N133" s="91"/>
      <c r="O133" s="101"/>
      <c r="P133" s="101"/>
      <c r="Q133" s="91"/>
      <c r="R133" s="101"/>
      <c r="S133" s="101"/>
      <c r="T133" s="101"/>
      <c r="U133" s="101"/>
      <c r="V133" s="101"/>
    </row>
    <row r="134">
      <c r="A134" s="91"/>
      <c r="B134" s="104" t="s">
        <v>707</v>
      </c>
      <c r="C134" s="104" t="s">
        <v>708</v>
      </c>
      <c r="D134" s="91"/>
      <c r="E134" s="104" t="s">
        <v>709</v>
      </c>
      <c r="F134" s="91"/>
      <c r="G134" s="104" t="s">
        <v>710</v>
      </c>
      <c r="H134" s="91"/>
      <c r="I134" s="91"/>
      <c r="J134" s="91"/>
      <c r="K134" s="105">
        <v>9900.0</v>
      </c>
      <c r="L134" s="91"/>
      <c r="M134" s="105">
        <v>0.0</v>
      </c>
      <c r="N134" s="91"/>
      <c r="O134" s="105">
        <v>0.0</v>
      </c>
      <c r="P134" s="101"/>
      <c r="Q134" s="104" t="s">
        <v>711</v>
      </c>
      <c r="S134" s="101"/>
      <c r="T134" s="101"/>
      <c r="U134" s="101"/>
      <c r="V134" s="101"/>
    </row>
    <row r="135">
      <c r="A135" s="91"/>
      <c r="B135" s="104" t="s">
        <v>712</v>
      </c>
      <c r="C135" s="104" t="s">
        <v>713</v>
      </c>
      <c r="D135" s="91"/>
      <c r="E135" s="104" t="s">
        <v>714</v>
      </c>
      <c r="F135" s="91"/>
      <c r="G135" s="104" t="s">
        <v>715</v>
      </c>
      <c r="H135" s="91"/>
      <c r="I135" s="101"/>
      <c r="J135" s="91"/>
      <c r="K135" s="105">
        <v>0.0</v>
      </c>
      <c r="L135" s="91"/>
      <c r="M135" s="105">
        <v>0.0</v>
      </c>
      <c r="N135" s="91"/>
      <c r="O135" s="105">
        <v>0.0</v>
      </c>
      <c r="P135" s="101"/>
      <c r="Q135" s="104" t="s">
        <v>716</v>
      </c>
      <c r="S135" s="101"/>
      <c r="T135" s="101"/>
      <c r="U135" s="101"/>
      <c r="V135" s="101"/>
    </row>
    <row r="136">
      <c r="A136" s="91"/>
      <c r="B136" s="104" t="s">
        <v>717</v>
      </c>
      <c r="C136" s="104" t="s">
        <v>718</v>
      </c>
      <c r="D136" s="91"/>
      <c r="E136" s="104" t="s">
        <v>719</v>
      </c>
      <c r="F136" s="91"/>
      <c r="G136" s="104" t="s">
        <v>720</v>
      </c>
      <c r="H136" s="91"/>
      <c r="I136" s="91"/>
      <c r="J136" s="91"/>
      <c r="K136" s="105">
        <v>0.0</v>
      </c>
      <c r="L136" s="91"/>
      <c r="M136" s="105">
        <v>0.0</v>
      </c>
      <c r="N136" s="91"/>
      <c r="O136" s="105">
        <v>0.0</v>
      </c>
      <c r="P136" s="91"/>
      <c r="Q136" s="104" t="s">
        <v>721</v>
      </c>
      <c r="S136" s="91"/>
      <c r="T136" s="91"/>
      <c r="U136" s="91"/>
      <c r="V136" s="91"/>
    </row>
    <row r="137">
      <c r="A137" s="91"/>
      <c r="B137" s="104" t="s">
        <v>722</v>
      </c>
      <c r="C137" s="104" t="s">
        <v>723</v>
      </c>
      <c r="D137" s="91"/>
      <c r="E137" s="104" t="s">
        <v>724</v>
      </c>
      <c r="F137" s="91"/>
      <c r="G137" s="104" t="s">
        <v>725</v>
      </c>
      <c r="H137" s="91"/>
      <c r="I137" s="91"/>
      <c r="J137" s="91"/>
      <c r="K137" s="105">
        <v>9000.0</v>
      </c>
      <c r="L137" s="91"/>
      <c r="M137" s="105">
        <v>0.0</v>
      </c>
      <c r="N137" s="91"/>
      <c r="O137" s="105">
        <v>0.0</v>
      </c>
      <c r="P137" s="91"/>
      <c r="Q137" s="104" t="s">
        <v>727</v>
      </c>
      <c r="S137" s="91"/>
      <c r="T137" s="91"/>
      <c r="U137" s="91"/>
      <c r="V137" s="91"/>
    </row>
    <row r="138">
      <c r="A138" s="91"/>
      <c r="B138" s="104" t="s">
        <v>729</v>
      </c>
      <c r="C138" s="104" t="s">
        <v>730</v>
      </c>
      <c r="D138" s="91"/>
      <c r="E138" s="104" t="s">
        <v>731</v>
      </c>
      <c r="F138" s="91"/>
      <c r="G138" s="104" t="s">
        <v>732</v>
      </c>
      <c r="H138" s="91"/>
      <c r="I138" s="91"/>
      <c r="J138" s="91"/>
      <c r="K138" s="105">
        <v>13000.0</v>
      </c>
      <c r="L138" s="91"/>
      <c r="M138" s="105">
        <v>0.0</v>
      </c>
      <c r="N138" s="91"/>
      <c r="O138" s="105">
        <v>0.0</v>
      </c>
      <c r="P138" s="91"/>
      <c r="Q138" s="104" t="s">
        <v>734</v>
      </c>
      <c r="S138" s="91"/>
      <c r="T138" s="91"/>
      <c r="U138" s="91"/>
      <c r="V138" s="91"/>
    </row>
    <row r="139">
      <c r="A139" s="91"/>
      <c r="B139" s="104" t="s">
        <v>735</v>
      </c>
      <c r="C139" s="104" t="s">
        <v>736</v>
      </c>
      <c r="D139" s="91"/>
      <c r="E139" s="104" t="s">
        <v>737</v>
      </c>
      <c r="F139" s="91"/>
      <c r="G139" s="104" t="s">
        <v>738</v>
      </c>
      <c r="H139" s="91"/>
      <c r="I139" s="91"/>
      <c r="J139" s="91"/>
      <c r="K139" s="105">
        <v>13000.0</v>
      </c>
      <c r="L139" s="91"/>
      <c r="M139" s="105">
        <v>0.0</v>
      </c>
      <c r="N139" s="91"/>
      <c r="O139" s="105">
        <v>0.0</v>
      </c>
      <c r="P139" s="91"/>
      <c r="Q139" s="104" t="s">
        <v>739</v>
      </c>
      <c r="S139" s="91"/>
      <c r="T139" s="91"/>
      <c r="U139" s="91"/>
      <c r="V139" s="91"/>
    </row>
    <row r="140">
      <c r="A140" s="91"/>
      <c r="B140" s="104" t="s">
        <v>740</v>
      </c>
      <c r="C140" s="104" t="s">
        <v>741</v>
      </c>
      <c r="D140" s="91"/>
      <c r="E140" s="104" t="s">
        <v>742</v>
      </c>
      <c r="F140" s="91"/>
      <c r="G140" s="104" t="s">
        <v>743</v>
      </c>
      <c r="H140" s="91"/>
      <c r="I140" s="91"/>
      <c r="J140" s="91"/>
      <c r="K140" s="105">
        <v>11000.0</v>
      </c>
      <c r="L140" s="91"/>
      <c r="M140" s="105">
        <v>0.0</v>
      </c>
      <c r="N140" s="91"/>
      <c r="O140" s="105">
        <v>0.0</v>
      </c>
      <c r="P140" s="91"/>
      <c r="Q140" s="104" t="s">
        <v>744</v>
      </c>
      <c r="S140" s="91"/>
      <c r="T140" s="91"/>
      <c r="U140" s="91"/>
      <c r="V140" s="91"/>
    </row>
    <row r="141">
      <c r="A141" s="91"/>
      <c r="B141" s="104" t="s">
        <v>745</v>
      </c>
      <c r="C141" s="104" t="s">
        <v>746</v>
      </c>
      <c r="D141" s="91"/>
      <c r="E141" s="104" t="s">
        <v>747</v>
      </c>
      <c r="F141" s="91"/>
      <c r="G141" s="104" t="s">
        <v>748</v>
      </c>
      <c r="H141" s="91"/>
      <c r="I141" s="91"/>
      <c r="J141" s="91"/>
      <c r="K141" s="105">
        <v>9900.0</v>
      </c>
      <c r="L141" s="91"/>
      <c r="M141" s="105">
        <v>0.0</v>
      </c>
      <c r="N141" s="91"/>
      <c r="O141" s="105">
        <v>0.0</v>
      </c>
      <c r="P141" s="91"/>
      <c r="Q141" s="104" t="s">
        <v>749</v>
      </c>
      <c r="S141" s="91"/>
      <c r="T141" s="91"/>
      <c r="U141" s="91"/>
      <c r="V141" s="91"/>
    </row>
    <row r="142">
      <c r="A142" s="91"/>
      <c r="B142" s="104" t="s">
        <v>750</v>
      </c>
      <c r="C142" s="104" t="s">
        <v>751</v>
      </c>
      <c r="D142" s="91"/>
      <c r="E142" s="104" t="s">
        <v>752</v>
      </c>
      <c r="F142" s="91"/>
      <c r="G142" s="104" t="s">
        <v>753</v>
      </c>
      <c r="H142" s="91"/>
      <c r="I142" s="91"/>
      <c r="J142" s="91"/>
      <c r="K142" s="105">
        <v>9900.0</v>
      </c>
      <c r="L142" s="91"/>
      <c r="M142" s="105">
        <v>0.0</v>
      </c>
      <c r="N142" s="91"/>
      <c r="O142" s="105">
        <v>0.0</v>
      </c>
      <c r="P142" s="91"/>
      <c r="Q142" s="104" t="s">
        <v>754</v>
      </c>
      <c r="S142" s="91"/>
      <c r="T142" s="91"/>
      <c r="U142" s="91"/>
      <c r="V142" s="91"/>
    </row>
    <row r="143">
      <c r="A143" s="91"/>
      <c r="B143" s="104" t="s">
        <v>755</v>
      </c>
      <c r="C143" s="104" t="s">
        <v>756</v>
      </c>
      <c r="D143" s="91"/>
      <c r="E143" s="104" t="s">
        <v>757</v>
      </c>
      <c r="F143" s="91"/>
      <c r="G143" s="104" t="s">
        <v>758</v>
      </c>
      <c r="H143" s="91"/>
      <c r="I143" s="91"/>
      <c r="J143" s="91"/>
      <c r="K143" s="105">
        <v>9900.0</v>
      </c>
      <c r="L143" s="91"/>
      <c r="M143" s="105">
        <v>0.0</v>
      </c>
      <c r="N143" s="91"/>
      <c r="O143" s="105">
        <v>0.0</v>
      </c>
      <c r="P143" s="91"/>
      <c r="Q143" s="104" t="s">
        <v>759</v>
      </c>
      <c r="S143" s="91"/>
      <c r="T143" s="91"/>
      <c r="U143" s="91"/>
      <c r="V143" s="91"/>
    </row>
    <row r="144">
      <c r="A144" s="91"/>
      <c r="B144" s="104" t="s">
        <v>760</v>
      </c>
      <c r="C144" s="104" t="s">
        <v>761</v>
      </c>
      <c r="D144" s="91"/>
      <c r="E144" s="104" t="s">
        <v>762</v>
      </c>
      <c r="F144" s="91"/>
      <c r="G144" s="104" t="s">
        <v>763</v>
      </c>
      <c r="H144" s="91"/>
      <c r="I144" s="91"/>
      <c r="J144" s="91"/>
      <c r="K144" s="105">
        <v>13000.0</v>
      </c>
      <c r="L144" s="91"/>
      <c r="M144" s="105">
        <v>0.0</v>
      </c>
      <c r="N144" s="91"/>
      <c r="O144" s="105">
        <v>0.0</v>
      </c>
      <c r="P144" s="91"/>
      <c r="Q144" s="104" t="s">
        <v>764</v>
      </c>
      <c r="S144" s="91"/>
      <c r="T144" s="91"/>
      <c r="U144" s="91"/>
      <c r="V144" s="91"/>
    </row>
    <row r="145">
      <c r="A145" s="91"/>
      <c r="B145" s="104" t="s">
        <v>765</v>
      </c>
      <c r="C145" s="104" t="s">
        <v>766</v>
      </c>
      <c r="D145" s="91"/>
      <c r="E145" s="104" t="s">
        <v>767</v>
      </c>
      <c r="F145" s="91"/>
      <c r="G145" s="104" t="s">
        <v>768</v>
      </c>
      <c r="H145" s="91"/>
      <c r="I145" s="91"/>
      <c r="J145" s="91"/>
      <c r="K145" s="105">
        <v>9900.0</v>
      </c>
      <c r="L145" s="91"/>
      <c r="M145" s="105">
        <v>0.0</v>
      </c>
      <c r="N145" s="91"/>
      <c r="O145" s="105">
        <v>0.0</v>
      </c>
      <c r="P145" s="91"/>
      <c r="Q145" s="104" t="s">
        <v>769</v>
      </c>
      <c r="S145" s="91"/>
      <c r="T145" s="91"/>
      <c r="U145" s="91"/>
      <c r="V145" s="91"/>
    </row>
    <row r="146">
      <c r="A146" s="91"/>
      <c r="B146" s="104" t="s">
        <v>770</v>
      </c>
      <c r="C146" s="104" t="s">
        <v>771</v>
      </c>
      <c r="D146" s="91"/>
      <c r="E146" s="104" t="s">
        <v>772</v>
      </c>
      <c r="F146" s="91"/>
      <c r="G146" s="104" t="s">
        <v>773</v>
      </c>
      <c r="H146" s="91"/>
      <c r="I146" s="101"/>
      <c r="J146" s="91"/>
      <c r="K146" s="105">
        <v>0.0</v>
      </c>
      <c r="L146" s="91"/>
      <c r="M146" s="105">
        <v>0.0</v>
      </c>
      <c r="N146" s="91"/>
      <c r="O146" s="105">
        <v>0.0</v>
      </c>
      <c r="P146" s="101"/>
      <c r="Q146" s="104" t="s">
        <v>774</v>
      </c>
      <c r="S146" s="101"/>
      <c r="T146" s="101"/>
      <c r="U146" s="101"/>
      <c r="V146" s="101"/>
    </row>
    <row r="147">
      <c r="A147" s="91"/>
      <c r="B147" s="104" t="s">
        <v>775</v>
      </c>
      <c r="C147" s="104" t="s">
        <v>776</v>
      </c>
      <c r="D147" s="91"/>
      <c r="E147" s="104" t="s">
        <v>777</v>
      </c>
      <c r="F147" s="91"/>
      <c r="G147" s="104" t="s">
        <v>778</v>
      </c>
      <c r="H147" s="91"/>
      <c r="I147" s="101"/>
      <c r="J147" s="91"/>
      <c r="K147" s="105">
        <v>9900.0</v>
      </c>
      <c r="L147" s="91"/>
      <c r="M147" s="105">
        <v>0.0</v>
      </c>
      <c r="N147" s="91"/>
      <c r="O147" s="105">
        <v>0.0</v>
      </c>
      <c r="P147" s="101"/>
      <c r="Q147" s="104" t="s">
        <v>779</v>
      </c>
      <c r="S147" s="101"/>
      <c r="T147" s="101"/>
      <c r="U147" s="101"/>
      <c r="V147" s="101"/>
    </row>
    <row r="148">
      <c r="A148" s="100" t="s">
        <v>780</v>
      </c>
      <c r="C148" s="91"/>
      <c r="D148" s="91"/>
      <c r="E148" s="91"/>
      <c r="F148" s="91"/>
      <c r="G148" s="91"/>
      <c r="H148" s="91"/>
      <c r="I148" s="101"/>
      <c r="J148" s="91"/>
      <c r="K148" s="101"/>
      <c r="L148" s="91"/>
      <c r="M148" s="102"/>
      <c r="N148" s="91"/>
      <c r="O148" s="101"/>
      <c r="P148" s="101"/>
      <c r="Q148" s="91"/>
      <c r="R148" s="91"/>
      <c r="S148" s="91"/>
      <c r="T148" s="91"/>
      <c r="U148" s="91"/>
      <c r="V148" s="91"/>
    </row>
    <row r="149">
      <c r="A149" s="91"/>
      <c r="B149" s="104" t="s">
        <v>781</v>
      </c>
      <c r="C149" s="104" t="s">
        <v>782</v>
      </c>
      <c r="D149" s="91"/>
      <c r="E149" s="104" t="s">
        <v>783</v>
      </c>
      <c r="F149" s="91"/>
      <c r="G149" s="104" t="s">
        <v>784</v>
      </c>
      <c r="H149" s="91"/>
      <c r="I149" s="101"/>
      <c r="J149" s="91"/>
      <c r="K149" s="105">
        <v>135900.0</v>
      </c>
      <c r="L149" s="91"/>
      <c r="M149" s="105">
        <v>0.0</v>
      </c>
      <c r="N149" s="91"/>
      <c r="O149" s="105">
        <v>0.0</v>
      </c>
      <c r="P149" s="101"/>
      <c r="Q149" s="104" t="s">
        <v>785</v>
      </c>
      <c r="S149" s="101"/>
      <c r="T149" s="101"/>
      <c r="U149" s="101"/>
      <c r="V149" s="101"/>
    </row>
    <row r="150">
      <c r="A150" s="91"/>
      <c r="B150" s="104" t="s">
        <v>786</v>
      </c>
      <c r="C150" s="104" t="s">
        <v>787</v>
      </c>
      <c r="D150" s="91"/>
      <c r="E150" s="104" t="s">
        <v>788</v>
      </c>
      <c r="F150" s="91"/>
      <c r="G150" s="104" t="s">
        <v>789</v>
      </c>
      <c r="H150" s="91"/>
      <c r="I150" s="101"/>
      <c r="J150" s="91"/>
      <c r="K150" s="105">
        <v>2000.0</v>
      </c>
      <c r="L150" s="91"/>
      <c r="M150" s="105">
        <v>0.0</v>
      </c>
      <c r="N150" s="91"/>
      <c r="O150" s="105">
        <v>0.0</v>
      </c>
      <c r="P150" s="101"/>
      <c r="Q150" s="104" t="s">
        <v>790</v>
      </c>
      <c r="S150" s="101"/>
      <c r="T150" s="101"/>
      <c r="U150" s="101"/>
      <c r="V150" s="101"/>
    </row>
    <row r="151">
      <c r="A151" s="91"/>
      <c r="B151" s="104" t="s">
        <v>791</v>
      </c>
      <c r="C151" s="104" t="s">
        <v>792</v>
      </c>
      <c r="D151" s="91"/>
      <c r="E151" s="104" t="s">
        <v>793</v>
      </c>
      <c r="F151" s="91"/>
      <c r="G151" s="104" t="s">
        <v>794</v>
      </c>
      <c r="H151" s="91"/>
      <c r="I151" s="101"/>
      <c r="J151" s="91"/>
      <c r="K151" s="105">
        <v>37000.0</v>
      </c>
      <c r="L151" s="91"/>
      <c r="M151" s="105">
        <v>0.0</v>
      </c>
      <c r="N151" s="91"/>
      <c r="O151" s="105">
        <v>0.0</v>
      </c>
      <c r="P151" s="101"/>
      <c r="Q151" s="104" t="s">
        <v>795</v>
      </c>
      <c r="S151" s="101"/>
      <c r="T151" s="101"/>
      <c r="U151" s="101"/>
      <c r="V151" s="101"/>
    </row>
    <row r="152">
      <c r="A152" s="91"/>
      <c r="B152" s="104" t="s">
        <v>796</v>
      </c>
      <c r="C152" s="104" t="s">
        <v>797</v>
      </c>
      <c r="D152" s="91"/>
      <c r="E152" s="104" t="s">
        <v>798</v>
      </c>
      <c r="F152" s="91"/>
      <c r="G152" s="104" t="s">
        <v>799</v>
      </c>
      <c r="H152" s="91"/>
      <c r="I152" s="101"/>
      <c r="J152" s="91"/>
      <c r="K152" s="105">
        <v>160000.0</v>
      </c>
      <c r="L152" s="91"/>
      <c r="M152" s="105">
        <v>0.0</v>
      </c>
      <c r="N152" s="91"/>
      <c r="O152" s="105">
        <v>0.0</v>
      </c>
      <c r="P152" s="101"/>
      <c r="Q152" s="104" t="s">
        <v>800</v>
      </c>
      <c r="S152" s="101"/>
      <c r="T152" s="101"/>
      <c r="U152" s="101"/>
      <c r="V152" s="101"/>
    </row>
    <row r="153">
      <c r="A153" s="91"/>
      <c r="B153" s="104" t="s">
        <v>801</v>
      </c>
      <c r="C153" s="104" t="s">
        <v>802</v>
      </c>
      <c r="D153" s="91"/>
      <c r="E153" s="104" t="s">
        <v>803</v>
      </c>
      <c r="F153" s="91"/>
      <c r="G153" s="104" t="s">
        <v>804</v>
      </c>
      <c r="H153" s="91"/>
      <c r="I153" s="101"/>
      <c r="J153" s="91"/>
      <c r="K153" s="105">
        <v>450000.0</v>
      </c>
      <c r="L153" s="91"/>
      <c r="M153" s="105">
        <v>0.0</v>
      </c>
      <c r="N153" s="91"/>
      <c r="O153" s="105">
        <v>0.0</v>
      </c>
      <c r="P153" s="101"/>
      <c r="Q153" s="104" t="s">
        <v>805</v>
      </c>
      <c r="S153" s="101"/>
      <c r="T153" s="101"/>
      <c r="U153" s="101"/>
      <c r="V153" s="101"/>
    </row>
    <row r="154">
      <c r="A154" s="91"/>
      <c r="B154" s="104" t="s">
        <v>806</v>
      </c>
      <c r="C154" s="104" t="s">
        <v>807</v>
      </c>
      <c r="D154" s="91"/>
      <c r="E154" s="104" t="s">
        <v>808</v>
      </c>
      <c r="F154" s="91"/>
      <c r="G154" s="104" t="s">
        <v>809</v>
      </c>
      <c r="H154" s="91"/>
      <c r="I154" s="101"/>
      <c r="J154" s="91"/>
      <c r="K154" s="105">
        <v>71900.0</v>
      </c>
      <c r="L154" s="91"/>
      <c r="M154" s="105">
        <v>0.0</v>
      </c>
      <c r="N154" s="91"/>
      <c r="O154" s="105">
        <v>0.0</v>
      </c>
      <c r="P154" s="101"/>
      <c r="Q154" s="104" t="s">
        <v>810</v>
      </c>
      <c r="S154" s="101"/>
      <c r="T154" s="101"/>
      <c r="U154" s="101"/>
      <c r="V154" s="101"/>
    </row>
    <row r="155">
      <c r="A155" s="91"/>
      <c r="B155" s="104" t="s">
        <v>811</v>
      </c>
      <c r="C155" s="104" t="s">
        <v>812</v>
      </c>
      <c r="D155" s="91"/>
      <c r="E155" s="104" t="s">
        <v>813</v>
      </c>
      <c r="F155" s="91"/>
      <c r="G155" s="104" t="s">
        <v>814</v>
      </c>
      <c r="H155" s="91"/>
      <c r="I155" s="101"/>
      <c r="J155" s="91"/>
      <c r="K155" s="105">
        <v>19900.0</v>
      </c>
      <c r="L155" s="91"/>
      <c r="M155" s="105">
        <v>0.0</v>
      </c>
      <c r="N155" s="91"/>
      <c r="O155" s="105">
        <v>0.0</v>
      </c>
      <c r="P155" s="101"/>
      <c r="Q155" s="104" t="s">
        <v>816</v>
      </c>
      <c r="S155" s="101"/>
      <c r="T155" s="101"/>
      <c r="U155" s="101"/>
      <c r="V155" s="101"/>
    </row>
    <row r="156">
      <c r="A156" s="100" t="s">
        <v>817</v>
      </c>
      <c r="C156" s="91"/>
      <c r="D156" s="91"/>
      <c r="E156" s="91"/>
      <c r="F156" s="91"/>
      <c r="G156" s="91"/>
      <c r="H156" s="91"/>
      <c r="I156" s="101"/>
      <c r="J156" s="91"/>
      <c r="K156" s="101"/>
      <c r="L156" s="91"/>
      <c r="M156" s="101"/>
      <c r="N156" s="91"/>
      <c r="O156" s="101"/>
      <c r="P156" s="101"/>
      <c r="Q156" s="91"/>
      <c r="R156" s="101"/>
      <c r="S156" s="101"/>
      <c r="T156" s="101"/>
      <c r="U156" s="101"/>
      <c r="V156" s="101"/>
    </row>
    <row r="157">
      <c r="A157" s="91"/>
      <c r="B157" s="104" t="s">
        <v>818</v>
      </c>
      <c r="C157" s="104" t="s">
        <v>819</v>
      </c>
      <c r="D157" s="91"/>
      <c r="E157" s="104" t="s">
        <v>820</v>
      </c>
      <c r="F157" s="91"/>
      <c r="G157" s="104" t="s">
        <v>821</v>
      </c>
      <c r="H157" s="91"/>
      <c r="I157" s="101"/>
      <c r="J157" s="91"/>
      <c r="K157" s="105">
        <v>3900.0</v>
      </c>
      <c r="L157" s="91"/>
      <c r="M157" s="105">
        <v>0.0</v>
      </c>
      <c r="N157" s="91"/>
      <c r="O157" s="105">
        <v>0.0</v>
      </c>
      <c r="P157" s="101"/>
      <c r="Q157" s="104" t="s">
        <v>822</v>
      </c>
      <c r="S157" s="101"/>
      <c r="T157" s="101"/>
      <c r="U157" s="101"/>
      <c r="V157" s="101"/>
    </row>
    <row r="158">
      <c r="A158" s="91"/>
      <c r="B158" s="104" t="s">
        <v>823</v>
      </c>
      <c r="C158" s="104" t="s">
        <v>824</v>
      </c>
      <c r="D158" s="91"/>
      <c r="E158" s="104" t="s">
        <v>825</v>
      </c>
      <c r="F158" s="91"/>
      <c r="G158" s="104" t="s">
        <v>826</v>
      </c>
      <c r="H158" s="91"/>
      <c r="I158" s="101"/>
      <c r="J158" s="91"/>
      <c r="K158" s="105">
        <v>20800.0</v>
      </c>
      <c r="L158" s="91"/>
      <c r="M158" s="105">
        <v>0.0</v>
      </c>
      <c r="N158" s="91"/>
      <c r="O158" s="105">
        <v>0.0</v>
      </c>
      <c r="P158" s="101"/>
      <c r="Q158" s="104" t="s">
        <v>827</v>
      </c>
      <c r="S158" s="101"/>
      <c r="T158" s="101"/>
      <c r="U158" s="101"/>
      <c r="V158" s="101"/>
    </row>
    <row r="159">
      <c r="A159" s="91"/>
      <c r="B159" s="104" t="s">
        <v>828</v>
      </c>
      <c r="C159" s="104" t="s">
        <v>829</v>
      </c>
      <c r="D159" s="91"/>
      <c r="E159" s="104" t="s">
        <v>830</v>
      </c>
      <c r="F159" s="91"/>
      <c r="G159" s="104" t="s">
        <v>831</v>
      </c>
      <c r="H159" s="91"/>
      <c r="I159" s="101"/>
      <c r="J159" s="91"/>
      <c r="K159" s="105">
        <v>25800.0</v>
      </c>
      <c r="L159" s="91"/>
      <c r="M159" s="105">
        <v>0.0</v>
      </c>
      <c r="N159" s="91"/>
      <c r="O159" s="105">
        <v>0.0</v>
      </c>
      <c r="P159" s="101"/>
      <c r="Q159" s="104" t="s">
        <v>832</v>
      </c>
      <c r="S159" s="101"/>
      <c r="T159" s="101"/>
      <c r="U159" s="101"/>
      <c r="V159" s="101"/>
    </row>
    <row r="160">
      <c r="A160" s="91"/>
      <c r="B160" s="104" t="s">
        <v>833</v>
      </c>
      <c r="C160" s="104" t="s">
        <v>834</v>
      </c>
      <c r="D160" s="91"/>
      <c r="E160" s="104" t="s">
        <v>835</v>
      </c>
      <c r="F160" s="91"/>
      <c r="G160" s="104" t="s">
        <v>836</v>
      </c>
      <c r="H160" s="91"/>
      <c r="I160" s="91"/>
      <c r="J160" s="91"/>
      <c r="K160" s="105">
        <v>18800.0</v>
      </c>
      <c r="L160" s="91"/>
      <c r="M160" s="105">
        <v>0.0</v>
      </c>
      <c r="N160" s="91"/>
      <c r="O160" s="105">
        <v>0.0</v>
      </c>
      <c r="P160" s="101"/>
      <c r="Q160" s="104" t="s">
        <v>837</v>
      </c>
      <c r="S160" s="101"/>
      <c r="T160" s="101"/>
      <c r="U160" s="101"/>
      <c r="V160" s="101"/>
    </row>
    <row r="161">
      <c r="A161" s="91"/>
      <c r="B161" s="104" t="s">
        <v>838</v>
      </c>
      <c r="C161" s="104" t="s">
        <v>839</v>
      </c>
      <c r="D161" s="91"/>
      <c r="E161" s="104" t="s">
        <v>840</v>
      </c>
      <c r="F161" s="91"/>
      <c r="G161" s="104" t="s">
        <v>841</v>
      </c>
      <c r="H161" s="91"/>
      <c r="I161" s="101"/>
      <c r="J161" s="91"/>
      <c r="K161" s="105">
        <v>25800.0</v>
      </c>
      <c r="L161" s="91"/>
      <c r="M161" s="105">
        <v>0.0</v>
      </c>
      <c r="N161" s="91"/>
      <c r="O161" s="105">
        <v>0.0</v>
      </c>
      <c r="P161" s="101"/>
      <c r="Q161" s="104" t="s">
        <v>842</v>
      </c>
      <c r="S161" s="101"/>
      <c r="T161" s="101"/>
      <c r="U161" s="101"/>
      <c r="V161" s="101"/>
    </row>
    <row r="162">
      <c r="A162" s="91"/>
      <c r="B162" s="104" t="s">
        <v>843</v>
      </c>
      <c r="C162" s="104" t="s">
        <v>844</v>
      </c>
      <c r="D162" s="91"/>
      <c r="E162" s="104" t="s">
        <v>845</v>
      </c>
      <c r="F162" s="91"/>
      <c r="G162" s="104" t="s">
        <v>846</v>
      </c>
      <c r="H162" s="91"/>
      <c r="I162" s="101"/>
      <c r="J162" s="91"/>
      <c r="K162" s="105">
        <v>25800.0</v>
      </c>
      <c r="L162" s="91"/>
      <c r="M162" s="105">
        <v>0.0</v>
      </c>
      <c r="N162" s="91"/>
      <c r="O162" s="105">
        <v>0.0</v>
      </c>
      <c r="P162" s="101"/>
      <c r="Q162" s="104" t="s">
        <v>847</v>
      </c>
      <c r="S162" s="101"/>
      <c r="T162" s="101"/>
      <c r="U162" s="101"/>
      <c r="V162" s="101"/>
    </row>
    <row r="163">
      <c r="A163" s="91"/>
      <c r="B163" s="104" t="s">
        <v>848</v>
      </c>
      <c r="C163" s="104" t="s">
        <v>849</v>
      </c>
      <c r="D163" s="91"/>
      <c r="E163" s="104" t="s">
        <v>850</v>
      </c>
      <c r="F163" s="91"/>
      <c r="G163" s="104" t="s">
        <v>851</v>
      </c>
      <c r="H163" s="91"/>
      <c r="I163" s="101"/>
      <c r="J163" s="91"/>
      <c r="K163" s="105">
        <v>15800.0</v>
      </c>
      <c r="L163" s="91"/>
      <c r="M163" s="105">
        <v>0.0</v>
      </c>
      <c r="N163" s="91"/>
      <c r="O163" s="105">
        <v>0.0</v>
      </c>
      <c r="P163" s="101"/>
      <c r="Q163" s="104" t="s">
        <v>852</v>
      </c>
      <c r="S163" s="101"/>
      <c r="T163" s="101"/>
      <c r="U163" s="101"/>
      <c r="V163" s="101"/>
    </row>
    <row r="164">
      <c r="A164" s="91"/>
      <c r="B164" s="104" t="s">
        <v>853</v>
      </c>
      <c r="C164" s="104" t="s">
        <v>854</v>
      </c>
      <c r="D164" s="91"/>
      <c r="E164" s="104" t="s">
        <v>855</v>
      </c>
      <c r="F164" s="91"/>
      <c r="G164" s="104" t="s">
        <v>856</v>
      </c>
      <c r="H164" s="91"/>
      <c r="I164" s="101"/>
      <c r="J164" s="91"/>
      <c r="K164" s="105">
        <v>20800.0</v>
      </c>
      <c r="L164" s="91"/>
      <c r="M164" s="105">
        <v>0.0</v>
      </c>
      <c r="N164" s="91"/>
      <c r="O164" s="105">
        <v>0.0</v>
      </c>
      <c r="P164" s="101"/>
      <c r="Q164" s="104" t="s">
        <v>857</v>
      </c>
      <c r="S164" s="101"/>
      <c r="T164" s="101"/>
      <c r="U164" s="101"/>
      <c r="V164" s="101"/>
    </row>
    <row r="165">
      <c r="A165" s="100" t="s">
        <v>858</v>
      </c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102"/>
      <c r="N165" s="91"/>
      <c r="O165" s="91"/>
      <c r="P165" s="91"/>
      <c r="Q165" s="91"/>
      <c r="R165" s="91"/>
      <c r="S165" s="91"/>
      <c r="T165" s="91"/>
      <c r="U165" s="91"/>
      <c r="V165" s="91"/>
    </row>
    <row r="166">
      <c r="A166" s="91"/>
      <c r="B166" s="104" t="s">
        <v>859</v>
      </c>
      <c r="C166" s="104" t="s">
        <v>860</v>
      </c>
      <c r="D166" s="91"/>
      <c r="E166" s="104" t="s">
        <v>861</v>
      </c>
      <c r="F166" s="91"/>
      <c r="G166" s="104" t="s">
        <v>862</v>
      </c>
      <c r="H166" s="91"/>
      <c r="I166" s="101"/>
      <c r="J166" s="91"/>
      <c r="K166" s="105">
        <v>0.0</v>
      </c>
      <c r="L166" s="91"/>
      <c r="M166" s="105">
        <v>0.0</v>
      </c>
      <c r="N166" s="91"/>
      <c r="O166" s="105">
        <v>0.0</v>
      </c>
      <c r="P166" s="101"/>
      <c r="Q166" s="104" t="s">
        <v>863</v>
      </c>
      <c r="S166" s="101"/>
      <c r="T166" s="101"/>
      <c r="U166" s="101"/>
      <c r="V166" s="101"/>
    </row>
    <row r="167">
      <c r="A167" s="91"/>
      <c r="B167" s="104" t="s">
        <v>864</v>
      </c>
      <c r="C167" s="104" t="s">
        <v>865</v>
      </c>
      <c r="D167" s="91"/>
      <c r="E167" s="104" t="s">
        <v>866</v>
      </c>
      <c r="F167" s="91"/>
      <c r="G167" s="104" t="s">
        <v>867</v>
      </c>
      <c r="H167" s="91"/>
      <c r="I167" s="101"/>
      <c r="J167" s="91"/>
      <c r="K167" s="105">
        <v>0.0</v>
      </c>
      <c r="L167" s="91"/>
      <c r="M167" s="105">
        <v>0.0</v>
      </c>
      <c r="N167" s="91"/>
      <c r="O167" s="105">
        <v>0.0</v>
      </c>
      <c r="P167" s="101"/>
      <c r="Q167" s="104" t="s">
        <v>868</v>
      </c>
      <c r="S167" s="101"/>
      <c r="T167" s="101"/>
      <c r="U167" s="101"/>
      <c r="V167" s="101"/>
    </row>
    <row r="168">
      <c r="A168" s="91"/>
      <c r="B168" s="104" t="s">
        <v>869</v>
      </c>
      <c r="C168" s="104" t="s">
        <v>870</v>
      </c>
      <c r="D168" s="91"/>
      <c r="E168" s="104" t="s">
        <v>871</v>
      </c>
      <c r="F168" s="91"/>
      <c r="G168" s="104" t="s">
        <v>872</v>
      </c>
      <c r="H168" s="91"/>
      <c r="I168" s="101"/>
      <c r="J168" s="91"/>
      <c r="K168" s="105">
        <v>165000.0</v>
      </c>
      <c r="L168" s="91"/>
      <c r="M168" s="105">
        <v>0.0</v>
      </c>
      <c r="N168" s="91"/>
      <c r="O168" s="105">
        <v>0.0</v>
      </c>
      <c r="P168" s="101"/>
      <c r="Q168" s="104" t="s">
        <v>873</v>
      </c>
      <c r="S168" s="101"/>
      <c r="T168" s="101"/>
      <c r="U168" s="101"/>
      <c r="V168" s="101"/>
    </row>
    <row r="169">
      <c r="A169" s="91"/>
      <c r="B169" s="104" t="s">
        <v>874</v>
      </c>
      <c r="C169" s="104" t="s">
        <v>875</v>
      </c>
      <c r="D169" s="91"/>
      <c r="E169" s="104" t="s">
        <v>876</v>
      </c>
      <c r="F169" s="91"/>
      <c r="G169" s="104" t="s">
        <v>877</v>
      </c>
      <c r="H169" s="91"/>
      <c r="I169" s="101"/>
      <c r="J169" s="91"/>
      <c r="K169" s="105">
        <v>151000.0</v>
      </c>
      <c r="L169" s="91"/>
      <c r="M169" s="105">
        <v>0.0</v>
      </c>
      <c r="N169" s="91"/>
      <c r="O169" s="105">
        <v>0.0</v>
      </c>
      <c r="P169" s="101"/>
      <c r="Q169" s="104" t="s">
        <v>878</v>
      </c>
      <c r="S169" s="101"/>
      <c r="T169" s="101"/>
      <c r="U169" s="101"/>
      <c r="V169" s="101"/>
    </row>
    <row r="170">
      <c r="A170" s="91"/>
      <c r="B170" s="104" t="s">
        <v>879</v>
      </c>
      <c r="C170" s="104" t="s">
        <v>880</v>
      </c>
      <c r="D170" s="91"/>
      <c r="E170" s="104" t="s">
        <v>881</v>
      </c>
      <c r="F170" s="91"/>
      <c r="G170" s="104" t="s">
        <v>882</v>
      </c>
      <c r="H170" s="91"/>
      <c r="I170" s="91"/>
      <c r="J170" s="91"/>
      <c r="K170" s="105">
        <v>62900.0</v>
      </c>
      <c r="L170" s="91"/>
      <c r="M170" s="105">
        <v>0.0</v>
      </c>
      <c r="N170" s="91"/>
      <c r="O170" s="105">
        <v>0.0</v>
      </c>
      <c r="P170" s="101"/>
      <c r="Q170" s="104" t="s">
        <v>883</v>
      </c>
      <c r="S170" s="101"/>
      <c r="T170" s="101"/>
      <c r="U170" s="101"/>
      <c r="V170" s="101"/>
    </row>
    <row r="171">
      <c r="A171" s="91"/>
      <c r="B171" s="104" t="s">
        <v>884</v>
      </c>
      <c r="C171" s="104" t="s">
        <v>885</v>
      </c>
      <c r="D171" s="91"/>
      <c r="E171" s="104" t="s">
        <v>886</v>
      </c>
      <c r="F171" s="91"/>
      <c r="G171" s="104" t="s">
        <v>887</v>
      </c>
      <c r="H171" s="91"/>
      <c r="I171" s="91"/>
      <c r="J171" s="91"/>
      <c r="K171" s="105">
        <v>143000.0</v>
      </c>
      <c r="L171" s="91"/>
      <c r="M171" s="105">
        <v>0.0</v>
      </c>
      <c r="N171" s="91"/>
      <c r="O171" s="105">
        <v>0.0</v>
      </c>
      <c r="P171" s="91"/>
      <c r="Q171" s="104" t="s">
        <v>888</v>
      </c>
      <c r="S171" s="91"/>
      <c r="T171" s="91"/>
      <c r="U171" s="91"/>
      <c r="V171" s="91"/>
    </row>
    <row r="172">
      <c r="A172" s="91"/>
      <c r="B172" s="104" t="s">
        <v>889</v>
      </c>
      <c r="C172" s="104" t="s">
        <v>890</v>
      </c>
      <c r="D172" s="91"/>
      <c r="E172" s="104" t="s">
        <v>891</v>
      </c>
      <c r="F172" s="91"/>
      <c r="G172" s="104" t="s">
        <v>892</v>
      </c>
      <c r="H172" s="91"/>
      <c r="I172" s="91"/>
      <c r="J172" s="91"/>
      <c r="K172" s="105">
        <v>61900.0</v>
      </c>
      <c r="L172" s="91"/>
      <c r="M172" s="105">
        <v>0.0</v>
      </c>
      <c r="N172" s="91"/>
      <c r="O172" s="105">
        <v>0.0</v>
      </c>
      <c r="P172" s="91"/>
      <c r="Q172" s="104" t="s">
        <v>893</v>
      </c>
      <c r="S172" s="91"/>
      <c r="T172" s="91"/>
      <c r="U172" s="91"/>
      <c r="V172" s="91"/>
    </row>
    <row r="173">
      <c r="A173" s="91"/>
      <c r="B173" s="104" t="s">
        <v>894</v>
      </c>
      <c r="C173" s="104" t="s">
        <v>895</v>
      </c>
      <c r="D173" s="91"/>
      <c r="E173" s="104" t="s">
        <v>896</v>
      </c>
      <c r="F173" s="91"/>
      <c r="G173" s="104" t="s">
        <v>897</v>
      </c>
      <c r="H173" s="91"/>
      <c r="I173" s="91"/>
      <c r="J173" s="91"/>
      <c r="K173" s="105">
        <v>0.0</v>
      </c>
      <c r="L173" s="91"/>
      <c r="M173" s="105">
        <v>0.0</v>
      </c>
      <c r="N173" s="91"/>
      <c r="O173" s="105">
        <v>0.0</v>
      </c>
      <c r="P173" s="91"/>
      <c r="Q173" s="104" t="s">
        <v>898</v>
      </c>
      <c r="S173" s="91"/>
      <c r="T173" s="91"/>
      <c r="U173" s="91"/>
      <c r="V173" s="91"/>
    </row>
    <row r="174">
      <c r="A174" s="91"/>
      <c r="B174" s="104" t="s">
        <v>899</v>
      </c>
      <c r="C174" s="104" t="s">
        <v>900</v>
      </c>
      <c r="D174" s="91"/>
      <c r="E174" s="104" t="s">
        <v>901</v>
      </c>
      <c r="F174" s="91"/>
      <c r="G174" s="104" t="s">
        <v>902</v>
      </c>
      <c r="H174" s="91"/>
      <c r="I174" s="91"/>
      <c r="J174" s="91"/>
      <c r="K174" s="105">
        <v>0.0</v>
      </c>
      <c r="L174" s="91"/>
      <c r="M174" s="105">
        <v>0.0</v>
      </c>
      <c r="N174" s="91"/>
      <c r="O174" s="105">
        <v>0.0</v>
      </c>
      <c r="P174" s="91"/>
      <c r="Q174" s="104" t="s">
        <v>903</v>
      </c>
      <c r="S174" s="91"/>
      <c r="T174" s="91"/>
      <c r="U174" s="91"/>
      <c r="V174" s="91"/>
    </row>
    <row r="175">
      <c r="A175" s="91"/>
      <c r="B175" s="104" t="s">
        <v>904</v>
      </c>
      <c r="C175" s="104" t="s">
        <v>905</v>
      </c>
      <c r="D175" s="91"/>
      <c r="E175" s="104" t="s">
        <v>906</v>
      </c>
      <c r="F175" s="91"/>
      <c r="G175" s="104" t="s">
        <v>907</v>
      </c>
      <c r="H175" s="91"/>
      <c r="I175" s="91"/>
      <c r="J175" s="91"/>
      <c r="K175" s="105">
        <v>0.0</v>
      </c>
      <c r="L175" s="91"/>
      <c r="M175" s="105">
        <v>0.0</v>
      </c>
      <c r="N175" s="91"/>
      <c r="O175" s="105">
        <v>0.0</v>
      </c>
      <c r="P175" s="91"/>
      <c r="Q175" s="104" t="s">
        <v>908</v>
      </c>
      <c r="S175" s="91"/>
      <c r="T175" s="91"/>
      <c r="U175" s="91"/>
      <c r="V175" s="91"/>
    </row>
    <row r="176">
      <c r="A176" s="91"/>
      <c r="B176" s="104" t="s">
        <v>909</v>
      </c>
      <c r="C176" s="104" t="s">
        <v>910</v>
      </c>
      <c r="D176" s="91"/>
      <c r="E176" s="104" t="s">
        <v>911</v>
      </c>
      <c r="F176" s="91"/>
      <c r="G176" s="104" t="s">
        <v>912</v>
      </c>
      <c r="H176" s="91"/>
      <c r="I176" s="91"/>
      <c r="J176" s="91"/>
      <c r="K176" s="105">
        <v>75900.0</v>
      </c>
      <c r="L176" s="91"/>
      <c r="M176" s="105">
        <v>0.0</v>
      </c>
      <c r="N176" s="91"/>
      <c r="O176" s="105">
        <v>0.0</v>
      </c>
      <c r="P176" s="91"/>
      <c r="Q176" s="104" t="s">
        <v>913</v>
      </c>
      <c r="S176" s="91"/>
      <c r="T176" s="91"/>
      <c r="U176" s="91"/>
      <c r="V176" s="91"/>
    </row>
    <row r="177">
      <c r="A177" s="91"/>
      <c r="B177" s="104" t="s">
        <v>914</v>
      </c>
      <c r="C177" s="104" t="s">
        <v>915</v>
      </c>
      <c r="D177" s="91"/>
      <c r="E177" s="104" t="s">
        <v>916</v>
      </c>
      <c r="F177" s="91"/>
      <c r="G177" s="104" t="s">
        <v>917</v>
      </c>
      <c r="H177" s="91"/>
      <c r="I177" s="91"/>
      <c r="J177" s="91"/>
      <c r="K177" s="105">
        <v>0.0</v>
      </c>
      <c r="L177" s="91"/>
      <c r="M177" s="105">
        <v>0.0</v>
      </c>
      <c r="N177" s="91"/>
      <c r="O177" s="105">
        <v>0.0</v>
      </c>
      <c r="P177" s="91"/>
      <c r="Q177" s="104" t="s">
        <v>918</v>
      </c>
      <c r="S177" s="91"/>
      <c r="T177" s="91"/>
      <c r="U177" s="91"/>
      <c r="V177" s="91"/>
    </row>
    <row r="178">
      <c r="A178" s="91"/>
      <c r="B178" s="104" t="s">
        <v>919</v>
      </c>
      <c r="C178" s="104" t="s">
        <v>920</v>
      </c>
      <c r="D178" s="91"/>
      <c r="E178" s="104" t="s">
        <v>921</v>
      </c>
      <c r="F178" s="91"/>
      <c r="G178" s="104" t="s">
        <v>922</v>
      </c>
      <c r="H178" s="91"/>
      <c r="I178" s="91"/>
      <c r="J178" s="91"/>
      <c r="K178" s="105">
        <v>0.0</v>
      </c>
      <c r="L178" s="91"/>
      <c r="M178" s="105">
        <v>0.0</v>
      </c>
      <c r="N178" s="91"/>
      <c r="O178" s="105">
        <v>0.0</v>
      </c>
      <c r="P178" s="91"/>
      <c r="Q178" s="104" t="s">
        <v>923</v>
      </c>
      <c r="S178" s="91"/>
      <c r="T178" s="91"/>
      <c r="U178" s="91"/>
      <c r="V178" s="91"/>
    </row>
    <row r="179">
      <c r="A179" s="91"/>
      <c r="B179" s="104" t="s">
        <v>925</v>
      </c>
      <c r="C179" s="104" t="s">
        <v>926</v>
      </c>
      <c r="D179" s="91"/>
      <c r="E179" s="104" t="s">
        <v>928</v>
      </c>
      <c r="F179" s="91"/>
      <c r="G179" s="104" t="s">
        <v>929</v>
      </c>
      <c r="H179" s="91"/>
      <c r="I179" s="91"/>
      <c r="J179" s="91"/>
      <c r="K179" s="105">
        <v>50900.0</v>
      </c>
      <c r="L179" s="91"/>
      <c r="M179" s="105">
        <v>0.0</v>
      </c>
      <c r="N179" s="91"/>
      <c r="O179" s="105">
        <v>0.0</v>
      </c>
      <c r="P179" s="91"/>
      <c r="Q179" s="104" t="s">
        <v>930</v>
      </c>
      <c r="S179" s="91"/>
      <c r="T179" s="91"/>
      <c r="U179" s="91"/>
      <c r="V179" s="91"/>
    </row>
    <row r="180">
      <c r="A180" s="91"/>
      <c r="B180" s="104" t="s">
        <v>931</v>
      </c>
      <c r="C180" s="104" t="s">
        <v>932</v>
      </c>
      <c r="D180" s="91"/>
      <c r="E180" s="104" t="s">
        <v>933</v>
      </c>
      <c r="F180" s="91"/>
      <c r="G180" s="104" t="s">
        <v>934</v>
      </c>
      <c r="H180" s="91"/>
      <c r="I180" s="101"/>
      <c r="J180" s="91"/>
      <c r="K180" s="105">
        <v>0.0</v>
      </c>
      <c r="L180" s="91"/>
      <c r="M180" s="105">
        <v>0.0</v>
      </c>
      <c r="N180" s="91"/>
      <c r="O180" s="105">
        <v>0.0</v>
      </c>
      <c r="P180" s="101"/>
      <c r="Q180" s="104" t="s">
        <v>935</v>
      </c>
      <c r="S180" s="91"/>
      <c r="T180" s="91"/>
      <c r="U180" s="91"/>
      <c r="V180" s="91"/>
    </row>
    <row r="181">
      <c r="A181" s="91"/>
      <c r="B181" s="104" t="s">
        <v>936</v>
      </c>
      <c r="C181" s="104" t="s">
        <v>937</v>
      </c>
      <c r="D181" s="91"/>
      <c r="E181" s="104" t="s">
        <v>938</v>
      </c>
      <c r="F181" s="91"/>
      <c r="G181" s="104" t="s">
        <v>939</v>
      </c>
      <c r="H181" s="91"/>
      <c r="I181" s="101"/>
      <c r="J181" s="91"/>
      <c r="K181" s="105">
        <v>0.0</v>
      </c>
      <c r="L181" s="91"/>
      <c r="M181" s="105">
        <v>0.0</v>
      </c>
      <c r="N181" s="91"/>
      <c r="O181" s="105">
        <v>0.0</v>
      </c>
      <c r="P181" s="101"/>
      <c r="Q181" s="104" t="s">
        <v>940</v>
      </c>
      <c r="S181" s="101"/>
      <c r="T181" s="101"/>
      <c r="U181" s="101"/>
      <c r="V181" s="101"/>
    </row>
    <row r="182">
      <c r="A182" s="91"/>
      <c r="B182" s="104" t="s">
        <v>941</v>
      </c>
      <c r="C182" s="104" t="s">
        <v>942</v>
      </c>
      <c r="D182" s="91"/>
      <c r="E182" s="104" t="s">
        <v>943</v>
      </c>
      <c r="F182" s="91"/>
      <c r="G182" s="104" t="s">
        <v>944</v>
      </c>
      <c r="H182" s="91"/>
      <c r="I182" s="101"/>
      <c r="J182" s="91"/>
      <c r="K182" s="105">
        <v>0.0</v>
      </c>
      <c r="L182" s="91"/>
      <c r="M182" s="105">
        <v>0.0</v>
      </c>
      <c r="N182" s="91"/>
      <c r="O182" s="105">
        <v>0.0</v>
      </c>
      <c r="P182" s="101"/>
      <c r="Q182" s="104" t="s">
        <v>945</v>
      </c>
      <c r="S182" s="101"/>
      <c r="T182" s="101"/>
      <c r="U182" s="101"/>
      <c r="V182" s="101"/>
    </row>
    <row r="183">
      <c r="A183" s="91"/>
      <c r="B183" s="104" t="s">
        <v>946</v>
      </c>
      <c r="C183" s="104" t="s">
        <v>947</v>
      </c>
      <c r="D183" s="91"/>
      <c r="E183" s="104" t="s">
        <v>948</v>
      </c>
      <c r="F183" s="91"/>
      <c r="G183" s="104" t="s">
        <v>949</v>
      </c>
      <c r="H183" s="91"/>
      <c r="I183" s="101"/>
      <c r="J183" s="91"/>
      <c r="K183" s="105">
        <v>0.0</v>
      </c>
      <c r="L183" s="91"/>
      <c r="M183" s="105">
        <v>0.0</v>
      </c>
      <c r="N183" s="91"/>
      <c r="O183" s="105">
        <v>0.0</v>
      </c>
      <c r="P183" s="101"/>
      <c r="Q183" s="104" t="s">
        <v>950</v>
      </c>
      <c r="S183" s="91"/>
      <c r="T183" s="91"/>
      <c r="U183" s="91"/>
      <c r="V183" s="91"/>
    </row>
    <row r="184">
      <c r="A184" s="91"/>
      <c r="B184" s="104" t="s">
        <v>951</v>
      </c>
      <c r="C184" s="104" t="s">
        <v>952</v>
      </c>
      <c r="D184" s="91"/>
      <c r="E184" s="104" t="s">
        <v>953</v>
      </c>
      <c r="F184" s="91"/>
      <c r="G184" s="104" t="s">
        <v>954</v>
      </c>
      <c r="H184" s="91"/>
      <c r="I184" s="101"/>
      <c r="J184" s="91"/>
      <c r="K184" s="105">
        <v>56900.0</v>
      </c>
      <c r="L184" s="91"/>
      <c r="M184" s="105">
        <v>0.0</v>
      </c>
      <c r="N184" s="91"/>
      <c r="O184" s="105">
        <v>0.0</v>
      </c>
      <c r="P184" s="101"/>
      <c r="Q184" s="104" t="s">
        <v>955</v>
      </c>
      <c r="S184" s="101"/>
      <c r="T184" s="101"/>
      <c r="U184" s="101"/>
      <c r="V184" s="101"/>
    </row>
    <row r="185">
      <c r="A185" s="91"/>
      <c r="B185" s="104" t="s">
        <v>956</v>
      </c>
      <c r="C185" s="104" t="s">
        <v>957</v>
      </c>
      <c r="D185" s="91"/>
      <c r="E185" s="104" t="s">
        <v>958</v>
      </c>
      <c r="F185" s="91"/>
      <c r="G185" s="104" t="s">
        <v>959</v>
      </c>
      <c r="H185" s="91"/>
      <c r="I185" s="101"/>
      <c r="J185" s="91"/>
      <c r="K185" s="105">
        <v>0.0</v>
      </c>
      <c r="L185" s="91"/>
      <c r="M185" s="105">
        <v>0.0</v>
      </c>
      <c r="N185" s="91"/>
      <c r="O185" s="105">
        <v>0.0</v>
      </c>
      <c r="P185" s="101"/>
      <c r="Q185" s="104" t="s">
        <v>960</v>
      </c>
      <c r="S185" s="101"/>
      <c r="T185" s="101"/>
      <c r="U185" s="101"/>
      <c r="V185" s="101"/>
    </row>
    <row r="186">
      <c r="A186" s="91"/>
      <c r="B186" s="104" t="s">
        <v>961</v>
      </c>
      <c r="C186" s="104" t="s">
        <v>962</v>
      </c>
      <c r="D186" s="91"/>
      <c r="E186" s="104" t="s">
        <v>963</v>
      </c>
      <c r="F186" s="91"/>
      <c r="G186" s="104" t="s">
        <v>964</v>
      </c>
      <c r="H186" s="91"/>
      <c r="I186" s="101"/>
      <c r="J186" s="91"/>
      <c r="K186" s="105">
        <v>0.0</v>
      </c>
      <c r="L186" s="91"/>
      <c r="M186" s="105">
        <v>0.0</v>
      </c>
      <c r="N186" s="91"/>
      <c r="O186" s="105">
        <v>0.0</v>
      </c>
      <c r="P186" s="101"/>
      <c r="Q186" s="104" t="s">
        <v>965</v>
      </c>
      <c r="S186" s="101"/>
      <c r="T186" s="101"/>
      <c r="U186" s="101"/>
      <c r="V186" s="101"/>
    </row>
    <row r="187">
      <c r="A187" s="91"/>
      <c r="B187" s="104" t="s">
        <v>966</v>
      </c>
      <c r="C187" s="104" t="s">
        <v>967</v>
      </c>
      <c r="D187" s="91"/>
      <c r="E187" s="104" t="s">
        <v>968</v>
      </c>
      <c r="F187" s="91"/>
      <c r="G187" s="104" t="s">
        <v>969</v>
      </c>
      <c r="H187" s="91"/>
      <c r="I187" s="101"/>
      <c r="J187" s="91"/>
      <c r="K187" s="105">
        <v>0.0</v>
      </c>
      <c r="L187" s="91"/>
      <c r="M187" s="105">
        <v>0.0</v>
      </c>
      <c r="N187" s="91"/>
      <c r="O187" s="105">
        <v>0.0</v>
      </c>
      <c r="P187" s="101"/>
      <c r="Q187" s="104" t="s">
        <v>970</v>
      </c>
      <c r="S187" s="101"/>
      <c r="T187" s="101"/>
      <c r="U187" s="101"/>
      <c r="V187" s="101"/>
    </row>
    <row r="188">
      <c r="A188" s="91"/>
      <c r="B188" s="104" t="s">
        <v>971</v>
      </c>
      <c r="C188" s="104" t="s">
        <v>972</v>
      </c>
      <c r="D188" s="91"/>
      <c r="E188" s="104" t="s">
        <v>973</v>
      </c>
      <c r="F188" s="91"/>
      <c r="G188" s="104" t="s">
        <v>974</v>
      </c>
      <c r="H188" s="91"/>
      <c r="I188" s="101"/>
      <c r="J188" s="91"/>
      <c r="K188" s="105">
        <v>69900.0</v>
      </c>
      <c r="L188" s="91"/>
      <c r="M188" s="105">
        <v>0.0</v>
      </c>
      <c r="N188" s="91"/>
      <c r="O188" s="105">
        <v>0.0</v>
      </c>
      <c r="P188" s="101"/>
      <c r="Q188" s="104" t="s">
        <v>975</v>
      </c>
      <c r="S188" s="101"/>
      <c r="T188" s="101"/>
      <c r="U188" s="101"/>
      <c r="V188" s="101"/>
    </row>
    <row r="189">
      <c r="A189" s="91"/>
      <c r="B189" s="104" t="s">
        <v>976</v>
      </c>
      <c r="C189" s="104" t="s">
        <v>977</v>
      </c>
      <c r="D189" s="91"/>
      <c r="E189" s="104" t="s">
        <v>978</v>
      </c>
      <c r="F189" s="91"/>
      <c r="G189" s="104" t="s">
        <v>979</v>
      </c>
      <c r="H189" s="91"/>
      <c r="I189" s="101"/>
      <c r="J189" s="91"/>
      <c r="K189" s="105">
        <v>0.0</v>
      </c>
      <c r="L189" s="91"/>
      <c r="M189" s="105">
        <v>0.0</v>
      </c>
      <c r="N189" s="91"/>
      <c r="O189" s="105">
        <v>0.0</v>
      </c>
      <c r="P189" s="101"/>
      <c r="Q189" s="104" t="s">
        <v>980</v>
      </c>
      <c r="S189" s="101"/>
      <c r="T189" s="101"/>
      <c r="U189" s="101"/>
      <c r="V189" s="101"/>
    </row>
    <row r="190">
      <c r="A190" s="91"/>
      <c r="B190" s="104" t="s">
        <v>981</v>
      </c>
      <c r="C190" s="104" t="s">
        <v>982</v>
      </c>
      <c r="D190" s="91"/>
      <c r="E190" s="104" t="s">
        <v>983</v>
      </c>
      <c r="F190" s="91"/>
      <c r="G190" s="104" t="s">
        <v>984</v>
      </c>
      <c r="H190" s="91"/>
      <c r="I190" s="91"/>
      <c r="J190" s="91"/>
      <c r="K190" s="105">
        <v>0.0</v>
      </c>
      <c r="L190" s="91"/>
      <c r="M190" s="105">
        <v>0.0</v>
      </c>
      <c r="N190" s="91"/>
      <c r="O190" s="105">
        <v>0.0</v>
      </c>
      <c r="P190" s="101"/>
      <c r="Q190" s="104" t="s">
        <v>985</v>
      </c>
      <c r="S190" s="101"/>
      <c r="T190" s="101"/>
      <c r="U190" s="101"/>
      <c r="V190" s="101"/>
    </row>
    <row r="191">
      <c r="A191" s="100" t="s">
        <v>986</v>
      </c>
      <c r="C191" s="91"/>
      <c r="D191" s="91"/>
      <c r="E191" s="91"/>
      <c r="F191" s="91"/>
      <c r="G191" s="91"/>
      <c r="H191" s="91"/>
      <c r="I191" s="101"/>
      <c r="J191" s="91"/>
      <c r="K191" s="101"/>
      <c r="L191" s="91"/>
      <c r="M191" s="101"/>
      <c r="N191" s="91"/>
      <c r="O191" s="101"/>
      <c r="P191" s="101"/>
      <c r="Q191" s="91"/>
      <c r="R191" s="101"/>
      <c r="S191" s="101"/>
      <c r="T191" s="101"/>
      <c r="U191" s="101"/>
      <c r="V191" s="101"/>
    </row>
    <row r="192">
      <c r="A192" s="91"/>
      <c r="B192" s="104" t="s">
        <v>987</v>
      </c>
      <c r="C192" s="104" t="s">
        <v>988</v>
      </c>
      <c r="D192" s="91"/>
      <c r="E192" s="104" t="s">
        <v>989</v>
      </c>
      <c r="F192" s="91"/>
      <c r="G192" s="104" t="s">
        <v>990</v>
      </c>
      <c r="H192" s="91"/>
      <c r="I192" s="101"/>
      <c r="J192" s="91"/>
      <c r="K192" s="105">
        <v>99900.0</v>
      </c>
      <c r="L192" s="91"/>
      <c r="M192" s="105">
        <v>0.0</v>
      </c>
      <c r="N192" s="91"/>
      <c r="O192" s="105">
        <v>0.0</v>
      </c>
      <c r="P192" s="101"/>
      <c r="Q192" s="104" t="s">
        <v>991</v>
      </c>
      <c r="S192" s="101"/>
      <c r="T192" s="101"/>
      <c r="U192" s="101"/>
      <c r="V192" s="101"/>
    </row>
    <row r="193">
      <c r="A193" s="91"/>
      <c r="B193" s="104" t="s">
        <v>992</v>
      </c>
      <c r="C193" s="104" t="s">
        <v>993</v>
      </c>
      <c r="D193" s="91"/>
      <c r="E193" s="104" t="s">
        <v>994</v>
      </c>
      <c r="F193" s="91"/>
      <c r="G193" s="104" t="s">
        <v>995</v>
      </c>
      <c r="H193" s="91"/>
      <c r="I193" s="101"/>
      <c r="J193" s="91"/>
      <c r="K193" s="105">
        <v>28900.0</v>
      </c>
      <c r="L193" s="91"/>
      <c r="M193" s="105">
        <v>0.0</v>
      </c>
      <c r="N193" s="91"/>
      <c r="O193" s="105">
        <v>0.0</v>
      </c>
      <c r="P193" s="101"/>
      <c r="Q193" s="104" t="s">
        <v>996</v>
      </c>
      <c r="S193" s="101"/>
      <c r="T193" s="101"/>
      <c r="U193" s="101"/>
      <c r="V193" s="101"/>
    </row>
    <row r="194">
      <c r="A194" s="91"/>
      <c r="B194" s="104" t="s">
        <v>997</v>
      </c>
      <c r="C194" s="104" t="s">
        <v>998</v>
      </c>
      <c r="D194" s="91"/>
      <c r="E194" s="104" t="s">
        <v>999</v>
      </c>
      <c r="F194" s="91"/>
      <c r="G194" s="104" t="s">
        <v>1000</v>
      </c>
      <c r="H194" s="91"/>
      <c r="I194" s="101"/>
      <c r="J194" s="91"/>
      <c r="K194" s="105">
        <v>10000.0</v>
      </c>
      <c r="L194" s="91"/>
      <c r="M194" s="105">
        <v>0.0</v>
      </c>
      <c r="N194" s="91"/>
      <c r="O194" s="105">
        <v>0.0</v>
      </c>
      <c r="P194" s="101"/>
      <c r="Q194" s="104" t="s">
        <v>1001</v>
      </c>
      <c r="S194" s="101"/>
      <c r="T194" s="101"/>
      <c r="U194" s="101"/>
      <c r="V194" s="101"/>
    </row>
    <row r="195">
      <c r="A195" s="91"/>
      <c r="B195" s="104" t="s">
        <v>1002</v>
      </c>
      <c r="C195" s="104" t="s">
        <v>1003</v>
      </c>
      <c r="D195" s="91"/>
      <c r="E195" s="104" t="s">
        <v>1004</v>
      </c>
      <c r="F195" s="91"/>
      <c r="G195" s="104" t="s">
        <v>1005</v>
      </c>
      <c r="H195" s="91"/>
      <c r="I195" s="101"/>
      <c r="J195" s="91"/>
      <c r="K195" s="105">
        <v>28900.0</v>
      </c>
      <c r="L195" s="91"/>
      <c r="M195" s="105">
        <v>0.0</v>
      </c>
      <c r="N195" s="91"/>
      <c r="O195" s="105">
        <v>0.0</v>
      </c>
      <c r="P195" s="101"/>
      <c r="Q195" s="104" t="s">
        <v>1006</v>
      </c>
      <c r="S195" s="101"/>
      <c r="T195" s="101"/>
      <c r="U195" s="101"/>
      <c r="V195" s="101"/>
    </row>
    <row r="196">
      <c r="A196" s="91"/>
      <c r="B196" s="104" t="s">
        <v>1007</v>
      </c>
      <c r="C196" s="104" t="s">
        <v>1008</v>
      </c>
      <c r="D196" s="91"/>
      <c r="E196" s="104" t="s">
        <v>1009</v>
      </c>
      <c r="F196" s="91"/>
      <c r="G196" s="104" t="s">
        <v>1010</v>
      </c>
      <c r="H196" s="91"/>
      <c r="I196" s="101"/>
      <c r="J196" s="91"/>
      <c r="K196" s="105">
        <v>29900.0</v>
      </c>
      <c r="L196" s="91"/>
      <c r="M196" s="105">
        <v>0.0</v>
      </c>
      <c r="N196" s="91"/>
      <c r="O196" s="105">
        <v>0.0</v>
      </c>
      <c r="P196" s="101"/>
      <c r="Q196" s="104" t="s">
        <v>1011</v>
      </c>
      <c r="S196" s="101"/>
      <c r="T196" s="101"/>
      <c r="U196" s="101"/>
      <c r="V196" s="101"/>
    </row>
    <row r="197">
      <c r="A197" s="91"/>
      <c r="B197" s="104" t="s">
        <v>1012</v>
      </c>
      <c r="C197" s="104" t="s">
        <v>1013</v>
      </c>
      <c r="D197" s="91"/>
      <c r="E197" s="104" t="s">
        <v>1014</v>
      </c>
      <c r="F197" s="91"/>
      <c r="G197" s="104" t="s">
        <v>1015</v>
      </c>
      <c r="H197" s="91"/>
      <c r="I197" s="101"/>
      <c r="J197" s="91"/>
      <c r="K197" s="105">
        <v>14000.0</v>
      </c>
      <c r="L197" s="91"/>
      <c r="M197" s="105">
        <v>0.0</v>
      </c>
      <c r="N197" s="91"/>
      <c r="O197" s="105">
        <v>0.0</v>
      </c>
      <c r="P197" s="101"/>
      <c r="Q197" s="104" t="s">
        <v>1016</v>
      </c>
      <c r="S197" s="101"/>
      <c r="T197" s="101"/>
      <c r="U197" s="101"/>
      <c r="V197" s="101"/>
    </row>
    <row r="198">
      <c r="A198" s="91"/>
      <c r="B198" s="104" t="s">
        <v>1017</v>
      </c>
      <c r="C198" s="104" t="s">
        <v>1018</v>
      </c>
      <c r="D198" s="91"/>
      <c r="E198" s="104" t="s">
        <v>1019</v>
      </c>
      <c r="F198" s="91"/>
      <c r="G198" s="104" t="s">
        <v>1020</v>
      </c>
      <c r="H198" s="91"/>
      <c r="I198" s="91"/>
      <c r="J198" s="91"/>
      <c r="K198" s="105">
        <v>28900.0</v>
      </c>
      <c r="L198" s="91"/>
      <c r="M198" s="105">
        <v>0.0</v>
      </c>
      <c r="N198" s="91"/>
      <c r="O198" s="105">
        <v>0.0</v>
      </c>
      <c r="P198" s="91"/>
      <c r="Q198" s="104" t="s">
        <v>1021</v>
      </c>
      <c r="S198" s="91"/>
      <c r="T198" s="91"/>
      <c r="U198" s="91"/>
      <c r="V198" s="91"/>
    </row>
    <row r="199">
      <c r="A199" s="91"/>
      <c r="B199" s="104" t="s">
        <v>1022</v>
      </c>
      <c r="C199" s="104" t="s">
        <v>1023</v>
      </c>
      <c r="D199" s="91"/>
      <c r="E199" s="104" t="s">
        <v>1024</v>
      </c>
      <c r="F199" s="91"/>
      <c r="G199" s="104" t="s">
        <v>1025</v>
      </c>
      <c r="H199" s="91"/>
      <c r="I199" s="101"/>
      <c r="J199" s="91"/>
      <c r="K199" s="105">
        <v>29900.0</v>
      </c>
      <c r="L199" s="91"/>
      <c r="M199" s="105">
        <v>0.0</v>
      </c>
      <c r="N199" s="91"/>
      <c r="O199" s="105">
        <v>0.0</v>
      </c>
      <c r="P199" s="101"/>
      <c r="Q199" s="104" t="s">
        <v>1026</v>
      </c>
      <c r="S199" s="101"/>
      <c r="T199" s="101"/>
      <c r="U199" s="101"/>
      <c r="V199" s="101"/>
    </row>
    <row r="200">
      <c r="A200" s="91"/>
      <c r="B200" s="104" t="s">
        <v>1027</v>
      </c>
      <c r="C200" s="104" t="s">
        <v>1028</v>
      </c>
      <c r="D200" s="91"/>
      <c r="E200" s="104" t="s">
        <v>1029</v>
      </c>
      <c r="F200" s="91"/>
      <c r="G200" s="104" t="s">
        <v>1030</v>
      </c>
      <c r="H200" s="91"/>
      <c r="I200" s="101"/>
      <c r="J200" s="91"/>
      <c r="K200" s="105">
        <v>3000.0</v>
      </c>
      <c r="L200" s="91"/>
      <c r="M200" s="105">
        <v>0.0</v>
      </c>
      <c r="N200" s="91"/>
      <c r="O200" s="105">
        <v>0.0</v>
      </c>
      <c r="P200" s="101"/>
      <c r="Q200" s="104" t="s">
        <v>1031</v>
      </c>
      <c r="S200" s="101"/>
      <c r="T200" s="101"/>
      <c r="U200" s="101"/>
      <c r="V200" s="101"/>
    </row>
    <row r="201">
      <c r="A201" s="91"/>
      <c r="B201" s="104" t="s">
        <v>1032</v>
      </c>
      <c r="C201" s="104" t="s">
        <v>1033</v>
      </c>
      <c r="D201" s="91"/>
      <c r="E201" s="104" t="s">
        <v>1034</v>
      </c>
      <c r="F201" s="91"/>
      <c r="G201" s="104" t="s">
        <v>1035</v>
      </c>
      <c r="H201" s="91"/>
      <c r="I201" s="101"/>
      <c r="J201" s="91"/>
      <c r="K201" s="146">
        <v>38000.0</v>
      </c>
      <c r="L201" s="91"/>
      <c r="M201" s="105">
        <v>0.0</v>
      </c>
      <c r="N201" s="91"/>
      <c r="O201" s="105">
        <v>0.0</v>
      </c>
      <c r="P201" s="101"/>
      <c r="Q201" s="104" t="s">
        <v>1036</v>
      </c>
      <c r="S201" s="101"/>
      <c r="T201" s="101"/>
      <c r="U201" s="101"/>
      <c r="V201" s="101"/>
    </row>
    <row r="202">
      <c r="A202" s="91"/>
      <c r="B202" s="104" t="s">
        <v>1037</v>
      </c>
      <c r="C202" s="104" t="s">
        <v>1038</v>
      </c>
      <c r="D202" s="91"/>
      <c r="E202" s="104" t="s">
        <v>1039</v>
      </c>
      <c r="F202" s="91"/>
      <c r="G202" s="104" t="s">
        <v>1040</v>
      </c>
      <c r="H202" s="91"/>
      <c r="I202" s="101"/>
      <c r="J202" s="91"/>
      <c r="K202" s="105">
        <v>3000.0</v>
      </c>
      <c r="L202" s="91"/>
      <c r="M202" s="105">
        <v>0.0</v>
      </c>
      <c r="N202" s="91"/>
      <c r="O202" s="105">
        <v>0.0</v>
      </c>
      <c r="P202" s="101"/>
      <c r="Q202" s="104" t="s">
        <v>1041</v>
      </c>
      <c r="S202" s="101"/>
      <c r="T202" s="101"/>
      <c r="U202" s="101"/>
      <c r="V202" s="101"/>
    </row>
    <row r="203">
      <c r="A203" s="91"/>
      <c r="B203" s="104" t="s">
        <v>1042</v>
      </c>
      <c r="C203" s="104" t="s">
        <v>1043</v>
      </c>
      <c r="D203" s="91"/>
      <c r="E203" s="104" t="s">
        <v>1044</v>
      </c>
      <c r="F203" s="91"/>
      <c r="G203" s="104" t="s">
        <v>1045</v>
      </c>
      <c r="H203" s="91"/>
      <c r="I203" s="101"/>
      <c r="J203" s="91"/>
      <c r="K203" s="105">
        <v>28900.0</v>
      </c>
      <c r="L203" s="91"/>
      <c r="M203" s="105">
        <v>0.0</v>
      </c>
      <c r="N203" s="91"/>
      <c r="O203" s="105">
        <v>0.0</v>
      </c>
      <c r="P203" s="101"/>
      <c r="Q203" s="104" t="s">
        <v>1046</v>
      </c>
      <c r="S203" s="101"/>
      <c r="T203" s="101"/>
      <c r="U203" s="101"/>
      <c r="V203" s="101"/>
    </row>
    <row r="204">
      <c r="A204" s="91"/>
      <c r="B204" s="104" t="s">
        <v>1047</v>
      </c>
      <c r="C204" s="104" t="s">
        <v>1048</v>
      </c>
      <c r="D204" s="91"/>
      <c r="E204" s="104" t="s">
        <v>1049</v>
      </c>
      <c r="F204" s="91"/>
      <c r="G204" s="104" t="s">
        <v>1050</v>
      </c>
      <c r="H204" s="91"/>
      <c r="I204" s="101"/>
      <c r="J204" s="91"/>
      <c r="K204" s="146">
        <v>38000.0</v>
      </c>
      <c r="L204" s="91"/>
      <c r="M204" s="105">
        <v>0.0</v>
      </c>
      <c r="N204" s="91"/>
      <c r="O204" s="105">
        <v>0.0</v>
      </c>
      <c r="P204" s="101"/>
      <c r="Q204" s="104" t="s">
        <v>1051</v>
      </c>
      <c r="S204" s="101"/>
      <c r="T204" s="101"/>
      <c r="U204" s="101"/>
      <c r="V204" s="101"/>
    </row>
    <row r="205">
      <c r="A205" s="91"/>
      <c r="B205" s="104" t="s">
        <v>1052</v>
      </c>
      <c r="C205" s="104" t="s">
        <v>1053</v>
      </c>
      <c r="D205" s="91"/>
      <c r="E205" s="104" t="s">
        <v>1054</v>
      </c>
      <c r="F205" s="91"/>
      <c r="G205" s="104" t="s">
        <v>1055</v>
      </c>
      <c r="H205" s="91"/>
      <c r="I205" s="91"/>
      <c r="J205" s="91"/>
      <c r="K205" s="146">
        <v>38000.0</v>
      </c>
      <c r="L205" s="91"/>
      <c r="M205" s="105">
        <v>0.0</v>
      </c>
      <c r="N205" s="91"/>
      <c r="O205" s="105">
        <v>0.0</v>
      </c>
      <c r="P205" s="91"/>
      <c r="Q205" s="104" t="s">
        <v>1056</v>
      </c>
      <c r="S205" s="91"/>
      <c r="T205" s="91"/>
      <c r="U205" s="91"/>
      <c r="V205" s="91"/>
    </row>
    <row r="206">
      <c r="A206" s="91"/>
      <c r="B206" s="104" t="s">
        <v>1057</v>
      </c>
      <c r="C206" s="104" t="s">
        <v>1058</v>
      </c>
      <c r="D206" s="91"/>
      <c r="E206" s="104" t="s">
        <v>1059</v>
      </c>
      <c r="F206" s="91"/>
      <c r="G206" s="104" t="s">
        <v>1060</v>
      </c>
      <c r="H206" s="91"/>
      <c r="I206" s="91"/>
      <c r="J206" s="91"/>
      <c r="K206" s="146">
        <v>38000.0</v>
      </c>
      <c r="L206" s="91"/>
      <c r="M206" s="105">
        <v>0.0</v>
      </c>
      <c r="N206" s="91"/>
      <c r="O206" s="105">
        <v>0.0</v>
      </c>
      <c r="P206" s="91"/>
      <c r="Q206" s="104" t="s">
        <v>1061</v>
      </c>
      <c r="S206" s="91"/>
      <c r="T206" s="91"/>
      <c r="U206" s="91"/>
      <c r="V206" s="91"/>
    </row>
    <row r="207">
      <c r="A207" s="100" t="s">
        <v>1062</v>
      </c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</row>
    <row r="208">
      <c r="A208" s="91"/>
      <c r="B208" s="104" t="s">
        <v>1063</v>
      </c>
      <c r="C208" s="104" t="s">
        <v>1064</v>
      </c>
      <c r="D208" s="91"/>
      <c r="E208" s="104" t="s">
        <v>1065</v>
      </c>
      <c r="F208" s="91"/>
      <c r="G208" s="104" t="s">
        <v>1066</v>
      </c>
      <c r="H208" s="91"/>
      <c r="I208" s="91"/>
      <c r="J208" s="91"/>
      <c r="K208" s="105">
        <v>0.0</v>
      </c>
      <c r="L208" s="91"/>
      <c r="M208" s="105">
        <v>5.0</v>
      </c>
      <c r="N208" s="91"/>
      <c r="O208" s="105">
        <v>0.0</v>
      </c>
      <c r="P208" s="91"/>
      <c r="Q208" s="104" t="s">
        <v>1067</v>
      </c>
      <c r="S208" s="91"/>
      <c r="T208" s="91"/>
      <c r="U208" s="91"/>
      <c r="V208" s="91"/>
    </row>
    <row r="209">
      <c r="A209" s="91"/>
      <c r="B209" s="104" t="s">
        <v>1068</v>
      </c>
      <c r="C209" s="104" t="s">
        <v>1069</v>
      </c>
      <c r="D209" s="91"/>
      <c r="E209" s="104" t="s">
        <v>1070</v>
      </c>
      <c r="F209" s="91"/>
      <c r="G209" s="104" t="s">
        <v>1071</v>
      </c>
      <c r="H209" s="91"/>
      <c r="I209" s="91"/>
      <c r="J209" s="91"/>
      <c r="K209" s="105">
        <v>0.0</v>
      </c>
      <c r="L209" s="91"/>
      <c r="M209" s="105">
        <v>0.0</v>
      </c>
      <c r="N209" s="91"/>
      <c r="O209" s="105">
        <v>0.0</v>
      </c>
      <c r="P209" s="91"/>
      <c r="Q209" s="104" t="s">
        <v>1072</v>
      </c>
      <c r="S209" s="91"/>
      <c r="T209" s="91"/>
      <c r="U209" s="91"/>
      <c r="V209" s="91"/>
    </row>
    <row r="210">
      <c r="A210" s="91"/>
      <c r="B210" s="104" t="s">
        <v>1073</v>
      </c>
      <c r="C210" s="104" t="s">
        <v>1074</v>
      </c>
      <c r="D210" s="91"/>
      <c r="E210" s="104" t="s">
        <v>1075</v>
      </c>
      <c r="F210" s="91"/>
      <c r="G210" s="104" t="s">
        <v>1076</v>
      </c>
      <c r="H210" s="91"/>
      <c r="I210" s="91"/>
      <c r="J210" s="91"/>
      <c r="K210" s="105">
        <v>0.0</v>
      </c>
      <c r="L210" s="91"/>
      <c r="M210" s="105">
        <v>14.0</v>
      </c>
      <c r="N210" s="91"/>
      <c r="O210" s="105">
        <v>49714.28571428572</v>
      </c>
      <c r="P210" s="91"/>
      <c r="Q210" s="104" t="s">
        <v>1077</v>
      </c>
      <c r="S210" s="91"/>
      <c r="T210" s="91"/>
      <c r="U210" s="91"/>
      <c r="V210" s="91"/>
    </row>
    <row r="211">
      <c r="A211" s="91"/>
      <c r="B211" s="104" t="s">
        <v>1079</v>
      </c>
      <c r="C211" s="104" t="s">
        <v>1080</v>
      </c>
      <c r="D211" s="91"/>
      <c r="E211" s="104" t="s">
        <v>1081</v>
      </c>
      <c r="F211" s="91"/>
      <c r="G211" s="104" t="s">
        <v>1082</v>
      </c>
      <c r="H211" s="91"/>
      <c r="I211" s="91"/>
      <c r="J211" s="91"/>
      <c r="K211" s="105">
        <v>0.0</v>
      </c>
      <c r="L211" s="91"/>
      <c r="M211" s="105">
        <v>1851.0</v>
      </c>
      <c r="N211" s="91"/>
      <c r="O211" s="105">
        <v>1192.0043219881145</v>
      </c>
      <c r="P211" s="91"/>
      <c r="Q211" s="104" t="s">
        <v>1083</v>
      </c>
      <c r="S211" s="91"/>
      <c r="T211" s="91"/>
      <c r="U211" s="91"/>
      <c r="V211" s="91"/>
    </row>
    <row r="212">
      <c r="A212" s="91"/>
      <c r="B212" s="104" t="s">
        <v>1084</v>
      </c>
      <c r="C212" s="104" t="s">
        <v>1085</v>
      </c>
      <c r="D212" s="91"/>
      <c r="E212" s="104" t="s">
        <v>1086</v>
      </c>
      <c r="F212" s="91"/>
      <c r="G212" s="104" t="s">
        <v>1087</v>
      </c>
      <c r="H212" s="91"/>
      <c r="I212" s="91"/>
      <c r="J212" s="91"/>
      <c r="K212" s="105">
        <v>0.0</v>
      </c>
      <c r="L212" s="91"/>
      <c r="M212" s="105">
        <v>35.0</v>
      </c>
      <c r="N212" s="91"/>
      <c r="O212" s="105">
        <v>9114.285714285714</v>
      </c>
      <c r="P212" s="91"/>
      <c r="Q212" s="104" t="s">
        <v>1088</v>
      </c>
      <c r="S212" s="91"/>
      <c r="T212" s="91"/>
      <c r="U212" s="91"/>
      <c r="V212" s="91"/>
    </row>
    <row r="213">
      <c r="A213" s="91"/>
      <c r="B213" s="104" t="s">
        <v>1089</v>
      </c>
      <c r="C213" s="104" t="s">
        <v>1090</v>
      </c>
      <c r="D213" s="91"/>
      <c r="E213" s="104" t="s">
        <v>1091</v>
      </c>
      <c r="F213" s="91"/>
      <c r="G213" s="104" t="s">
        <v>1092</v>
      </c>
      <c r="H213" s="91"/>
      <c r="I213" s="91"/>
      <c r="J213" s="91"/>
      <c r="K213" s="105">
        <v>0.0</v>
      </c>
      <c r="L213" s="91"/>
      <c r="M213" s="105">
        <v>44.0</v>
      </c>
      <c r="N213" s="91"/>
      <c r="O213" s="105">
        <v>5454.545454545455</v>
      </c>
      <c r="P213" s="91"/>
      <c r="Q213" s="104" t="s">
        <v>1093</v>
      </c>
      <c r="S213" s="91"/>
      <c r="T213" s="91"/>
      <c r="U213" s="91"/>
      <c r="V213" s="91"/>
    </row>
    <row r="214">
      <c r="A214" s="91"/>
      <c r="B214" s="104" t="s">
        <v>1094</v>
      </c>
      <c r="C214" s="106" t="s">
        <v>10</v>
      </c>
      <c r="D214" s="91"/>
      <c r="E214" s="104" t="s">
        <v>1095</v>
      </c>
      <c r="F214" s="91"/>
      <c r="G214" s="104" t="s">
        <v>1096</v>
      </c>
      <c r="H214" s="91"/>
      <c r="I214" s="91"/>
      <c r="J214" s="91"/>
      <c r="K214" s="105">
        <v>0.0</v>
      </c>
      <c r="L214" s="91"/>
      <c r="M214" s="105">
        <v>44.0</v>
      </c>
      <c r="N214" s="91"/>
      <c r="O214" s="146">
        <v>220.0</v>
      </c>
      <c r="P214" s="91"/>
      <c r="Q214" s="104" t="s">
        <v>1097</v>
      </c>
      <c r="S214" s="91"/>
      <c r="T214" s="91"/>
      <c r="U214" s="91"/>
      <c r="V214" s="91"/>
    </row>
    <row r="215">
      <c r="A215" s="91"/>
      <c r="B215" s="104" t="s">
        <v>1098</v>
      </c>
      <c r="C215" s="104" t="s">
        <v>1099</v>
      </c>
      <c r="D215" s="91"/>
      <c r="E215" s="104" t="s">
        <v>1100</v>
      </c>
      <c r="F215" s="91"/>
      <c r="G215" s="104" t="s">
        <v>1101</v>
      </c>
      <c r="H215" s="91"/>
      <c r="I215" s="101"/>
      <c r="J215" s="91"/>
      <c r="K215" s="105">
        <v>0.0</v>
      </c>
      <c r="L215" s="91"/>
      <c r="M215" s="105">
        <v>14.0</v>
      </c>
      <c r="N215" s="91"/>
      <c r="O215" s="146">
        <v>191.0</v>
      </c>
      <c r="P215" s="101"/>
      <c r="Q215" s="104" t="s">
        <v>1102</v>
      </c>
      <c r="S215" s="101"/>
      <c r="T215" s="101"/>
      <c r="U215" s="101"/>
      <c r="V215" s="101"/>
    </row>
    <row r="216">
      <c r="A216" s="91"/>
      <c r="B216" s="104" t="s">
        <v>1103</v>
      </c>
      <c r="C216" s="104" t="s">
        <v>1104</v>
      </c>
      <c r="D216" s="91"/>
      <c r="E216" s="104" t="s">
        <v>1105</v>
      </c>
      <c r="F216" s="91"/>
      <c r="G216" s="104" t="s">
        <v>1106</v>
      </c>
      <c r="H216" s="91"/>
      <c r="I216" s="101"/>
      <c r="J216" s="91"/>
      <c r="K216" s="105">
        <v>0.0</v>
      </c>
      <c r="L216" s="91"/>
      <c r="M216" s="105">
        <v>30.0</v>
      </c>
      <c r="N216" s="91"/>
      <c r="O216" s="105">
        <v>26400.0</v>
      </c>
      <c r="P216" s="101"/>
      <c r="Q216" s="104" t="s">
        <v>1107</v>
      </c>
      <c r="S216" s="91"/>
      <c r="T216" s="91"/>
      <c r="U216" s="91"/>
      <c r="V216" s="91"/>
    </row>
    <row r="217">
      <c r="A217" s="91"/>
      <c r="B217" s="104" t="s">
        <v>1108</v>
      </c>
      <c r="C217" s="104" t="s">
        <v>1109</v>
      </c>
      <c r="D217" s="91"/>
      <c r="E217" s="104" t="s">
        <v>1110</v>
      </c>
      <c r="F217" s="91"/>
      <c r="G217" s="104" t="s">
        <v>1111</v>
      </c>
      <c r="H217" s="91"/>
      <c r="I217" s="91"/>
      <c r="J217" s="91"/>
      <c r="K217" s="105">
        <v>0.0</v>
      </c>
      <c r="L217" s="91"/>
      <c r="M217" s="105">
        <v>20.0</v>
      </c>
      <c r="N217" s="91"/>
      <c r="O217" s="105">
        <v>5200.0</v>
      </c>
      <c r="P217" s="101"/>
      <c r="Q217" s="104" t="s">
        <v>1112</v>
      </c>
      <c r="S217" s="101"/>
      <c r="T217" s="101"/>
      <c r="U217" s="101"/>
      <c r="V217" s="101"/>
    </row>
    <row r="218">
      <c r="A218" s="91"/>
      <c r="B218" s="104" t="s">
        <v>1113</v>
      </c>
      <c r="C218" s="104" t="s">
        <v>1114</v>
      </c>
      <c r="D218" s="91"/>
      <c r="E218" s="104" t="s">
        <v>1115</v>
      </c>
      <c r="F218" s="91"/>
      <c r="G218" s="104" t="s">
        <v>1116</v>
      </c>
      <c r="H218" s="91"/>
      <c r="I218" s="101"/>
      <c r="J218" s="91"/>
      <c r="K218" s="105">
        <v>0.0</v>
      </c>
      <c r="L218" s="91"/>
      <c r="M218" s="105">
        <v>3351.0</v>
      </c>
      <c r="N218" s="91"/>
      <c r="O218" s="105">
        <v>25.06714413607878</v>
      </c>
      <c r="P218" s="101"/>
      <c r="Q218" s="104" t="s">
        <v>1117</v>
      </c>
      <c r="S218" s="101"/>
      <c r="T218" s="101"/>
      <c r="U218" s="101"/>
      <c r="V218" s="101"/>
    </row>
    <row r="219">
      <c r="A219" s="91"/>
      <c r="B219" s="104" t="s">
        <v>1118</v>
      </c>
      <c r="C219" s="104" t="s">
        <v>1119</v>
      </c>
      <c r="D219" s="91"/>
      <c r="E219" s="104" t="s">
        <v>1120</v>
      </c>
      <c r="F219" s="91"/>
      <c r="G219" s="104" t="s">
        <v>1121</v>
      </c>
      <c r="H219" s="91"/>
      <c r="I219" s="101"/>
      <c r="J219" s="91"/>
      <c r="K219" s="105">
        <v>0.0</v>
      </c>
      <c r="L219" s="91"/>
      <c r="M219" s="105">
        <v>4526.0</v>
      </c>
      <c r="N219" s="91"/>
      <c r="O219" s="105">
        <v>0.0</v>
      </c>
      <c r="P219" s="101"/>
      <c r="Q219" s="104" t="s">
        <v>1122</v>
      </c>
      <c r="S219" s="101"/>
      <c r="T219" s="101"/>
      <c r="U219" s="101"/>
      <c r="V219" s="101"/>
    </row>
    <row r="220">
      <c r="A220" s="91"/>
      <c r="B220" s="104" t="s">
        <v>1123</v>
      </c>
      <c r="C220" s="104" t="s">
        <v>1124</v>
      </c>
      <c r="D220" s="91"/>
      <c r="E220" s="104" t="s">
        <v>1125</v>
      </c>
      <c r="F220" s="91"/>
      <c r="G220" s="104" t="s">
        <v>1126</v>
      </c>
      <c r="H220" s="91"/>
      <c r="I220" s="101"/>
      <c r="J220" s="91"/>
      <c r="K220" s="105">
        <v>0.0</v>
      </c>
      <c r="L220" s="91"/>
      <c r="M220" s="105">
        <v>4501.0</v>
      </c>
      <c r="N220" s="91"/>
      <c r="O220" s="105">
        <v>166.62963785825372</v>
      </c>
      <c r="P220" s="101"/>
      <c r="Q220" s="104" t="s">
        <v>1127</v>
      </c>
      <c r="S220" s="101"/>
      <c r="T220" s="101"/>
      <c r="U220" s="101"/>
      <c r="V220" s="101"/>
    </row>
    <row r="221">
      <c r="A221" s="91"/>
      <c r="B221" s="104" t="s">
        <v>1128</v>
      </c>
      <c r="C221" s="104" t="s">
        <v>1129</v>
      </c>
      <c r="D221" s="91"/>
      <c r="E221" s="104" t="s">
        <v>1130</v>
      </c>
      <c r="F221" s="91"/>
      <c r="G221" s="104" t="s">
        <v>1131</v>
      </c>
      <c r="H221" s="91"/>
      <c r="I221" s="101"/>
      <c r="J221" s="91"/>
      <c r="K221" s="105">
        <v>0.0</v>
      </c>
      <c r="L221" s="91"/>
      <c r="M221" s="105">
        <v>13.0</v>
      </c>
      <c r="N221" s="91"/>
      <c r="O221" s="105">
        <v>18977.53846153846</v>
      </c>
      <c r="P221" s="101"/>
      <c r="Q221" s="104" t="s">
        <v>1132</v>
      </c>
      <c r="S221" s="101"/>
      <c r="T221" s="101"/>
      <c r="U221" s="101"/>
      <c r="V221" s="101"/>
    </row>
    <row r="222">
      <c r="A222" s="91"/>
      <c r="B222" s="104" t="s">
        <v>1133</v>
      </c>
      <c r="C222" s="104" t="s">
        <v>1134</v>
      </c>
      <c r="D222" s="91"/>
      <c r="E222" s="104" t="s">
        <v>1135</v>
      </c>
      <c r="F222" s="91"/>
      <c r="G222" s="104" t="s">
        <v>1136</v>
      </c>
      <c r="H222" s="91"/>
      <c r="I222" s="101"/>
      <c r="J222" s="91"/>
      <c r="K222" s="105">
        <v>0.0</v>
      </c>
      <c r="L222" s="91"/>
      <c r="M222" s="105">
        <v>17.0</v>
      </c>
      <c r="N222" s="91"/>
      <c r="O222" s="105">
        <v>24271.764705882353</v>
      </c>
      <c r="P222" s="101"/>
      <c r="Q222" s="104" t="s">
        <v>1137</v>
      </c>
      <c r="S222" s="101"/>
      <c r="T222" s="101"/>
      <c r="U222" s="101"/>
      <c r="V222" s="101"/>
    </row>
    <row r="223">
      <c r="A223" s="91"/>
      <c r="B223" s="104" t="s">
        <v>1138</v>
      </c>
      <c r="C223" s="104" t="s">
        <v>1139</v>
      </c>
      <c r="D223" s="91"/>
      <c r="E223" s="104" t="s">
        <v>1140</v>
      </c>
      <c r="F223" s="91"/>
      <c r="G223" s="104" t="s">
        <v>1141</v>
      </c>
      <c r="H223" s="91"/>
      <c r="I223" s="101"/>
      <c r="J223" s="91"/>
      <c r="K223" s="105">
        <v>0.0</v>
      </c>
      <c r="L223" s="91"/>
      <c r="M223" s="105">
        <v>3003.0</v>
      </c>
      <c r="N223" s="91"/>
      <c r="O223" s="105">
        <v>325.1748251748252</v>
      </c>
      <c r="P223" s="101"/>
      <c r="Q223" s="104" t="s">
        <v>1142</v>
      </c>
      <c r="S223" s="101"/>
      <c r="T223" s="101"/>
      <c r="U223" s="101"/>
      <c r="V223" s="101"/>
    </row>
    <row r="224">
      <c r="A224" s="91"/>
      <c r="B224" s="104" t="s">
        <v>1143</v>
      </c>
      <c r="C224" s="104" t="s">
        <v>1144</v>
      </c>
      <c r="D224" s="91"/>
      <c r="E224" s="104" t="s">
        <v>1145</v>
      </c>
      <c r="F224" s="91"/>
      <c r="G224" s="104" t="s">
        <v>1146</v>
      </c>
      <c r="H224" s="91"/>
      <c r="I224" s="101"/>
      <c r="J224" s="91"/>
      <c r="K224" s="105">
        <v>0.0</v>
      </c>
      <c r="L224" s="91"/>
      <c r="M224" s="105">
        <v>12.0</v>
      </c>
      <c r="N224" s="91"/>
      <c r="O224" s="105">
        <v>2083.3333333333335</v>
      </c>
      <c r="P224" s="101"/>
      <c r="Q224" s="104" t="s">
        <v>1147</v>
      </c>
      <c r="S224" s="101"/>
      <c r="T224" s="101"/>
      <c r="U224" s="101"/>
      <c r="V224" s="101"/>
    </row>
    <row r="225">
      <c r="A225" s="91"/>
      <c r="B225" s="104" t="s">
        <v>1148</v>
      </c>
      <c r="C225" s="104" t="s">
        <v>1149</v>
      </c>
      <c r="D225" s="91"/>
      <c r="E225" s="104" t="s">
        <v>1150</v>
      </c>
      <c r="F225" s="91"/>
      <c r="G225" s="104" t="s">
        <v>1151</v>
      </c>
      <c r="H225" s="91"/>
      <c r="I225" s="101"/>
      <c r="J225" s="91"/>
      <c r="K225" s="105">
        <v>0.0</v>
      </c>
      <c r="L225" s="91"/>
      <c r="M225" s="105">
        <v>45.0</v>
      </c>
      <c r="N225" s="91"/>
      <c r="O225" s="105">
        <v>0.8</v>
      </c>
      <c r="P225" s="101"/>
      <c r="Q225" s="104" t="s">
        <v>1152</v>
      </c>
      <c r="S225" s="91"/>
      <c r="T225" s="91"/>
      <c r="U225" s="91"/>
      <c r="V225" s="91"/>
    </row>
    <row r="226">
      <c r="A226" s="91"/>
      <c r="B226" s="104" t="s">
        <v>1153</v>
      </c>
      <c r="C226" s="104" t="s">
        <v>1154</v>
      </c>
      <c r="D226" s="91"/>
      <c r="E226" s="104" t="s">
        <v>1155</v>
      </c>
      <c r="F226" s="91"/>
      <c r="G226" s="104" t="s">
        <v>1156</v>
      </c>
      <c r="H226" s="91"/>
      <c r="I226" s="101"/>
      <c r="J226" s="91"/>
      <c r="K226" s="105">
        <v>0.0</v>
      </c>
      <c r="L226" s="91"/>
      <c r="M226" s="105">
        <v>1350.0</v>
      </c>
      <c r="N226" s="91"/>
      <c r="O226" s="105">
        <v>780.0</v>
      </c>
      <c r="P226" s="101"/>
      <c r="Q226" s="104" t="s">
        <v>1157</v>
      </c>
      <c r="S226" s="101"/>
      <c r="T226" s="101"/>
      <c r="U226" s="101"/>
      <c r="V226" s="101"/>
    </row>
    <row r="227">
      <c r="A227" s="91"/>
      <c r="B227" s="104" t="s">
        <v>1158</v>
      </c>
      <c r="C227" s="104" t="s">
        <v>1159</v>
      </c>
      <c r="D227" s="91"/>
      <c r="E227" s="104" t="s">
        <v>1160</v>
      </c>
      <c r="F227" s="91"/>
      <c r="G227" s="104" t="s">
        <v>1161</v>
      </c>
      <c r="H227" s="91"/>
      <c r="I227" s="101"/>
      <c r="J227" s="91"/>
      <c r="K227" s="105">
        <v>0.0</v>
      </c>
      <c r="L227" s="91"/>
      <c r="M227" s="105">
        <v>20366.0</v>
      </c>
      <c r="N227" s="91"/>
      <c r="O227" s="105">
        <v>0.07689286065010312</v>
      </c>
      <c r="P227" s="101"/>
      <c r="Q227" s="104" t="s">
        <v>1162</v>
      </c>
      <c r="S227" s="101"/>
      <c r="T227" s="101"/>
      <c r="U227" s="101"/>
      <c r="V227" s="101"/>
    </row>
    <row r="228">
      <c r="A228" s="91"/>
      <c r="B228" s="104" t="s">
        <v>1163</v>
      </c>
      <c r="C228" s="104" t="s">
        <v>1164</v>
      </c>
      <c r="D228" s="91"/>
      <c r="E228" s="104" t="s">
        <v>1165</v>
      </c>
      <c r="F228" s="91"/>
      <c r="G228" s="104" t="s">
        <v>1166</v>
      </c>
      <c r="H228" s="91"/>
      <c r="I228" s="101"/>
      <c r="J228" s="91"/>
      <c r="K228" s="105">
        <v>0.0</v>
      </c>
      <c r="L228" s="91"/>
      <c r="M228" s="105">
        <v>12150.0</v>
      </c>
      <c r="N228" s="91"/>
      <c r="O228" s="105">
        <v>59.20987654320987</v>
      </c>
      <c r="P228" s="101"/>
      <c r="Q228" s="104" t="s">
        <v>1167</v>
      </c>
      <c r="S228" s="101"/>
      <c r="T228" s="101"/>
      <c r="U228" s="101"/>
      <c r="V228" s="101"/>
    </row>
    <row r="229">
      <c r="A229" s="91"/>
      <c r="B229" s="104" t="s">
        <v>1168</v>
      </c>
      <c r="C229" s="104" t="s">
        <v>1169</v>
      </c>
      <c r="D229" s="91"/>
      <c r="E229" s="104" t="s">
        <v>1170</v>
      </c>
      <c r="F229" s="91"/>
      <c r="G229" s="104" t="s">
        <v>1171</v>
      </c>
      <c r="H229" s="91"/>
      <c r="I229" s="101"/>
      <c r="J229" s="91"/>
      <c r="K229" s="105">
        <v>0.0</v>
      </c>
      <c r="L229" s="91"/>
      <c r="M229" s="105">
        <v>4064.0</v>
      </c>
      <c r="N229" s="91"/>
      <c r="O229" s="105">
        <v>376.5994094488189</v>
      </c>
      <c r="P229" s="101"/>
      <c r="Q229" s="104" t="s">
        <v>1172</v>
      </c>
      <c r="S229" s="101"/>
      <c r="T229" s="101"/>
      <c r="U229" s="101"/>
      <c r="V229" s="101"/>
    </row>
    <row r="230">
      <c r="A230" s="91"/>
      <c r="B230" s="104" t="s">
        <v>1173</v>
      </c>
      <c r="C230" s="104" t="s">
        <v>1174</v>
      </c>
      <c r="D230" s="91"/>
      <c r="E230" s="104" t="s">
        <v>1175</v>
      </c>
      <c r="F230" s="91"/>
      <c r="G230" s="104" t="s">
        <v>1176</v>
      </c>
      <c r="H230" s="91"/>
      <c r="I230" s="101"/>
      <c r="J230" s="91"/>
      <c r="K230" s="105">
        <v>0.0</v>
      </c>
      <c r="L230" s="91"/>
      <c r="M230" s="105">
        <v>1576.0</v>
      </c>
      <c r="N230" s="91"/>
      <c r="O230" s="105">
        <v>797.5</v>
      </c>
      <c r="P230" s="101"/>
      <c r="Q230" s="104" t="s">
        <v>1177</v>
      </c>
      <c r="S230" s="101"/>
      <c r="T230" s="101"/>
      <c r="U230" s="101"/>
      <c r="V230" s="101"/>
    </row>
    <row r="231">
      <c r="A231" s="100" t="s">
        <v>1178</v>
      </c>
      <c r="C231" s="91"/>
      <c r="D231" s="91"/>
      <c r="E231" s="91"/>
      <c r="F231" s="91"/>
      <c r="G231" s="91"/>
      <c r="H231" s="91"/>
      <c r="I231" s="101"/>
      <c r="J231" s="91"/>
      <c r="K231" s="101"/>
      <c r="L231" s="91"/>
      <c r="M231" s="101"/>
      <c r="N231" s="91"/>
      <c r="O231" s="101"/>
      <c r="P231" s="101"/>
      <c r="Q231" s="91"/>
      <c r="R231" s="101"/>
      <c r="S231" s="101"/>
      <c r="T231" s="101"/>
      <c r="U231" s="101"/>
      <c r="V231" s="101"/>
    </row>
    <row r="232">
      <c r="A232" s="91"/>
      <c r="B232" s="104" t="s">
        <v>1179</v>
      </c>
      <c r="C232" s="104" t="s">
        <v>1180</v>
      </c>
      <c r="D232" s="91"/>
      <c r="E232" s="104" t="s">
        <v>1181</v>
      </c>
      <c r="F232" s="91"/>
      <c r="G232" s="104" t="s">
        <v>1182</v>
      </c>
      <c r="H232" s="91"/>
      <c r="I232" s="101"/>
      <c r="J232" s="91"/>
      <c r="K232" s="105">
        <v>0.0</v>
      </c>
      <c r="L232" s="91"/>
      <c r="M232" s="105">
        <v>165441.0</v>
      </c>
      <c r="N232" s="91"/>
      <c r="O232" s="105">
        <v>20.10988811721399</v>
      </c>
      <c r="P232" s="101"/>
      <c r="Q232" s="104" t="s">
        <v>1183</v>
      </c>
      <c r="S232" s="101"/>
      <c r="T232" s="101"/>
      <c r="U232" s="101"/>
      <c r="V232" s="101"/>
    </row>
    <row r="233">
      <c r="A233" s="91"/>
      <c r="B233" s="104" t="s">
        <v>1184</v>
      </c>
      <c r="C233" s="104" t="s">
        <v>1185</v>
      </c>
      <c r="D233" s="91"/>
      <c r="E233" s="104" t="s">
        <v>1186</v>
      </c>
      <c r="F233" s="91"/>
      <c r="G233" s="104" t="s">
        <v>1187</v>
      </c>
      <c r="H233" s="91"/>
      <c r="I233" s="101"/>
      <c r="J233" s="91"/>
      <c r="K233" s="105">
        <v>0.0</v>
      </c>
      <c r="L233" s="91"/>
      <c r="M233" s="105">
        <v>15838.0</v>
      </c>
      <c r="N233" s="91"/>
      <c r="O233" s="105">
        <v>85.21625205202677</v>
      </c>
      <c r="P233" s="101"/>
      <c r="Q233" s="104" t="s">
        <v>1188</v>
      </c>
      <c r="S233" s="101"/>
      <c r="T233" s="101"/>
      <c r="U233" s="101"/>
      <c r="V233" s="101"/>
    </row>
    <row r="234">
      <c r="A234" s="91"/>
      <c r="B234" s="104" t="s">
        <v>1189</v>
      </c>
      <c r="C234" s="104" t="s">
        <v>1190</v>
      </c>
      <c r="D234" s="91"/>
      <c r="E234" s="104" t="s">
        <v>1191</v>
      </c>
      <c r="F234" s="91"/>
      <c r="G234" s="104" t="s">
        <v>1192</v>
      </c>
      <c r="H234" s="91"/>
      <c r="I234" s="101"/>
      <c r="J234" s="91"/>
      <c r="K234" s="105">
        <v>0.0</v>
      </c>
      <c r="L234" s="91"/>
      <c r="M234" s="105">
        <v>2005662.0</v>
      </c>
      <c r="N234" s="91"/>
      <c r="O234" s="105">
        <v>3.435744407582135</v>
      </c>
      <c r="P234" s="101"/>
      <c r="Q234" s="104" t="s">
        <v>1193</v>
      </c>
      <c r="S234" s="101"/>
      <c r="T234" s="101"/>
      <c r="U234" s="101"/>
      <c r="V234" s="101"/>
    </row>
    <row r="235">
      <c r="A235" s="91"/>
      <c r="B235" s="104" t="s">
        <v>1194</v>
      </c>
      <c r="C235" s="104" t="s">
        <v>1195</v>
      </c>
      <c r="D235" s="91"/>
      <c r="E235" s="104" t="s">
        <v>1196</v>
      </c>
      <c r="F235" s="91"/>
      <c r="G235" s="104" t="s">
        <v>1197</v>
      </c>
      <c r="H235" s="91"/>
      <c r="I235" s="101"/>
      <c r="J235" s="91"/>
      <c r="K235" s="105">
        <v>0.0</v>
      </c>
      <c r="L235" s="91"/>
      <c r="M235" s="105">
        <v>2589.0</v>
      </c>
      <c r="N235" s="91"/>
      <c r="O235" s="105">
        <v>44.37</v>
      </c>
      <c r="P235" s="101"/>
      <c r="Q235" s="104" t="s">
        <v>1198</v>
      </c>
      <c r="S235" s="101"/>
      <c r="T235" s="101"/>
      <c r="U235" s="101"/>
      <c r="V235" s="101"/>
    </row>
    <row r="236">
      <c r="A236" s="91"/>
      <c r="B236" s="104" t="s">
        <v>1199</v>
      </c>
      <c r="C236" s="104" t="s">
        <v>1200</v>
      </c>
      <c r="D236" s="91"/>
      <c r="E236" s="104" t="s">
        <v>1201</v>
      </c>
      <c r="F236" s="91"/>
      <c r="G236" s="104" t="s">
        <v>1202</v>
      </c>
      <c r="H236" s="91"/>
      <c r="I236" s="101"/>
      <c r="J236" s="91"/>
      <c r="K236" s="105">
        <v>0.0</v>
      </c>
      <c r="L236" s="91"/>
      <c r="M236" s="105">
        <v>9156.0</v>
      </c>
      <c r="N236" s="91"/>
      <c r="O236" s="105">
        <v>266.8632590650939</v>
      </c>
      <c r="P236" s="101"/>
      <c r="Q236" s="104" t="s">
        <v>1203</v>
      </c>
      <c r="S236" s="101"/>
      <c r="T236" s="101"/>
      <c r="U236" s="101"/>
      <c r="V236" s="101"/>
    </row>
    <row r="237">
      <c r="A237" s="91"/>
      <c r="B237" s="104" t="s">
        <v>1204</v>
      </c>
      <c r="C237" s="104" t="s">
        <v>1205</v>
      </c>
      <c r="D237" s="91"/>
      <c r="E237" s="104" t="s">
        <v>1206</v>
      </c>
      <c r="F237" s="91"/>
      <c r="G237" s="104" t="s">
        <v>1207</v>
      </c>
      <c r="H237" s="91"/>
      <c r="I237" s="101"/>
      <c r="J237" s="91"/>
      <c r="K237" s="105">
        <v>0.0</v>
      </c>
      <c r="L237" s="91"/>
      <c r="M237" s="105">
        <v>36323.0</v>
      </c>
      <c r="N237" s="91"/>
      <c r="O237" s="105">
        <v>13.474933237893346</v>
      </c>
      <c r="P237" s="101"/>
      <c r="Q237" s="104" t="s">
        <v>1208</v>
      </c>
      <c r="S237" s="101"/>
      <c r="T237" s="101"/>
      <c r="U237" s="101"/>
      <c r="V237" s="101"/>
    </row>
    <row r="238">
      <c r="A238" s="91"/>
      <c r="B238" s="104" t="s">
        <v>1209</v>
      </c>
      <c r="C238" s="104" t="s">
        <v>1210</v>
      </c>
      <c r="D238" s="91"/>
      <c r="E238" s="104" t="s">
        <v>1211</v>
      </c>
      <c r="F238" s="91"/>
      <c r="G238" s="104" t="s">
        <v>1212</v>
      </c>
      <c r="H238" s="91"/>
      <c r="I238" s="101"/>
      <c r="J238" s="91"/>
      <c r="K238" s="105">
        <v>0.0</v>
      </c>
      <c r="L238" s="91"/>
      <c r="M238" s="105">
        <v>873705.6</v>
      </c>
      <c r="N238" s="91"/>
      <c r="O238" s="105">
        <v>5.823305699311073</v>
      </c>
      <c r="P238" s="101"/>
      <c r="Q238" s="104" t="s">
        <v>1213</v>
      </c>
      <c r="S238" s="101"/>
      <c r="T238" s="101"/>
      <c r="U238" s="101"/>
      <c r="V238" s="101"/>
    </row>
    <row r="239">
      <c r="A239" s="91"/>
      <c r="B239" s="104" t="s">
        <v>1214</v>
      </c>
      <c r="C239" s="104" t="s">
        <v>1215</v>
      </c>
      <c r="D239" s="91"/>
      <c r="E239" s="104" t="s">
        <v>1216</v>
      </c>
      <c r="F239" s="91"/>
      <c r="G239" s="104" t="s">
        <v>1217</v>
      </c>
      <c r="H239" s="91"/>
      <c r="I239" s="101"/>
      <c r="J239" s="91"/>
      <c r="K239" s="105">
        <v>0.0</v>
      </c>
      <c r="L239" s="91"/>
      <c r="M239" s="105">
        <v>30360.0</v>
      </c>
      <c r="N239" s="91"/>
      <c r="O239" s="105">
        <v>21.73877470355731</v>
      </c>
      <c r="P239" s="101"/>
      <c r="Q239" s="104" t="s">
        <v>1218</v>
      </c>
      <c r="S239" s="101"/>
      <c r="T239" s="101"/>
      <c r="U239" s="101"/>
      <c r="V239" s="101"/>
    </row>
    <row r="240">
      <c r="A240" s="91"/>
      <c r="B240" s="104" t="s">
        <v>1219</v>
      </c>
      <c r="C240" s="104" t="s">
        <v>1220</v>
      </c>
      <c r="D240" s="91"/>
      <c r="E240" s="104" t="s">
        <v>1221</v>
      </c>
      <c r="F240" s="91"/>
      <c r="G240" s="104" t="s">
        <v>1222</v>
      </c>
      <c r="H240" s="91"/>
      <c r="I240" s="91"/>
      <c r="J240" s="91"/>
      <c r="K240" s="105">
        <v>0.0</v>
      </c>
      <c r="L240" s="91"/>
      <c r="M240" s="105">
        <v>107960.0</v>
      </c>
      <c r="N240" s="91"/>
      <c r="O240" s="105">
        <v>17.799833271582067</v>
      </c>
      <c r="P240" s="91"/>
      <c r="Q240" s="104" t="s">
        <v>1223</v>
      </c>
      <c r="S240" s="91"/>
      <c r="T240" s="91"/>
      <c r="U240" s="91"/>
      <c r="V240" s="91"/>
    </row>
    <row r="241">
      <c r="A241" s="91"/>
      <c r="B241" s="104" t="s">
        <v>1224</v>
      </c>
      <c r="C241" s="104" t="s">
        <v>1225</v>
      </c>
      <c r="D241" s="91"/>
      <c r="E241" s="104" t="s">
        <v>1226</v>
      </c>
      <c r="F241" s="91"/>
      <c r="G241" s="104" t="s">
        <v>1227</v>
      </c>
      <c r="H241" s="91"/>
      <c r="I241" s="91"/>
      <c r="J241" s="91"/>
      <c r="K241" s="105">
        <v>0.0</v>
      </c>
      <c r="L241" s="91"/>
      <c r="M241" s="105">
        <v>14018.0</v>
      </c>
      <c r="N241" s="91"/>
      <c r="O241" s="105">
        <v>295.0161573531174</v>
      </c>
      <c r="P241" s="91"/>
      <c r="Q241" s="104" t="s">
        <v>1228</v>
      </c>
      <c r="S241" s="91"/>
      <c r="T241" s="91"/>
      <c r="U241" s="91"/>
      <c r="V241" s="91"/>
    </row>
    <row r="242">
      <c r="A242" s="91"/>
      <c r="B242" s="104" t="s">
        <v>1229</v>
      </c>
      <c r="C242" s="104" t="s">
        <v>1230</v>
      </c>
      <c r="D242" s="91"/>
      <c r="E242" s="104" t="s">
        <v>1231</v>
      </c>
      <c r="F242" s="91"/>
      <c r="G242" s="104" t="s">
        <v>1232</v>
      </c>
      <c r="H242" s="91"/>
      <c r="I242" s="91"/>
      <c r="J242" s="91"/>
      <c r="K242" s="105">
        <v>0.0</v>
      </c>
      <c r="L242" s="91"/>
      <c r="M242" s="105">
        <v>70194.68</v>
      </c>
      <c r="N242" s="91"/>
      <c r="O242" s="105">
        <v>393.1510410871593</v>
      </c>
      <c r="P242" s="91"/>
      <c r="Q242" s="104" t="s">
        <v>1233</v>
      </c>
      <c r="S242" s="91"/>
      <c r="T242" s="91"/>
      <c r="U242" s="91"/>
      <c r="V242" s="91"/>
    </row>
    <row r="243">
      <c r="A243" s="91"/>
      <c r="B243" s="104" t="s">
        <v>1234</v>
      </c>
      <c r="C243" s="104" t="s">
        <v>1235</v>
      </c>
      <c r="D243" s="91"/>
      <c r="E243" s="104" t="s">
        <v>1236</v>
      </c>
      <c r="F243" s="91"/>
      <c r="G243" s="104" t="s">
        <v>1237</v>
      </c>
      <c r="H243" s="91"/>
      <c r="I243" s="91"/>
      <c r="J243" s="91"/>
      <c r="K243" s="105">
        <v>0.0</v>
      </c>
      <c r="L243" s="91"/>
      <c r="M243" s="105">
        <v>452656.0</v>
      </c>
      <c r="N243" s="91"/>
      <c r="O243" s="105">
        <v>7.861068891166802</v>
      </c>
      <c r="P243" s="91"/>
      <c r="Q243" s="104" t="s">
        <v>1238</v>
      </c>
      <c r="S243" s="91"/>
      <c r="T243" s="91"/>
      <c r="U243" s="91"/>
      <c r="V243" s="91"/>
    </row>
    <row r="244">
      <c r="A244" s="91"/>
      <c r="B244" s="104" t="s">
        <v>1239</v>
      </c>
      <c r="C244" s="104" t="s">
        <v>1240</v>
      </c>
      <c r="D244" s="91"/>
      <c r="E244" s="104" t="s">
        <v>1241</v>
      </c>
      <c r="F244" s="91"/>
      <c r="G244" s="104" t="s">
        <v>1242</v>
      </c>
      <c r="H244" s="91"/>
      <c r="I244" s="91"/>
      <c r="J244" s="91"/>
      <c r="K244" s="105">
        <v>0.0</v>
      </c>
      <c r="L244" s="91"/>
      <c r="M244" s="105">
        <v>1058096.72</v>
      </c>
      <c r="N244" s="91"/>
      <c r="O244" s="105">
        <v>7.165664817475287</v>
      </c>
      <c r="P244" s="91"/>
      <c r="Q244" s="104" t="s">
        <v>1243</v>
      </c>
      <c r="S244" s="91"/>
      <c r="T244" s="91"/>
      <c r="U244" s="91"/>
      <c r="V244" s="91"/>
    </row>
    <row r="245">
      <c r="A245" s="91"/>
      <c r="B245" s="104" t="s">
        <v>1244</v>
      </c>
      <c r="C245" s="104" t="s">
        <v>1245</v>
      </c>
      <c r="D245" s="91"/>
      <c r="E245" s="104" t="s">
        <v>1246</v>
      </c>
      <c r="F245" s="91"/>
      <c r="G245" s="104" t="s">
        <v>1247</v>
      </c>
      <c r="H245" s="91"/>
      <c r="I245" s="91"/>
      <c r="J245" s="91"/>
      <c r="K245" s="105">
        <v>0.0</v>
      </c>
      <c r="L245" s="91"/>
      <c r="M245" s="105">
        <v>326167.0</v>
      </c>
      <c r="N245" s="91"/>
      <c r="O245" s="105">
        <v>3.217820932221837</v>
      </c>
      <c r="P245" s="91"/>
      <c r="Q245" s="104" t="s">
        <v>1248</v>
      </c>
      <c r="S245" s="91"/>
      <c r="T245" s="91"/>
      <c r="U245" s="91"/>
      <c r="V245" s="91"/>
    </row>
    <row r="246">
      <c r="A246" s="91"/>
      <c r="B246" s="104" t="s">
        <v>1249</v>
      </c>
      <c r="C246" s="104" t="s">
        <v>1250</v>
      </c>
      <c r="D246" s="91"/>
      <c r="E246" s="104" t="s">
        <v>1251</v>
      </c>
      <c r="F246" s="91"/>
      <c r="G246" s="104" t="s">
        <v>1252</v>
      </c>
      <c r="H246" s="91"/>
      <c r="I246" s="91"/>
      <c r="J246" s="91"/>
      <c r="K246" s="105">
        <v>0.0</v>
      </c>
      <c r="L246" s="91"/>
      <c r="M246" s="105">
        <v>1213.0</v>
      </c>
      <c r="N246" s="91"/>
      <c r="O246" s="105">
        <v>66.44682605111295</v>
      </c>
      <c r="P246" s="91"/>
      <c r="Q246" s="104" t="s">
        <v>1253</v>
      </c>
      <c r="S246" s="91"/>
      <c r="T246" s="91"/>
      <c r="U246" s="91"/>
      <c r="V246" s="91"/>
    </row>
    <row r="247">
      <c r="A247" s="91"/>
      <c r="B247" s="104" t="s">
        <v>1254</v>
      </c>
      <c r="C247" s="104" t="s">
        <v>1255</v>
      </c>
      <c r="D247" s="91"/>
      <c r="E247" s="104" t="s">
        <v>1256</v>
      </c>
      <c r="F247" s="91"/>
      <c r="G247" s="104" t="s">
        <v>1257</v>
      </c>
      <c r="H247" s="91"/>
      <c r="I247" s="91"/>
      <c r="J247" s="91"/>
      <c r="K247" s="105">
        <v>0.0</v>
      </c>
      <c r="L247" s="91"/>
      <c r="M247" s="105">
        <v>614683.6</v>
      </c>
      <c r="N247" s="91"/>
      <c r="O247" s="105">
        <v>8.341754130417666</v>
      </c>
      <c r="P247" s="91"/>
      <c r="Q247" s="104" t="s">
        <v>1258</v>
      </c>
      <c r="S247" s="91"/>
      <c r="T247" s="91"/>
      <c r="U247" s="91"/>
      <c r="V247" s="91"/>
    </row>
    <row r="248">
      <c r="A248" s="91"/>
      <c r="B248" s="104" t="s">
        <v>1259</v>
      </c>
      <c r="C248" s="104" t="s">
        <v>1260</v>
      </c>
      <c r="D248" s="91"/>
      <c r="E248" s="104" t="s">
        <v>1261</v>
      </c>
      <c r="F248" s="91"/>
      <c r="G248" s="104" t="s">
        <v>1262</v>
      </c>
      <c r="H248" s="91"/>
      <c r="I248" s="91"/>
      <c r="J248" s="91"/>
      <c r="K248" s="105">
        <v>0.0</v>
      </c>
      <c r="L248" s="91"/>
      <c r="M248" s="105">
        <v>163337.0</v>
      </c>
      <c r="N248" s="91"/>
      <c r="O248" s="105">
        <v>11.58022983157521</v>
      </c>
      <c r="P248" s="91"/>
      <c r="Q248" s="104" t="s">
        <v>1263</v>
      </c>
      <c r="S248" s="91"/>
      <c r="T248" s="91"/>
      <c r="U248" s="91"/>
      <c r="V248" s="91"/>
    </row>
    <row r="249">
      <c r="A249" s="91"/>
      <c r="B249" s="104" t="s">
        <v>1264</v>
      </c>
      <c r="C249" s="104" t="s">
        <v>1265</v>
      </c>
      <c r="D249" s="91"/>
      <c r="E249" s="104" t="s">
        <v>1266</v>
      </c>
      <c r="F249" s="91"/>
      <c r="G249" s="104" t="s">
        <v>1267</v>
      </c>
      <c r="H249" s="91"/>
      <c r="I249" s="91"/>
      <c r="J249" s="91"/>
      <c r="K249" s="105">
        <v>0.0</v>
      </c>
      <c r="L249" s="91"/>
      <c r="M249" s="105">
        <v>9600.0</v>
      </c>
      <c r="N249" s="91"/>
      <c r="O249" s="105">
        <v>31.270833333333332</v>
      </c>
      <c r="P249" s="91"/>
      <c r="Q249" s="104" t="s">
        <v>1268</v>
      </c>
      <c r="S249" s="91"/>
      <c r="T249" s="91"/>
      <c r="U249" s="91"/>
      <c r="V249" s="91"/>
    </row>
    <row r="250">
      <c r="A250" s="91"/>
      <c r="B250" s="104" t="s">
        <v>1269</v>
      </c>
      <c r="C250" s="104" t="s">
        <v>1270</v>
      </c>
      <c r="D250" s="91"/>
      <c r="E250" s="104" t="s">
        <v>1271</v>
      </c>
      <c r="F250" s="91"/>
      <c r="G250" s="104" t="s">
        <v>1272</v>
      </c>
      <c r="H250" s="91"/>
      <c r="I250" s="101"/>
      <c r="J250" s="91"/>
      <c r="K250" s="105">
        <v>0.0</v>
      </c>
      <c r="L250" s="91"/>
      <c r="M250" s="105">
        <v>1487.0</v>
      </c>
      <c r="N250" s="91"/>
      <c r="O250" s="105">
        <v>108.98735707464694</v>
      </c>
      <c r="P250" s="101"/>
      <c r="Q250" s="104" t="s">
        <v>1273</v>
      </c>
      <c r="S250" s="101"/>
      <c r="T250" s="101"/>
      <c r="U250" s="101"/>
      <c r="V250" s="101"/>
    </row>
    <row r="251">
      <c r="A251" s="91"/>
      <c r="B251" s="104" t="s">
        <v>1274</v>
      </c>
      <c r="C251" s="104" t="s">
        <v>1275</v>
      </c>
      <c r="D251" s="91"/>
      <c r="E251" s="104" t="s">
        <v>1276</v>
      </c>
      <c r="F251" s="91"/>
      <c r="G251" s="104" t="s">
        <v>1277</v>
      </c>
      <c r="H251" s="91"/>
      <c r="I251" s="101"/>
      <c r="J251" s="91"/>
      <c r="K251" s="105">
        <v>0.0</v>
      </c>
      <c r="L251" s="91"/>
      <c r="M251" s="105">
        <v>54884.0</v>
      </c>
      <c r="N251" s="91"/>
      <c r="O251" s="105">
        <v>5.166168646600102</v>
      </c>
      <c r="P251" s="101"/>
      <c r="Q251" s="104" t="s">
        <v>1279</v>
      </c>
      <c r="S251" s="101"/>
      <c r="T251" s="101"/>
      <c r="U251" s="101"/>
      <c r="V251" s="101"/>
    </row>
    <row r="252">
      <c r="A252" s="91"/>
      <c r="B252" s="104" t="s">
        <v>1280</v>
      </c>
      <c r="C252" s="104" t="s">
        <v>1281</v>
      </c>
      <c r="D252" s="91"/>
      <c r="E252" s="104" t="s">
        <v>1282</v>
      </c>
      <c r="F252" s="91"/>
      <c r="G252" s="104" t="s">
        <v>1283</v>
      </c>
      <c r="H252" s="91"/>
      <c r="I252" s="101"/>
      <c r="J252" s="91"/>
      <c r="K252" s="105">
        <v>0.0</v>
      </c>
      <c r="L252" s="91"/>
      <c r="M252" s="105">
        <v>176.0</v>
      </c>
      <c r="N252" s="91"/>
      <c r="O252" s="105">
        <v>0.0</v>
      </c>
      <c r="P252" s="101"/>
      <c r="Q252" s="104" t="s">
        <v>1284</v>
      </c>
      <c r="S252" s="101"/>
      <c r="T252" s="101"/>
      <c r="U252" s="101"/>
      <c r="V252" s="101"/>
    </row>
    <row r="253">
      <c r="A253" s="91"/>
      <c r="B253" s="104" t="s">
        <v>1285</v>
      </c>
      <c r="C253" s="104" t="s">
        <v>1286</v>
      </c>
      <c r="D253" s="91"/>
      <c r="E253" s="104" t="s">
        <v>1287</v>
      </c>
      <c r="F253" s="91"/>
      <c r="G253" s="104" t="s">
        <v>1288</v>
      </c>
      <c r="H253" s="91"/>
      <c r="I253" s="91"/>
      <c r="J253" s="91"/>
      <c r="K253" s="105">
        <v>0.0</v>
      </c>
      <c r="L253" s="91"/>
      <c r="M253" s="105">
        <v>123500.0</v>
      </c>
      <c r="N253" s="91"/>
      <c r="O253" s="105">
        <v>10.773279352226721</v>
      </c>
      <c r="P253" s="101"/>
      <c r="Q253" s="104" t="s">
        <v>1289</v>
      </c>
      <c r="S253" s="101"/>
      <c r="T253" s="101"/>
      <c r="U253" s="101"/>
      <c r="V253" s="101"/>
    </row>
    <row r="254">
      <c r="A254" s="91"/>
      <c r="B254" s="104" t="s">
        <v>1290</v>
      </c>
      <c r="C254" s="104" t="s">
        <v>1291</v>
      </c>
      <c r="D254" s="91"/>
      <c r="E254" s="104" t="s">
        <v>1292</v>
      </c>
      <c r="F254" s="91"/>
      <c r="G254" s="104" t="s">
        <v>1293</v>
      </c>
      <c r="H254" s="91"/>
      <c r="I254" s="101"/>
      <c r="J254" s="91"/>
      <c r="K254" s="105">
        <v>0.0</v>
      </c>
      <c r="L254" s="91"/>
      <c r="M254" s="105">
        <v>516.31</v>
      </c>
      <c r="N254" s="91"/>
      <c r="O254" s="105">
        <v>1558.7534620673625</v>
      </c>
      <c r="P254" s="101"/>
      <c r="Q254" s="104" t="s">
        <v>1294</v>
      </c>
      <c r="S254" s="101"/>
      <c r="T254" s="101"/>
      <c r="U254" s="101"/>
      <c r="V254" s="101"/>
    </row>
    <row r="255">
      <c r="A255" s="91"/>
      <c r="B255" s="104" t="s">
        <v>1295</v>
      </c>
      <c r="C255" s="104" t="s">
        <v>1296</v>
      </c>
      <c r="D255" s="91"/>
      <c r="E255" s="104" t="s">
        <v>1297</v>
      </c>
      <c r="F255" s="91"/>
      <c r="G255" s="104" t="s">
        <v>1298</v>
      </c>
      <c r="H255" s="91"/>
      <c r="I255" s="101"/>
      <c r="J255" s="91"/>
      <c r="K255" s="105">
        <v>0.0</v>
      </c>
      <c r="L255" s="91"/>
      <c r="M255" s="105">
        <v>28750.0</v>
      </c>
      <c r="N255" s="91"/>
      <c r="O255" s="105">
        <v>15.71304347826087</v>
      </c>
      <c r="P255" s="101"/>
      <c r="Q255" s="104" t="s">
        <v>1299</v>
      </c>
      <c r="S255" s="101"/>
      <c r="T255" s="101"/>
      <c r="U255" s="101"/>
      <c r="V255" s="101"/>
    </row>
    <row r="256">
      <c r="A256" s="91"/>
      <c r="B256" s="104" t="s">
        <v>1300</v>
      </c>
      <c r="C256" s="104" t="s">
        <v>1301</v>
      </c>
      <c r="D256" s="91"/>
      <c r="E256" s="104" t="s">
        <v>1302</v>
      </c>
      <c r="F256" s="91"/>
      <c r="G256" s="104" t="s">
        <v>1303</v>
      </c>
      <c r="H256" s="91"/>
      <c r="I256" s="101"/>
      <c r="J256" s="91"/>
      <c r="K256" s="105">
        <v>0.0</v>
      </c>
      <c r="L256" s="91"/>
      <c r="M256" s="105">
        <v>109366.0</v>
      </c>
      <c r="N256" s="91"/>
      <c r="O256" s="105">
        <v>11.250041146242891</v>
      </c>
      <c r="P256" s="101"/>
      <c r="Q256" s="104" t="s">
        <v>1304</v>
      </c>
      <c r="S256" s="101"/>
      <c r="T256" s="101"/>
      <c r="U256" s="101"/>
      <c r="V256" s="101"/>
    </row>
    <row r="257">
      <c r="A257" s="91"/>
      <c r="B257" s="104" t="s">
        <v>1305</v>
      </c>
      <c r="C257" s="104" t="s">
        <v>1306</v>
      </c>
      <c r="D257" s="91"/>
      <c r="E257" s="104" t="s">
        <v>1307</v>
      </c>
      <c r="F257" s="91"/>
      <c r="G257" s="104" t="s">
        <v>1308</v>
      </c>
      <c r="H257" s="91"/>
      <c r="I257" s="101"/>
      <c r="J257" s="91"/>
      <c r="K257" s="105">
        <v>0.0</v>
      </c>
      <c r="L257" s="91"/>
      <c r="M257" s="105">
        <v>15660.0</v>
      </c>
      <c r="N257" s="91"/>
      <c r="O257" s="105">
        <v>0.0013939310344827586</v>
      </c>
      <c r="P257" s="101"/>
      <c r="Q257" s="104" t="s">
        <v>1309</v>
      </c>
      <c r="S257" s="101"/>
      <c r="T257" s="101"/>
      <c r="U257" s="101"/>
      <c r="V257" s="101"/>
    </row>
    <row r="258">
      <c r="A258" s="91"/>
      <c r="B258" s="104" t="s">
        <v>1310</v>
      </c>
      <c r="C258" s="104" t="s">
        <v>1311</v>
      </c>
      <c r="D258" s="91"/>
      <c r="E258" s="104" t="s">
        <v>1312</v>
      </c>
      <c r="F258" s="91"/>
      <c r="G258" s="104" t="s">
        <v>1313</v>
      </c>
      <c r="H258" s="91"/>
      <c r="I258" s="101"/>
      <c r="J258" s="91"/>
      <c r="K258" s="105">
        <v>0.0</v>
      </c>
      <c r="L258" s="91"/>
      <c r="M258" s="105">
        <v>17500.0</v>
      </c>
      <c r="N258" s="91"/>
      <c r="O258" s="105">
        <v>107.71428571428571</v>
      </c>
      <c r="P258" s="101"/>
      <c r="Q258" s="104" t="s">
        <v>1314</v>
      </c>
      <c r="S258" s="101"/>
      <c r="T258" s="101"/>
      <c r="U258" s="101"/>
      <c r="V258" s="101"/>
    </row>
    <row r="259">
      <c r="A259" s="91"/>
      <c r="B259" s="104" t="s">
        <v>1315</v>
      </c>
      <c r="C259" s="104" t="s">
        <v>1316</v>
      </c>
      <c r="D259" s="91"/>
      <c r="E259" s="104" t="s">
        <v>1317</v>
      </c>
      <c r="F259" s="91"/>
      <c r="G259" s="104" t="s">
        <v>1318</v>
      </c>
      <c r="H259" s="91"/>
      <c r="I259" s="101"/>
      <c r="J259" s="91"/>
      <c r="K259" s="105">
        <v>0.0</v>
      </c>
      <c r="L259" s="91"/>
      <c r="M259" s="105">
        <v>1518.0</v>
      </c>
      <c r="N259" s="91"/>
      <c r="O259" s="105">
        <v>6.824769433465086</v>
      </c>
      <c r="P259" s="101"/>
      <c r="Q259" s="104" t="s">
        <v>1319</v>
      </c>
      <c r="S259" s="101"/>
      <c r="T259" s="101"/>
      <c r="U259" s="101"/>
      <c r="V259" s="101"/>
    </row>
    <row r="260">
      <c r="A260" s="91"/>
      <c r="B260" s="104" t="s">
        <v>1320</v>
      </c>
      <c r="C260" s="104" t="s">
        <v>1321</v>
      </c>
      <c r="D260" s="91"/>
      <c r="E260" s="104" t="s">
        <v>1322</v>
      </c>
      <c r="F260" s="91"/>
      <c r="G260" s="104" t="s">
        <v>1323</v>
      </c>
      <c r="H260" s="91"/>
      <c r="I260" s="101"/>
      <c r="J260" s="91"/>
      <c r="K260" s="105">
        <v>0.0</v>
      </c>
      <c r="L260" s="91"/>
      <c r="M260" s="105">
        <v>1753180.0</v>
      </c>
      <c r="N260" s="91"/>
      <c r="O260" s="105">
        <v>4.8070573529244</v>
      </c>
      <c r="P260" s="101"/>
      <c r="Q260" s="104" t="s">
        <v>1324</v>
      </c>
      <c r="S260" s="101"/>
      <c r="T260" s="101"/>
      <c r="U260" s="101"/>
      <c r="V260" s="101"/>
    </row>
    <row r="261">
      <c r="A261" s="91"/>
      <c r="B261" s="104" t="s">
        <v>1325</v>
      </c>
      <c r="C261" s="104" t="s">
        <v>1326</v>
      </c>
      <c r="D261" s="91"/>
      <c r="E261" s="104" t="s">
        <v>1327</v>
      </c>
      <c r="F261" s="91"/>
      <c r="G261" s="104" t="s">
        <v>1328</v>
      </c>
      <c r="H261" s="91"/>
      <c r="I261" s="101"/>
      <c r="J261" s="91"/>
      <c r="K261" s="105">
        <v>0.0</v>
      </c>
      <c r="L261" s="91"/>
      <c r="M261" s="105">
        <v>440980.0</v>
      </c>
      <c r="N261" s="91"/>
      <c r="O261" s="105">
        <v>8.379629239330582</v>
      </c>
      <c r="P261" s="101"/>
      <c r="Q261" s="104" t="s">
        <v>1329</v>
      </c>
      <c r="S261" s="91"/>
      <c r="T261" s="91"/>
      <c r="U261" s="91"/>
      <c r="V261" s="91"/>
    </row>
    <row r="262">
      <c r="A262" s="91"/>
      <c r="B262" s="104" t="s">
        <v>1330</v>
      </c>
      <c r="C262" s="104" t="s">
        <v>1331</v>
      </c>
      <c r="D262" s="91"/>
      <c r="E262" s="104" t="s">
        <v>1332</v>
      </c>
      <c r="F262" s="91"/>
      <c r="G262" s="104" t="s">
        <v>1333</v>
      </c>
      <c r="H262" s="91"/>
      <c r="I262" s="101"/>
      <c r="J262" s="91"/>
      <c r="K262" s="105">
        <v>0.0</v>
      </c>
      <c r="L262" s="91"/>
      <c r="M262" s="105">
        <v>214168.0</v>
      </c>
      <c r="N262" s="91"/>
      <c r="O262" s="105">
        <v>21.78243248291061</v>
      </c>
      <c r="P262" s="101"/>
      <c r="Q262" s="104" t="s">
        <v>1334</v>
      </c>
      <c r="S262" s="101"/>
      <c r="T262" s="101"/>
      <c r="U262" s="101"/>
      <c r="V262" s="101"/>
    </row>
    <row r="263">
      <c r="A263" s="91"/>
      <c r="B263" s="104" t="s">
        <v>1335</v>
      </c>
      <c r="C263" s="104" t="s">
        <v>1336</v>
      </c>
      <c r="D263" s="91"/>
      <c r="E263" s="104" t="s">
        <v>1337</v>
      </c>
      <c r="F263" s="91"/>
      <c r="G263" s="104" t="s">
        <v>1338</v>
      </c>
      <c r="H263" s="91"/>
      <c r="I263" s="101"/>
      <c r="J263" s="91"/>
      <c r="K263" s="105">
        <v>0.0</v>
      </c>
      <c r="L263" s="91"/>
      <c r="M263" s="105">
        <v>2300.0</v>
      </c>
      <c r="N263" s="91"/>
      <c r="O263" s="105">
        <v>26.52173913043478</v>
      </c>
      <c r="P263" s="101"/>
      <c r="Q263" s="104" t="s">
        <v>1339</v>
      </c>
      <c r="S263" s="101"/>
      <c r="T263" s="101"/>
      <c r="U263" s="101"/>
      <c r="V263" s="101"/>
    </row>
    <row r="264">
      <c r="A264" s="91"/>
      <c r="B264" s="104" t="s">
        <v>1340</v>
      </c>
      <c r="C264" s="104" t="s">
        <v>1341</v>
      </c>
      <c r="D264" s="91"/>
      <c r="E264" s="104" t="s">
        <v>1342</v>
      </c>
      <c r="F264" s="91"/>
      <c r="G264" s="104" t="s">
        <v>1343</v>
      </c>
      <c r="H264" s="91"/>
      <c r="I264" s="101"/>
      <c r="J264" s="91"/>
      <c r="K264" s="105">
        <v>0.0</v>
      </c>
      <c r="L264" s="91"/>
      <c r="M264" s="105">
        <v>60.9</v>
      </c>
      <c r="N264" s="91"/>
      <c r="O264" s="105">
        <v>3372.7422003284073</v>
      </c>
      <c r="P264" s="101"/>
      <c r="Q264" s="104" t="s">
        <v>1344</v>
      </c>
      <c r="S264" s="101"/>
      <c r="T264" s="101"/>
      <c r="U264" s="101"/>
      <c r="V264" s="101"/>
    </row>
    <row r="265">
      <c r="A265" s="91"/>
      <c r="B265" s="104" t="s">
        <v>1345</v>
      </c>
      <c r="C265" s="104" t="s">
        <v>1346</v>
      </c>
      <c r="D265" s="91"/>
      <c r="E265" s="104" t="s">
        <v>1347</v>
      </c>
      <c r="F265" s="91"/>
      <c r="G265" s="104" t="s">
        <v>1348</v>
      </c>
      <c r="H265" s="91"/>
      <c r="I265" s="101"/>
      <c r="J265" s="91"/>
      <c r="K265" s="105">
        <v>0.0</v>
      </c>
      <c r="L265" s="91"/>
      <c r="M265" s="105">
        <v>241284.0</v>
      </c>
      <c r="N265" s="91"/>
      <c r="O265" s="105">
        <v>4.789036348444157</v>
      </c>
      <c r="P265" s="101"/>
      <c r="Q265" s="104" t="s">
        <v>1349</v>
      </c>
      <c r="S265" s="101"/>
      <c r="T265" s="101"/>
      <c r="U265" s="101"/>
      <c r="V265" s="101"/>
    </row>
    <row r="266">
      <c r="A266" s="91"/>
      <c r="B266" s="104" t="s">
        <v>1350</v>
      </c>
      <c r="C266" s="104" t="s">
        <v>1351</v>
      </c>
      <c r="D266" s="91"/>
      <c r="E266" s="104" t="s">
        <v>1352</v>
      </c>
      <c r="F266" s="91"/>
      <c r="G266" s="104" t="s">
        <v>1353</v>
      </c>
      <c r="H266" s="91"/>
      <c r="I266" s="101"/>
      <c r="J266" s="91"/>
      <c r="K266" s="105">
        <v>0.0</v>
      </c>
      <c r="L266" s="91"/>
      <c r="M266" s="105">
        <v>945.0</v>
      </c>
      <c r="N266" s="91"/>
      <c r="O266" s="105">
        <v>577.2063492063492</v>
      </c>
      <c r="P266" s="101"/>
      <c r="Q266" s="104" t="s">
        <v>1354</v>
      </c>
      <c r="S266" s="101"/>
      <c r="T266" s="101"/>
      <c r="U266" s="101"/>
      <c r="V266" s="101"/>
    </row>
    <row r="267">
      <c r="A267" s="91"/>
      <c r="B267" s="104" t="s">
        <v>1355</v>
      </c>
      <c r="C267" s="104" t="s">
        <v>1356</v>
      </c>
      <c r="D267" s="91"/>
      <c r="E267" s="104" t="s">
        <v>1357</v>
      </c>
      <c r="F267" s="91"/>
      <c r="G267" s="104" t="s">
        <v>1358</v>
      </c>
      <c r="H267" s="91"/>
      <c r="I267" s="101"/>
      <c r="J267" s="91"/>
      <c r="K267" s="105">
        <v>0.0</v>
      </c>
      <c r="L267" s="91"/>
      <c r="M267" s="105">
        <v>82596.0</v>
      </c>
      <c r="N267" s="91"/>
      <c r="O267" s="105">
        <v>11.780618916170274</v>
      </c>
      <c r="P267" s="101"/>
      <c r="Q267" s="104" t="s">
        <v>1359</v>
      </c>
      <c r="S267" s="101"/>
      <c r="T267" s="101"/>
      <c r="U267" s="101"/>
      <c r="V267" s="101"/>
    </row>
    <row r="268">
      <c r="A268" s="91"/>
      <c r="B268" s="104" t="s">
        <v>1360</v>
      </c>
      <c r="C268" s="104" t="s">
        <v>1361</v>
      </c>
      <c r="D268" s="91"/>
      <c r="E268" s="104" t="s">
        <v>1362</v>
      </c>
      <c r="F268" s="91"/>
      <c r="G268" s="104" t="s">
        <v>1363</v>
      </c>
      <c r="H268" s="91"/>
      <c r="I268" s="91"/>
      <c r="J268" s="91"/>
      <c r="K268" s="105">
        <v>0.0</v>
      </c>
      <c r="L268" s="91"/>
      <c r="M268" s="105">
        <v>28140.0</v>
      </c>
      <c r="N268" s="91"/>
      <c r="O268" s="105">
        <v>16.439232409381663</v>
      </c>
      <c r="P268" s="101"/>
      <c r="Q268" s="104" t="s">
        <v>1364</v>
      </c>
      <c r="S268" s="101"/>
      <c r="T268" s="101"/>
      <c r="U268" s="101"/>
      <c r="V268" s="101"/>
    </row>
    <row r="269">
      <c r="A269" s="91"/>
      <c r="B269" s="104" t="s">
        <v>1365</v>
      </c>
      <c r="C269" s="104" t="s">
        <v>1366</v>
      </c>
      <c r="D269" s="91"/>
      <c r="E269" s="104" t="s">
        <v>1367</v>
      </c>
      <c r="F269" s="91"/>
      <c r="G269" s="104" t="s">
        <v>1368</v>
      </c>
      <c r="H269" s="91"/>
      <c r="I269" s="101"/>
      <c r="J269" s="91"/>
      <c r="K269" s="105">
        <v>0.0</v>
      </c>
      <c r="L269" s="91"/>
      <c r="M269" s="105">
        <v>2819.0</v>
      </c>
      <c r="N269" s="91"/>
      <c r="O269" s="105">
        <v>143.02944306491665</v>
      </c>
      <c r="P269" s="101"/>
      <c r="Q269" s="104" t="s">
        <v>1370</v>
      </c>
      <c r="S269" s="101"/>
      <c r="T269" s="101"/>
      <c r="U269" s="101"/>
      <c r="V269" s="101"/>
    </row>
    <row r="270">
      <c r="A270" s="91"/>
      <c r="B270" s="104" t="s">
        <v>1371</v>
      </c>
      <c r="C270" s="104" t="s">
        <v>1372</v>
      </c>
      <c r="D270" s="91"/>
      <c r="E270" s="104" t="s">
        <v>1373</v>
      </c>
      <c r="F270" s="91"/>
      <c r="G270" s="104" t="s">
        <v>1374</v>
      </c>
      <c r="H270" s="91"/>
      <c r="I270" s="101"/>
      <c r="J270" s="91"/>
      <c r="K270" s="105">
        <v>0.0</v>
      </c>
      <c r="L270" s="91"/>
      <c r="M270" s="105">
        <v>5018.0</v>
      </c>
      <c r="N270" s="91"/>
      <c r="O270" s="105">
        <v>618.9318453567158</v>
      </c>
      <c r="P270" s="101"/>
      <c r="Q270" s="104" t="s">
        <v>1375</v>
      </c>
      <c r="S270" s="101"/>
      <c r="T270" s="101"/>
      <c r="U270" s="101"/>
      <c r="V270" s="101"/>
    </row>
    <row r="271">
      <c r="A271" s="91"/>
      <c r="B271" s="104" t="s">
        <v>1376</v>
      </c>
      <c r="C271" s="104" t="s">
        <v>1377</v>
      </c>
      <c r="D271" s="91"/>
      <c r="E271" s="104" t="s">
        <v>1378</v>
      </c>
      <c r="F271" s="91"/>
      <c r="G271" s="104" t="s">
        <v>1379</v>
      </c>
      <c r="H271" s="91"/>
      <c r="I271" s="101"/>
      <c r="J271" s="91"/>
      <c r="K271" s="105">
        <v>0.0</v>
      </c>
      <c r="L271" s="91"/>
      <c r="M271" s="105">
        <v>147.0</v>
      </c>
      <c r="N271" s="91"/>
      <c r="O271" s="105">
        <v>0.0</v>
      </c>
      <c r="P271" s="101"/>
      <c r="Q271" s="104" t="s">
        <v>1382</v>
      </c>
      <c r="S271" s="101"/>
      <c r="T271" s="101"/>
      <c r="U271" s="101"/>
      <c r="V271" s="101"/>
    </row>
    <row r="272">
      <c r="A272" s="91"/>
      <c r="B272" s="104" t="s">
        <v>1383</v>
      </c>
      <c r="C272" s="104" t="s">
        <v>1384</v>
      </c>
      <c r="D272" s="91"/>
      <c r="E272" s="104" t="s">
        <v>1385</v>
      </c>
      <c r="F272" s="91"/>
      <c r="G272" s="104" t="s">
        <v>1386</v>
      </c>
      <c r="H272" s="91"/>
      <c r="I272" s="101"/>
      <c r="J272" s="91"/>
      <c r="K272" s="105">
        <v>0.0</v>
      </c>
      <c r="L272" s="91"/>
      <c r="M272" s="105">
        <v>133.0</v>
      </c>
      <c r="N272" s="91"/>
      <c r="O272" s="105">
        <v>0.0</v>
      </c>
      <c r="P272" s="101"/>
      <c r="Q272" s="104" t="s">
        <v>1387</v>
      </c>
      <c r="S272" s="101"/>
      <c r="T272" s="101"/>
      <c r="U272" s="101"/>
      <c r="V272" s="101"/>
    </row>
    <row r="273">
      <c r="A273" s="91"/>
      <c r="B273" s="104" t="s">
        <v>1388</v>
      </c>
      <c r="C273" s="104" t="s">
        <v>1389</v>
      </c>
      <c r="D273" s="91"/>
      <c r="E273" s="104" t="s">
        <v>1390</v>
      </c>
      <c r="F273" s="91"/>
      <c r="G273" s="104" t="s">
        <v>1391</v>
      </c>
      <c r="H273" s="91"/>
      <c r="I273" s="101"/>
      <c r="J273" s="91"/>
      <c r="K273" s="105">
        <v>0.0</v>
      </c>
      <c r="L273" s="91"/>
      <c r="M273" s="105">
        <v>16184.0</v>
      </c>
      <c r="N273" s="91"/>
      <c r="O273" s="105">
        <v>0.0</v>
      </c>
      <c r="P273" s="101"/>
      <c r="Q273" s="104" t="s">
        <v>1392</v>
      </c>
      <c r="S273" s="101"/>
      <c r="T273" s="101"/>
      <c r="U273" s="101"/>
      <c r="V273" s="101"/>
    </row>
    <row r="274">
      <c r="A274" s="91"/>
      <c r="B274" s="104" t="s">
        <v>1393</v>
      </c>
      <c r="C274" s="104" t="s">
        <v>1394</v>
      </c>
      <c r="D274" s="91"/>
      <c r="E274" s="104" t="s">
        <v>1395</v>
      </c>
      <c r="F274" s="91"/>
      <c r="G274" s="104" t="s">
        <v>1396</v>
      </c>
      <c r="H274" s="91"/>
      <c r="I274" s="101"/>
      <c r="J274" s="91"/>
      <c r="K274" s="105">
        <v>0.0</v>
      </c>
      <c r="L274" s="91"/>
      <c r="M274" s="105">
        <v>138989.3</v>
      </c>
      <c r="N274" s="91"/>
      <c r="O274" s="105">
        <v>10.832133121038813</v>
      </c>
      <c r="P274" s="101"/>
      <c r="Q274" s="104" t="s">
        <v>1397</v>
      </c>
      <c r="S274" s="101"/>
      <c r="T274" s="101"/>
      <c r="U274" s="101"/>
      <c r="V274" s="101"/>
    </row>
    <row r="275">
      <c r="A275" s="91"/>
      <c r="B275" s="104" t="s">
        <v>1398</v>
      </c>
      <c r="C275" s="104" t="s">
        <v>1399</v>
      </c>
      <c r="D275" s="91"/>
      <c r="E275" s="104" t="s">
        <v>1400</v>
      </c>
      <c r="F275" s="91"/>
      <c r="G275" s="104" t="s">
        <v>1401</v>
      </c>
      <c r="H275" s="91"/>
      <c r="I275" s="91"/>
      <c r="J275" s="91"/>
      <c r="K275" s="105">
        <v>0.0</v>
      </c>
      <c r="L275" s="91"/>
      <c r="M275" s="105">
        <v>89843.0</v>
      </c>
      <c r="N275" s="91"/>
      <c r="O275" s="105">
        <v>9.166242986543192</v>
      </c>
      <c r="P275" s="91"/>
      <c r="Q275" s="104" t="s">
        <v>1402</v>
      </c>
      <c r="S275" s="91"/>
      <c r="T275" s="91"/>
      <c r="U275" s="91"/>
      <c r="V275" s="91"/>
    </row>
    <row r="276">
      <c r="A276" s="91"/>
      <c r="B276" s="104" t="s">
        <v>1403</v>
      </c>
      <c r="C276" s="104" t="s">
        <v>1404</v>
      </c>
      <c r="D276" s="91"/>
      <c r="E276" s="104" t="s">
        <v>1405</v>
      </c>
      <c r="F276" s="91"/>
      <c r="G276" s="104" t="s">
        <v>1406</v>
      </c>
      <c r="H276" s="91"/>
      <c r="I276" s="91"/>
      <c r="J276" s="91"/>
      <c r="K276" s="105">
        <v>0.0</v>
      </c>
      <c r="L276" s="91"/>
      <c r="M276" s="105">
        <v>105449.0</v>
      </c>
      <c r="N276" s="91"/>
      <c r="O276" s="105">
        <v>12.159802368917676</v>
      </c>
      <c r="P276" s="91"/>
      <c r="Q276" s="104" t="s">
        <v>1407</v>
      </c>
      <c r="S276" s="91"/>
      <c r="T276" s="91"/>
      <c r="U276" s="91"/>
      <c r="V276" s="91"/>
    </row>
    <row r="277">
      <c r="A277" s="91"/>
      <c r="B277" s="104" t="s">
        <v>1408</v>
      </c>
      <c r="C277" s="104" t="s">
        <v>1409</v>
      </c>
      <c r="D277" s="91"/>
      <c r="E277" s="104" t="s">
        <v>1410</v>
      </c>
      <c r="F277" s="91"/>
      <c r="G277" s="104" t="s">
        <v>1411</v>
      </c>
      <c r="H277" s="91"/>
      <c r="I277" s="91"/>
      <c r="J277" s="91"/>
      <c r="K277" s="105">
        <v>0.0</v>
      </c>
      <c r="L277" s="91"/>
      <c r="M277" s="105">
        <v>363160.0</v>
      </c>
      <c r="N277" s="91"/>
      <c r="O277" s="105">
        <v>3.469651148309285</v>
      </c>
      <c r="P277" s="91"/>
      <c r="Q277" s="104" t="s">
        <v>1412</v>
      </c>
      <c r="S277" s="91"/>
      <c r="T277" s="91"/>
      <c r="U277" s="91"/>
      <c r="V277" s="91"/>
    </row>
    <row r="278">
      <c r="A278" s="91"/>
      <c r="B278" s="104" t="s">
        <v>1413</v>
      </c>
      <c r="C278" s="104" t="s">
        <v>1414</v>
      </c>
      <c r="D278" s="91"/>
      <c r="E278" s="104" t="s">
        <v>1415</v>
      </c>
      <c r="F278" s="91"/>
      <c r="G278" s="104" t="s">
        <v>1416</v>
      </c>
      <c r="H278" s="91"/>
      <c r="I278" s="91"/>
      <c r="J278" s="91"/>
      <c r="K278" s="105">
        <v>0.0</v>
      </c>
      <c r="L278" s="91"/>
      <c r="M278" s="105">
        <v>244094.0</v>
      </c>
      <c r="N278" s="91"/>
      <c r="O278" s="105">
        <v>7.072478502773522</v>
      </c>
      <c r="P278" s="91"/>
      <c r="Q278" s="104" t="s">
        <v>1417</v>
      </c>
      <c r="S278" s="91"/>
      <c r="T278" s="91"/>
      <c r="U278" s="91"/>
      <c r="V278" s="91"/>
    </row>
    <row r="279">
      <c r="A279" s="91"/>
      <c r="B279" s="104" t="s">
        <v>1418</v>
      </c>
      <c r="C279" s="104" t="s">
        <v>1419</v>
      </c>
      <c r="D279" s="91"/>
      <c r="E279" s="104" t="s">
        <v>1420</v>
      </c>
      <c r="F279" s="91"/>
      <c r="G279" s="104" t="s">
        <v>1421</v>
      </c>
      <c r="H279" s="91"/>
      <c r="I279" s="91"/>
      <c r="J279" s="91"/>
      <c r="K279" s="105">
        <v>0.0</v>
      </c>
      <c r="L279" s="91"/>
      <c r="M279" s="105">
        <v>5696.0</v>
      </c>
      <c r="N279" s="91"/>
      <c r="O279" s="105">
        <v>11.144662921348315</v>
      </c>
      <c r="P279" s="91"/>
      <c r="Q279" s="104" t="s">
        <v>1422</v>
      </c>
      <c r="S279" s="91"/>
      <c r="T279" s="91"/>
      <c r="U279" s="91"/>
      <c r="V279" s="91"/>
    </row>
    <row r="280">
      <c r="A280" s="91"/>
      <c r="B280" s="104" t="s">
        <v>1423</v>
      </c>
      <c r="C280" s="104" t="s">
        <v>1424</v>
      </c>
      <c r="D280" s="91"/>
      <c r="E280" s="104" t="s">
        <v>1425</v>
      </c>
      <c r="F280" s="91"/>
      <c r="G280" s="104" t="s">
        <v>1426</v>
      </c>
      <c r="H280" s="91"/>
      <c r="I280" s="91"/>
      <c r="J280" s="91"/>
      <c r="K280" s="105">
        <v>0.0</v>
      </c>
      <c r="L280" s="91"/>
      <c r="M280" s="105">
        <v>147500.0</v>
      </c>
      <c r="N280" s="91"/>
      <c r="O280" s="105">
        <v>29.728813518644067</v>
      </c>
      <c r="P280" s="91"/>
      <c r="Q280" s="104" t="s">
        <v>1427</v>
      </c>
      <c r="S280" s="91"/>
      <c r="T280" s="91"/>
      <c r="U280" s="91"/>
      <c r="V280" s="91"/>
    </row>
    <row r="281">
      <c r="A281" s="91"/>
      <c r="B281" s="104" t="s">
        <v>1428</v>
      </c>
      <c r="C281" s="104" t="s">
        <v>1429</v>
      </c>
      <c r="D281" s="91"/>
      <c r="E281" s="104" t="s">
        <v>1430</v>
      </c>
      <c r="F281" s="91"/>
      <c r="G281" s="104" t="s">
        <v>1431</v>
      </c>
      <c r="H281" s="91"/>
      <c r="I281" s="91"/>
      <c r="J281" s="91"/>
      <c r="K281" s="105">
        <v>0.0</v>
      </c>
      <c r="L281" s="91"/>
      <c r="M281" s="105">
        <v>54.0</v>
      </c>
      <c r="N281" s="91"/>
      <c r="O281" s="105">
        <v>0.0</v>
      </c>
      <c r="P281" s="91"/>
      <c r="Q281" s="104" t="s">
        <v>1432</v>
      </c>
      <c r="S281" s="91"/>
      <c r="T281" s="91"/>
      <c r="U281" s="91"/>
      <c r="V281" s="91"/>
    </row>
    <row r="282">
      <c r="A282" s="91"/>
      <c r="B282" s="104" t="s">
        <v>1433</v>
      </c>
      <c r="C282" s="104" t="s">
        <v>1434</v>
      </c>
      <c r="D282" s="91"/>
      <c r="E282" s="104" t="s">
        <v>1435</v>
      </c>
      <c r="F282" s="91"/>
      <c r="G282" s="104" t="s">
        <v>1436</v>
      </c>
      <c r="H282" s="91"/>
      <c r="I282" s="91"/>
      <c r="J282" s="91"/>
      <c r="K282" s="105">
        <v>0.0</v>
      </c>
      <c r="L282" s="91"/>
      <c r="M282" s="105">
        <v>795.0</v>
      </c>
      <c r="N282" s="91"/>
      <c r="O282" s="105">
        <v>400.314465408805</v>
      </c>
      <c r="P282" s="91"/>
      <c r="Q282" s="104" t="s">
        <v>1437</v>
      </c>
      <c r="S282" s="91"/>
      <c r="T282" s="91"/>
      <c r="U282" s="91"/>
      <c r="V282" s="91"/>
    </row>
    <row r="283">
      <c r="A283" s="91"/>
      <c r="B283" s="104" t="s">
        <v>1438</v>
      </c>
      <c r="C283" s="104" t="s">
        <v>1439</v>
      </c>
      <c r="D283" s="91"/>
      <c r="E283" s="104" t="s">
        <v>1440</v>
      </c>
      <c r="F283" s="91"/>
      <c r="G283" s="104" t="s">
        <v>1441</v>
      </c>
      <c r="H283" s="91"/>
      <c r="I283" s="91"/>
      <c r="J283" s="91"/>
      <c r="K283" s="105">
        <v>0.0</v>
      </c>
      <c r="L283" s="91"/>
      <c r="M283" s="105">
        <v>347153.0</v>
      </c>
      <c r="N283" s="91"/>
      <c r="O283" s="105">
        <v>0.3409274873038689</v>
      </c>
      <c r="P283" s="91"/>
      <c r="Q283" s="104" t="s">
        <v>1442</v>
      </c>
      <c r="S283" s="91"/>
      <c r="T283" s="91"/>
      <c r="U283" s="91"/>
      <c r="V283" s="91"/>
    </row>
    <row r="284">
      <c r="A284" s="91"/>
      <c r="B284" s="104" t="s">
        <v>1443</v>
      </c>
      <c r="C284" s="104" t="s">
        <v>1444</v>
      </c>
      <c r="D284" s="91"/>
      <c r="E284" s="104" t="s">
        <v>1445</v>
      </c>
      <c r="F284" s="91"/>
      <c r="G284" s="104" t="s">
        <v>1446</v>
      </c>
      <c r="H284" s="91"/>
      <c r="I284" s="91"/>
      <c r="J284" s="91"/>
      <c r="K284" s="105">
        <v>0.0</v>
      </c>
      <c r="L284" s="91"/>
      <c r="M284" s="105">
        <v>29690.9</v>
      </c>
      <c r="N284" s="91"/>
      <c r="O284" s="105">
        <v>24.75020999700245</v>
      </c>
      <c r="P284" s="91"/>
      <c r="Q284" s="104" t="s">
        <v>1447</v>
      </c>
      <c r="S284" s="91"/>
      <c r="T284" s="91"/>
      <c r="U284" s="91"/>
      <c r="V284" s="91"/>
    </row>
    <row r="285">
      <c r="A285" s="91"/>
      <c r="B285" s="104" t="s">
        <v>1448</v>
      </c>
      <c r="C285" s="104" t="s">
        <v>1449</v>
      </c>
      <c r="D285" s="91"/>
      <c r="E285" s="104" t="s">
        <v>1450</v>
      </c>
      <c r="F285" s="91"/>
      <c r="G285" s="104" t="s">
        <v>1451</v>
      </c>
      <c r="H285" s="91"/>
      <c r="I285" s="101"/>
      <c r="J285" s="91"/>
      <c r="K285" s="105">
        <v>0.0</v>
      </c>
      <c r="L285" s="91"/>
      <c r="M285" s="105">
        <v>0.0</v>
      </c>
      <c r="N285" s="91"/>
      <c r="O285" s="105">
        <v>0.0</v>
      </c>
      <c r="P285" s="101"/>
      <c r="Q285" s="104" t="s">
        <v>1452</v>
      </c>
      <c r="S285" s="101"/>
      <c r="T285" s="101"/>
      <c r="U285" s="101"/>
      <c r="V285" s="101"/>
    </row>
    <row r="286">
      <c r="A286" s="91"/>
      <c r="B286" s="104" t="s">
        <v>1453</v>
      </c>
      <c r="C286" s="104" t="s">
        <v>1454</v>
      </c>
      <c r="D286" s="91"/>
      <c r="E286" s="104" t="s">
        <v>1455</v>
      </c>
      <c r="F286" s="91"/>
      <c r="G286" s="104" t="s">
        <v>1456</v>
      </c>
      <c r="H286" s="91"/>
      <c r="I286" s="101"/>
      <c r="J286" s="91"/>
      <c r="K286" s="105">
        <v>0.0</v>
      </c>
      <c r="L286" s="91"/>
      <c r="M286" s="105">
        <v>10056.0</v>
      </c>
      <c r="N286" s="91"/>
      <c r="O286" s="105">
        <v>249.94033413842482</v>
      </c>
      <c r="P286" s="101"/>
      <c r="Q286" s="104" t="s">
        <v>1457</v>
      </c>
      <c r="S286" s="91"/>
      <c r="T286" s="91"/>
      <c r="U286" s="91"/>
      <c r="V286" s="91"/>
    </row>
    <row r="287">
      <c r="A287" s="91"/>
      <c r="B287" s="104" t="s">
        <v>1458</v>
      </c>
      <c r="C287" s="104" t="s">
        <v>1459</v>
      </c>
      <c r="D287" s="91"/>
      <c r="E287" s="104" t="s">
        <v>1460</v>
      </c>
      <c r="F287" s="91"/>
      <c r="G287" s="104" t="s">
        <v>1461</v>
      </c>
      <c r="H287" s="91"/>
      <c r="I287" s="101"/>
      <c r="J287" s="91"/>
      <c r="K287" s="105">
        <v>0.0</v>
      </c>
      <c r="L287" s="91"/>
      <c r="M287" s="105">
        <v>100000.0</v>
      </c>
      <c r="N287" s="91"/>
      <c r="O287" s="105">
        <v>0.0</v>
      </c>
      <c r="P287" s="101"/>
      <c r="Q287" s="104" t="s">
        <v>1462</v>
      </c>
      <c r="S287" s="101"/>
      <c r="T287" s="101"/>
      <c r="U287" s="101"/>
      <c r="V287" s="101"/>
    </row>
    <row r="288">
      <c r="A288" s="91"/>
      <c r="B288" s="104" t="s">
        <v>1463</v>
      </c>
      <c r="C288" s="104" t="s">
        <v>1464</v>
      </c>
      <c r="D288" s="91"/>
      <c r="E288" s="104" t="s">
        <v>1465</v>
      </c>
      <c r="F288" s="91"/>
      <c r="G288" s="104" t="s">
        <v>1466</v>
      </c>
      <c r="H288" s="91"/>
      <c r="I288" s="101"/>
      <c r="J288" s="91"/>
      <c r="K288" s="105">
        <v>0.0</v>
      </c>
      <c r="L288" s="91"/>
      <c r="M288" s="105">
        <v>14341.0</v>
      </c>
      <c r="N288" s="91"/>
      <c r="O288" s="105">
        <v>4.873230597587337</v>
      </c>
      <c r="P288" s="101"/>
      <c r="Q288" s="104" t="s">
        <v>1467</v>
      </c>
      <c r="S288" s="101"/>
      <c r="T288" s="101"/>
      <c r="U288" s="101"/>
      <c r="V288" s="101"/>
    </row>
    <row r="289">
      <c r="A289" s="91"/>
      <c r="B289" s="104" t="s">
        <v>1468</v>
      </c>
      <c r="C289" s="104" t="s">
        <v>1469</v>
      </c>
      <c r="D289" s="91"/>
      <c r="E289" s="104" t="s">
        <v>1470</v>
      </c>
      <c r="F289" s="91"/>
      <c r="G289" s="104" t="s">
        <v>1471</v>
      </c>
      <c r="H289" s="91"/>
      <c r="I289" s="101"/>
      <c r="J289" s="91"/>
      <c r="K289" s="105">
        <v>0.0</v>
      </c>
      <c r="L289" s="91"/>
      <c r="M289" s="105">
        <v>110000.0</v>
      </c>
      <c r="N289" s="91"/>
      <c r="O289" s="105">
        <v>6.218181818181818</v>
      </c>
      <c r="P289" s="101"/>
      <c r="Q289" s="104" t="s">
        <v>1472</v>
      </c>
      <c r="S289" s="101"/>
      <c r="T289" s="101"/>
      <c r="U289" s="101"/>
      <c r="V289" s="101"/>
    </row>
    <row r="290">
      <c r="A290" s="91"/>
      <c r="B290" s="104" t="s">
        <v>1473</v>
      </c>
      <c r="C290" s="104" t="s">
        <v>1474</v>
      </c>
      <c r="D290" s="91"/>
      <c r="E290" s="104" t="s">
        <v>1475</v>
      </c>
      <c r="F290" s="91"/>
      <c r="G290" s="104" t="s">
        <v>1476</v>
      </c>
      <c r="H290" s="91"/>
      <c r="I290" s="101"/>
      <c r="J290" s="91"/>
      <c r="K290" s="105">
        <v>0.0</v>
      </c>
      <c r="L290" s="91"/>
      <c r="M290" s="105">
        <v>142087.0</v>
      </c>
      <c r="N290" s="91"/>
      <c r="O290" s="105">
        <v>6.182690886569496</v>
      </c>
      <c r="P290" s="101"/>
      <c r="Q290" s="104" t="s">
        <v>1477</v>
      </c>
      <c r="S290" s="101"/>
      <c r="T290" s="101"/>
      <c r="U290" s="101"/>
      <c r="V290" s="101"/>
    </row>
    <row r="291">
      <c r="A291" s="91"/>
      <c r="B291" s="104" t="s">
        <v>1478</v>
      </c>
      <c r="C291" s="104" t="s">
        <v>1479</v>
      </c>
      <c r="D291" s="91"/>
      <c r="E291" s="104" t="s">
        <v>1480</v>
      </c>
      <c r="F291" s="91"/>
      <c r="G291" s="104" t="s">
        <v>1481</v>
      </c>
      <c r="H291" s="91"/>
      <c r="I291" s="101"/>
      <c r="J291" s="91"/>
      <c r="K291" s="105">
        <v>0.0</v>
      </c>
      <c r="L291" s="91"/>
      <c r="M291" s="105">
        <v>220912.0</v>
      </c>
      <c r="N291" s="91"/>
      <c r="O291" s="105">
        <v>6.480509782845658</v>
      </c>
      <c r="P291" s="101"/>
      <c r="Q291" s="104" t="s">
        <v>1483</v>
      </c>
      <c r="S291" s="101"/>
      <c r="T291" s="101"/>
      <c r="U291" s="101"/>
      <c r="V291" s="101"/>
    </row>
    <row r="292">
      <c r="A292" s="91"/>
      <c r="B292" s="104" t="s">
        <v>1484</v>
      </c>
      <c r="C292" s="104" t="s">
        <v>1485</v>
      </c>
      <c r="D292" s="91"/>
      <c r="E292" s="104" t="s">
        <v>1486</v>
      </c>
      <c r="F292" s="91"/>
      <c r="G292" s="104" t="s">
        <v>1487</v>
      </c>
      <c r="H292" s="91"/>
      <c r="I292" s="101"/>
      <c r="J292" s="91"/>
      <c r="K292" s="105">
        <v>0.0</v>
      </c>
      <c r="L292" s="91"/>
      <c r="M292" s="105">
        <v>1727.0</v>
      </c>
      <c r="N292" s="91"/>
      <c r="O292" s="105">
        <v>178.84578260046322</v>
      </c>
      <c r="P292" s="101"/>
      <c r="Q292" s="104" t="s">
        <v>1488</v>
      </c>
      <c r="S292" s="101"/>
      <c r="T292" s="101"/>
      <c r="U292" s="101"/>
      <c r="V292" s="101"/>
    </row>
    <row r="293">
      <c r="A293" s="91"/>
      <c r="B293" s="104" t="s">
        <v>1489</v>
      </c>
      <c r="C293" s="104" t="s">
        <v>1490</v>
      </c>
      <c r="D293" s="91"/>
      <c r="E293" s="104" t="s">
        <v>1491</v>
      </c>
      <c r="F293" s="91"/>
      <c r="G293" s="104" t="s">
        <v>1492</v>
      </c>
      <c r="H293" s="91"/>
      <c r="I293" s="101"/>
      <c r="J293" s="91"/>
      <c r="K293" s="105">
        <v>0.0</v>
      </c>
      <c r="L293" s="91"/>
      <c r="M293" s="105">
        <v>10711.0</v>
      </c>
      <c r="N293" s="91"/>
      <c r="O293" s="105">
        <v>251.07086173093083</v>
      </c>
      <c r="P293" s="101"/>
      <c r="Q293" s="104" t="s">
        <v>1493</v>
      </c>
      <c r="S293" s="101"/>
      <c r="T293" s="101"/>
      <c r="U293" s="101"/>
      <c r="V293" s="101"/>
    </row>
    <row r="294">
      <c r="A294" s="91"/>
      <c r="B294" s="104" t="s">
        <v>1494</v>
      </c>
      <c r="C294" s="104" t="s">
        <v>1495</v>
      </c>
      <c r="D294" s="91"/>
      <c r="E294" s="104" t="s">
        <v>1496</v>
      </c>
      <c r="F294" s="91"/>
      <c r="G294" s="104" t="s">
        <v>1497</v>
      </c>
      <c r="H294" s="91"/>
      <c r="I294" s="101"/>
      <c r="J294" s="91"/>
      <c r="K294" s="105">
        <v>0.0</v>
      </c>
      <c r="L294" s="91"/>
      <c r="M294" s="105">
        <v>44000.0</v>
      </c>
      <c r="N294" s="91"/>
      <c r="O294" s="105">
        <v>0.0</v>
      </c>
      <c r="P294" s="101"/>
      <c r="Q294" s="104" t="s">
        <v>1498</v>
      </c>
      <c r="S294" s="101"/>
      <c r="T294" s="101"/>
      <c r="U294" s="101"/>
      <c r="V294" s="101"/>
    </row>
    <row r="295">
      <c r="A295" s="91"/>
      <c r="B295" s="104" t="s">
        <v>1499</v>
      </c>
      <c r="C295" s="104" t="s">
        <v>1500</v>
      </c>
      <c r="D295" s="91"/>
      <c r="E295" s="104" t="s">
        <v>1501</v>
      </c>
      <c r="F295" s="91"/>
      <c r="G295" s="104" t="s">
        <v>1502</v>
      </c>
      <c r="H295" s="91"/>
      <c r="I295" s="101"/>
      <c r="J295" s="91"/>
      <c r="K295" s="105">
        <v>0.0</v>
      </c>
      <c r="L295" s="91"/>
      <c r="M295" s="105">
        <v>400.0</v>
      </c>
      <c r="N295" s="91"/>
      <c r="O295" s="105">
        <v>0.0</v>
      </c>
      <c r="P295" s="101"/>
      <c r="Q295" s="104" t="s">
        <v>1503</v>
      </c>
      <c r="S295" s="101"/>
      <c r="T295" s="101"/>
      <c r="U295" s="101"/>
      <c r="V295" s="101"/>
    </row>
    <row r="296">
      <c r="A296" s="91"/>
      <c r="B296" s="104" t="s">
        <v>1504</v>
      </c>
      <c r="C296" s="104" t="s">
        <v>1505</v>
      </c>
      <c r="D296" s="91"/>
      <c r="E296" s="104" t="s">
        <v>1506</v>
      </c>
      <c r="F296" s="91"/>
      <c r="G296" s="104" t="s">
        <v>1507</v>
      </c>
      <c r="H296" s="91"/>
      <c r="I296" s="101"/>
      <c r="J296" s="91"/>
      <c r="K296" s="105">
        <v>0.0</v>
      </c>
      <c r="L296" s="91"/>
      <c r="M296" s="105">
        <v>400.0</v>
      </c>
      <c r="N296" s="91"/>
      <c r="O296" s="105">
        <v>395.0</v>
      </c>
      <c r="P296" s="101"/>
      <c r="Q296" s="104" t="s">
        <v>1508</v>
      </c>
      <c r="S296" s="101"/>
      <c r="T296" s="101"/>
      <c r="U296" s="101"/>
      <c r="V296" s="101"/>
    </row>
    <row r="297">
      <c r="A297" s="91"/>
      <c r="B297" s="104" t="s">
        <v>1509</v>
      </c>
      <c r="C297" s="104" t="s">
        <v>1510</v>
      </c>
      <c r="D297" s="91"/>
      <c r="E297" s="104" t="s">
        <v>1511</v>
      </c>
      <c r="F297" s="91"/>
      <c r="G297" s="104" t="s">
        <v>1512</v>
      </c>
      <c r="H297" s="91"/>
      <c r="I297" s="101"/>
      <c r="J297" s="91"/>
      <c r="K297" s="105">
        <v>0.0</v>
      </c>
      <c r="L297" s="91"/>
      <c r="M297" s="105">
        <v>51040.6</v>
      </c>
      <c r="N297" s="91"/>
      <c r="O297" s="105">
        <v>43.67111193833928</v>
      </c>
      <c r="P297" s="101"/>
      <c r="Q297" s="104" t="s">
        <v>1513</v>
      </c>
      <c r="S297" s="101"/>
      <c r="T297" s="101"/>
      <c r="U297" s="101"/>
      <c r="V297" s="101"/>
    </row>
    <row r="298">
      <c r="A298" s="91"/>
      <c r="B298" s="104" t="s">
        <v>1514</v>
      </c>
      <c r="C298" s="104" t="s">
        <v>1515</v>
      </c>
      <c r="D298" s="91"/>
      <c r="E298" s="104" t="s">
        <v>1516</v>
      </c>
      <c r="F298" s="91"/>
      <c r="G298" s="104" t="s">
        <v>1517</v>
      </c>
      <c r="H298" s="91"/>
      <c r="I298" s="101"/>
      <c r="J298" s="91"/>
      <c r="K298" s="105">
        <v>0.0</v>
      </c>
      <c r="L298" s="91"/>
      <c r="M298" s="105">
        <v>5450.2</v>
      </c>
      <c r="N298" s="91"/>
      <c r="O298" s="105">
        <v>291.224175264027</v>
      </c>
      <c r="P298" s="101"/>
      <c r="Q298" s="104" t="s">
        <v>1518</v>
      </c>
      <c r="S298" s="101"/>
      <c r="T298" s="101"/>
      <c r="U298" s="101"/>
      <c r="V298" s="101"/>
    </row>
    <row r="299">
      <c r="A299" s="91"/>
      <c r="B299" s="104" t="s">
        <v>1519</v>
      </c>
      <c r="C299" s="104" t="s">
        <v>1520</v>
      </c>
      <c r="D299" s="91"/>
      <c r="E299" s="104" t="s">
        <v>1521</v>
      </c>
      <c r="F299" s="91"/>
      <c r="G299" s="104" t="s">
        <v>1522</v>
      </c>
      <c r="H299" s="91"/>
      <c r="I299" s="101"/>
      <c r="J299" s="91"/>
      <c r="K299" s="105">
        <v>0.0</v>
      </c>
      <c r="L299" s="91"/>
      <c r="M299" s="105">
        <v>228876.0</v>
      </c>
      <c r="N299" s="91"/>
      <c r="O299" s="105">
        <v>4.985441898670023</v>
      </c>
      <c r="P299" s="101"/>
      <c r="Q299" s="104" t="s">
        <v>1523</v>
      </c>
      <c r="S299" s="101"/>
      <c r="T299" s="101"/>
      <c r="U299" s="101"/>
      <c r="V299" s="101"/>
    </row>
    <row r="300">
      <c r="A300" s="91"/>
      <c r="B300" s="104" t="s">
        <v>1524</v>
      </c>
      <c r="C300" s="104" t="s">
        <v>1525</v>
      </c>
      <c r="D300" s="91"/>
      <c r="E300" s="104" t="s">
        <v>1526</v>
      </c>
      <c r="F300" s="91"/>
      <c r="G300" s="104" t="s">
        <v>1527</v>
      </c>
      <c r="H300" s="91"/>
      <c r="I300" s="101"/>
      <c r="J300" s="91"/>
      <c r="K300" s="105">
        <v>0.0</v>
      </c>
      <c r="L300" s="91"/>
      <c r="M300" s="105">
        <v>4.0</v>
      </c>
      <c r="N300" s="91"/>
      <c r="O300" s="105">
        <v>75000.0</v>
      </c>
      <c r="P300" s="101"/>
      <c r="Q300" s="104" t="s">
        <v>1528</v>
      </c>
      <c r="S300" s="101"/>
      <c r="T300" s="101"/>
      <c r="U300" s="101"/>
      <c r="V300" s="101"/>
    </row>
    <row r="301">
      <c r="A301" s="100" t="s">
        <v>1529</v>
      </c>
      <c r="C301" s="91"/>
      <c r="D301" s="91"/>
      <c r="E301" s="91"/>
      <c r="F301" s="91"/>
      <c r="G301" s="91"/>
      <c r="H301" s="91"/>
      <c r="I301" s="101"/>
      <c r="J301" s="91"/>
      <c r="K301" s="101"/>
      <c r="L301" s="91"/>
      <c r="M301" s="101"/>
      <c r="N301" s="91"/>
      <c r="O301" s="101"/>
      <c r="P301" s="101"/>
      <c r="Q301" s="91"/>
      <c r="R301" s="101"/>
      <c r="S301" s="101"/>
      <c r="T301" s="101"/>
      <c r="U301" s="101"/>
      <c r="V301" s="101"/>
    </row>
    <row r="302">
      <c r="A302" s="91"/>
      <c r="B302" s="104" t="s">
        <v>1530</v>
      </c>
      <c r="C302" s="104" t="s">
        <v>1531</v>
      </c>
      <c r="D302" s="91"/>
      <c r="E302" s="104" t="s">
        <v>1532</v>
      </c>
      <c r="F302" s="91"/>
      <c r="G302" s="104" t="s">
        <v>1533</v>
      </c>
      <c r="H302" s="91"/>
      <c r="I302" s="91"/>
      <c r="J302" s="91"/>
      <c r="K302" s="105">
        <v>0.0</v>
      </c>
      <c r="L302" s="91"/>
      <c r="M302" s="105">
        <v>9632.0</v>
      </c>
      <c r="N302" s="91"/>
      <c r="O302" s="105">
        <v>1.6611295681063123</v>
      </c>
      <c r="P302" s="101"/>
      <c r="Q302" s="104" t="s">
        <v>1534</v>
      </c>
      <c r="S302" s="101"/>
      <c r="T302" s="101"/>
      <c r="U302" s="101"/>
      <c r="V302" s="101"/>
    </row>
    <row r="303">
      <c r="A303" s="91"/>
      <c r="B303" s="104" t="s">
        <v>1535</v>
      </c>
      <c r="C303" s="104" t="s">
        <v>1536</v>
      </c>
      <c r="D303" s="91"/>
      <c r="E303" s="104" t="s">
        <v>1537</v>
      </c>
      <c r="F303" s="91"/>
      <c r="G303" s="104" t="s">
        <v>1538</v>
      </c>
      <c r="H303" s="91"/>
      <c r="I303" s="101"/>
      <c r="J303" s="91"/>
      <c r="K303" s="105">
        <v>0.0</v>
      </c>
      <c r="L303" s="91"/>
      <c r="M303" s="105">
        <v>891517.0</v>
      </c>
      <c r="N303" s="91"/>
      <c r="O303" s="105">
        <v>2.6566379328717233</v>
      </c>
      <c r="P303" s="101"/>
      <c r="Q303" s="104" t="s">
        <v>1539</v>
      </c>
      <c r="S303" s="101"/>
      <c r="T303" s="101"/>
      <c r="U303" s="101"/>
      <c r="V303" s="101"/>
    </row>
    <row r="304">
      <c r="A304" s="91"/>
      <c r="B304" s="104" t="s">
        <v>1540</v>
      </c>
      <c r="C304" s="104" t="s">
        <v>1541</v>
      </c>
      <c r="D304" s="91"/>
      <c r="E304" s="104" t="s">
        <v>1542</v>
      </c>
      <c r="F304" s="91"/>
      <c r="G304" s="104" t="s">
        <v>1543</v>
      </c>
      <c r="H304" s="91"/>
      <c r="I304" s="101"/>
      <c r="J304" s="91"/>
      <c r="K304" s="105">
        <v>0.0</v>
      </c>
      <c r="L304" s="91"/>
      <c r="M304" s="105">
        <v>10.0</v>
      </c>
      <c r="N304" s="91"/>
      <c r="O304" s="105">
        <v>0.0</v>
      </c>
      <c r="P304" s="101"/>
      <c r="Q304" s="104" t="s">
        <v>1544</v>
      </c>
      <c r="S304" s="101"/>
      <c r="T304" s="101"/>
      <c r="U304" s="101"/>
      <c r="V304" s="101"/>
    </row>
    <row r="305">
      <c r="A305" s="91"/>
      <c r="B305" s="104" t="s">
        <v>1545</v>
      </c>
      <c r="C305" s="104" t="s">
        <v>1546</v>
      </c>
      <c r="D305" s="91"/>
      <c r="E305" s="104" t="s">
        <v>1547</v>
      </c>
      <c r="F305" s="91"/>
      <c r="G305" s="104" t="s">
        <v>1548</v>
      </c>
      <c r="H305" s="91"/>
      <c r="I305" s="101"/>
      <c r="J305" s="91"/>
      <c r="K305" s="105">
        <v>0.0</v>
      </c>
      <c r="L305" s="91"/>
      <c r="M305" s="105">
        <v>1090598.82</v>
      </c>
      <c r="N305" s="91"/>
      <c r="O305" s="105">
        <v>4.9043341161876555</v>
      </c>
      <c r="P305" s="101"/>
      <c r="Q305" s="104" t="s">
        <v>1549</v>
      </c>
      <c r="S305" s="101"/>
      <c r="T305" s="101"/>
      <c r="U305" s="101"/>
      <c r="V305" s="101"/>
    </row>
    <row r="306">
      <c r="A306" s="91"/>
      <c r="B306" s="104" t="s">
        <v>1550</v>
      </c>
      <c r="C306" s="104" t="s">
        <v>1551</v>
      </c>
      <c r="D306" s="91"/>
      <c r="E306" s="104" t="s">
        <v>1552</v>
      </c>
      <c r="F306" s="91"/>
      <c r="G306" s="104" t="s">
        <v>1553</v>
      </c>
      <c r="H306" s="91"/>
      <c r="I306" s="101"/>
      <c r="J306" s="91"/>
      <c r="K306" s="105">
        <v>0.0</v>
      </c>
      <c r="L306" s="91"/>
      <c r="M306" s="105">
        <v>1.1</v>
      </c>
      <c r="N306" s="91"/>
      <c r="O306" s="105">
        <v>0.0</v>
      </c>
      <c r="P306" s="101"/>
      <c r="Q306" s="104" t="s">
        <v>1554</v>
      </c>
      <c r="S306" s="101"/>
      <c r="T306" s="101"/>
      <c r="U306" s="101"/>
      <c r="V306" s="101"/>
    </row>
    <row r="307">
      <c r="A307" s="91"/>
      <c r="B307" s="104" t="s">
        <v>1555</v>
      </c>
      <c r="C307" s="104" t="s">
        <v>1556</v>
      </c>
      <c r="D307" s="91"/>
      <c r="E307" s="104" t="s">
        <v>1557</v>
      </c>
      <c r="F307" s="91"/>
      <c r="G307" s="104" t="s">
        <v>1558</v>
      </c>
      <c r="H307" s="91"/>
      <c r="I307" s="101"/>
      <c r="J307" s="91"/>
      <c r="K307" s="105">
        <v>0.0</v>
      </c>
      <c r="L307" s="91"/>
      <c r="M307" s="105">
        <v>818288.0</v>
      </c>
      <c r="N307" s="91"/>
      <c r="O307" s="105">
        <v>1.4781371986391099</v>
      </c>
      <c r="P307" s="101"/>
      <c r="Q307" s="104" t="s">
        <v>1560</v>
      </c>
      <c r="S307" s="101"/>
      <c r="T307" s="101"/>
      <c r="U307" s="101"/>
      <c r="V307" s="101"/>
    </row>
    <row r="308">
      <c r="A308" s="91"/>
      <c r="B308" s="104" t="s">
        <v>1561</v>
      </c>
      <c r="C308" s="104" t="s">
        <v>1562</v>
      </c>
      <c r="D308" s="91"/>
      <c r="E308" s="104" t="s">
        <v>1563</v>
      </c>
      <c r="F308" s="91"/>
      <c r="G308" s="104" t="s">
        <v>1564</v>
      </c>
      <c r="H308" s="91"/>
      <c r="I308" s="101"/>
      <c r="J308" s="91"/>
      <c r="K308" s="105">
        <v>0.0</v>
      </c>
      <c r="L308" s="91"/>
      <c r="M308" s="105">
        <v>5.0</v>
      </c>
      <c r="N308" s="91"/>
      <c r="O308" s="105">
        <v>31000.0</v>
      </c>
      <c r="P308" s="101"/>
      <c r="Q308" s="104" t="s">
        <v>1565</v>
      </c>
      <c r="S308" s="101"/>
      <c r="T308" s="101"/>
      <c r="U308" s="101"/>
      <c r="V308" s="101"/>
    </row>
    <row r="309">
      <c r="A309" s="91"/>
      <c r="B309" s="104" t="s">
        <v>1566</v>
      </c>
      <c r="C309" s="104" t="s">
        <v>1567</v>
      </c>
      <c r="D309" s="91"/>
      <c r="E309" s="104" t="s">
        <v>1568</v>
      </c>
      <c r="F309" s="91"/>
      <c r="G309" s="104" t="s">
        <v>1569</v>
      </c>
      <c r="H309" s="91"/>
      <c r="I309" s="91"/>
      <c r="J309" s="91"/>
      <c r="K309" s="105">
        <v>0.0</v>
      </c>
      <c r="L309" s="91"/>
      <c r="M309" s="105">
        <v>2939.0</v>
      </c>
      <c r="N309" s="91"/>
      <c r="O309" s="105">
        <v>512.8445049336509</v>
      </c>
      <c r="P309" s="101"/>
      <c r="Q309" s="104" t="s">
        <v>1570</v>
      </c>
      <c r="S309" s="101"/>
      <c r="T309" s="101"/>
      <c r="U309" s="101"/>
      <c r="V309" s="101"/>
    </row>
    <row r="310">
      <c r="A310" s="91"/>
      <c r="B310" s="104" t="s">
        <v>1571</v>
      </c>
      <c r="C310" s="104" t="s">
        <v>1572</v>
      </c>
      <c r="D310" s="91"/>
      <c r="E310" s="104" t="s">
        <v>1573</v>
      </c>
      <c r="F310" s="91"/>
      <c r="G310" s="104" t="s">
        <v>1574</v>
      </c>
      <c r="H310" s="91"/>
      <c r="I310" s="91"/>
      <c r="J310" s="91"/>
      <c r="K310" s="105">
        <v>0.0</v>
      </c>
      <c r="L310" s="91"/>
      <c r="M310" s="105">
        <v>837.0</v>
      </c>
      <c r="N310" s="91"/>
      <c r="O310" s="105">
        <v>1151.1350059737156</v>
      </c>
      <c r="P310" s="91"/>
      <c r="Q310" s="104" t="s">
        <v>1575</v>
      </c>
      <c r="S310" s="91"/>
      <c r="T310" s="91"/>
      <c r="U310" s="91"/>
      <c r="V310" s="91"/>
    </row>
    <row r="311">
      <c r="A311" s="91"/>
      <c r="B311" s="104" t="s">
        <v>1576</v>
      </c>
      <c r="C311" s="104" t="s">
        <v>1577</v>
      </c>
      <c r="D311" s="91"/>
      <c r="E311" s="104" t="s">
        <v>1578</v>
      </c>
      <c r="F311" s="91"/>
      <c r="G311" s="104" t="s">
        <v>1579</v>
      </c>
      <c r="H311" s="91"/>
      <c r="I311" s="91"/>
      <c r="J311" s="91"/>
      <c r="K311" s="105">
        <v>0.0</v>
      </c>
      <c r="L311" s="91"/>
      <c r="M311" s="105">
        <v>950305.2</v>
      </c>
      <c r="N311" s="91"/>
      <c r="O311" s="105">
        <v>4.001120061218227</v>
      </c>
      <c r="P311" s="91"/>
      <c r="Q311" s="104" t="s">
        <v>1580</v>
      </c>
      <c r="S311" s="91"/>
      <c r="T311" s="91"/>
      <c r="U311" s="91"/>
      <c r="V311" s="91"/>
    </row>
    <row r="312">
      <c r="A312" s="91"/>
      <c r="B312" s="104" t="s">
        <v>1581</v>
      </c>
      <c r="C312" s="104" t="s">
        <v>1582</v>
      </c>
      <c r="D312" s="91"/>
      <c r="E312" s="104" t="s">
        <v>1583</v>
      </c>
      <c r="F312" s="91"/>
      <c r="G312" s="104" t="s">
        <v>1584</v>
      </c>
      <c r="H312" s="91"/>
      <c r="I312" s="91"/>
      <c r="J312" s="91"/>
      <c r="K312" s="105">
        <v>0.0</v>
      </c>
      <c r="L312" s="91"/>
      <c r="M312" s="105">
        <v>112.0</v>
      </c>
      <c r="N312" s="91"/>
      <c r="O312" s="105">
        <v>2480.3571428571427</v>
      </c>
      <c r="P312" s="91"/>
      <c r="Q312" s="104" t="s">
        <v>1585</v>
      </c>
      <c r="S312" s="91"/>
      <c r="T312" s="91"/>
      <c r="U312" s="91"/>
      <c r="V312" s="91"/>
    </row>
    <row r="313">
      <c r="A313" s="91"/>
      <c r="B313" s="104" t="s">
        <v>1586</v>
      </c>
      <c r="C313" s="104" t="s">
        <v>1587</v>
      </c>
      <c r="D313" s="91"/>
      <c r="E313" s="104" t="s">
        <v>1588</v>
      </c>
      <c r="F313" s="91"/>
      <c r="G313" s="104" t="s">
        <v>1589</v>
      </c>
      <c r="H313" s="91"/>
      <c r="I313" s="91"/>
      <c r="J313" s="91"/>
      <c r="K313" s="105">
        <v>0.0</v>
      </c>
      <c r="L313" s="91"/>
      <c r="M313" s="105">
        <v>974.0</v>
      </c>
      <c r="N313" s="91"/>
      <c r="O313" s="105">
        <v>4638.778234086242</v>
      </c>
      <c r="P313" s="91"/>
      <c r="Q313" s="104" t="s">
        <v>1590</v>
      </c>
      <c r="S313" s="91"/>
      <c r="T313" s="91"/>
      <c r="U313" s="91"/>
      <c r="V313" s="91"/>
    </row>
    <row r="314">
      <c r="A314" s="91"/>
      <c r="B314" s="104" t="s">
        <v>1591</v>
      </c>
      <c r="C314" s="104" t="s">
        <v>1592</v>
      </c>
      <c r="D314" s="91"/>
      <c r="E314" s="104" t="s">
        <v>1593</v>
      </c>
      <c r="F314" s="91"/>
      <c r="G314" s="104" t="s">
        <v>1594</v>
      </c>
      <c r="H314" s="91"/>
      <c r="I314" s="91"/>
      <c r="J314" s="91"/>
      <c r="K314" s="105">
        <v>0.0</v>
      </c>
      <c r="L314" s="91"/>
      <c r="M314" s="105">
        <v>3111.0</v>
      </c>
      <c r="N314" s="91"/>
      <c r="O314" s="105">
        <v>480.42944390871105</v>
      </c>
      <c r="P314" s="91"/>
      <c r="Q314" s="104" t="s">
        <v>1595</v>
      </c>
      <c r="S314" s="91"/>
      <c r="T314" s="91"/>
      <c r="U314" s="91"/>
      <c r="V314" s="91"/>
    </row>
    <row r="315">
      <c r="A315" s="91"/>
      <c r="B315" s="104" t="s">
        <v>1596</v>
      </c>
      <c r="C315" s="104" t="s">
        <v>1597</v>
      </c>
      <c r="D315" s="91"/>
      <c r="E315" s="104" t="s">
        <v>1598</v>
      </c>
      <c r="F315" s="91"/>
      <c r="G315" s="104" t="s">
        <v>1599</v>
      </c>
      <c r="H315" s="91"/>
      <c r="I315" s="91"/>
      <c r="J315" s="91"/>
      <c r="K315" s="105">
        <v>0.0</v>
      </c>
      <c r="L315" s="91"/>
      <c r="M315" s="105">
        <v>4314.0</v>
      </c>
      <c r="N315" s="91"/>
      <c r="O315" s="105">
        <v>160.58182661103385</v>
      </c>
      <c r="P315" s="91"/>
      <c r="Q315" s="104" t="s">
        <v>1600</v>
      </c>
      <c r="S315" s="91"/>
      <c r="T315" s="91"/>
      <c r="U315" s="91"/>
      <c r="V315" s="91"/>
    </row>
    <row r="316">
      <c r="A316" s="91"/>
      <c r="B316" s="104" t="s">
        <v>1601</v>
      </c>
      <c r="C316" s="104" t="s">
        <v>1602</v>
      </c>
      <c r="D316" s="91"/>
      <c r="E316" s="104" t="s">
        <v>1603</v>
      </c>
      <c r="F316" s="91"/>
      <c r="G316" s="104" t="s">
        <v>1604</v>
      </c>
      <c r="H316" s="91"/>
      <c r="I316" s="91"/>
      <c r="J316" s="91"/>
      <c r="K316" s="105">
        <v>0.0</v>
      </c>
      <c r="L316" s="91"/>
      <c r="M316" s="105">
        <v>1284918.0</v>
      </c>
      <c r="N316" s="91"/>
      <c r="O316" s="105">
        <v>2.4866349447980336</v>
      </c>
      <c r="P316" s="91"/>
      <c r="Q316" s="104" t="s">
        <v>1605</v>
      </c>
      <c r="S316" s="91"/>
      <c r="T316" s="91"/>
      <c r="U316" s="91"/>
      <c r="V316" s="91"/>
    </row>
    <row r="317">
      <c r="A317" s="91"/>
      <c r="B317" s="104" t="s">
        <v>1606</v>
      </c>
      <c r="C317" s="104" t="s">
        <v>1607</v>
      </c>
      <c r="D317" s="91"/>
      <c r="E317" s="104" t="s">
        <v>1608</v>
      </c>
      <c r="F317" s="91"/>
      <c r="G317" s="104" t="s">
        <v>1609</v>
      </c>
      <c r="H317" s="91"/>
      <c r="I317" s="91"/>
      <c r="J317" s="91"/>
      <c r="K317" s="105">
        <v>0.0</v>
      </c>
      <c r="L317" s="91"/>
      <c r="M317" s="105">
        <v>6260.0</v>
      </c>
      <c r="N317" s="91"/>
      <c r="O317" s="105">
        <v>384.36145778290734</v>
      </c>
      <c r="P317" s="91"/>
      <c r="Q317" s="104" t="s">
        <v>1610</v>
      </c>
      <c r="S317" s="91"/>
      <c r="T317" s="91"/>
      <c r="U317" s="91"/>
      <c r="V317" s="91"/>
    </row>
    <row r="318">
      <c r="A318" s="91"/>
      <c r="B318" s="104" t="s">
        <v>1611</v>
      </c>
      <c r="C318" s="104" t="s">
        <v>1612</v>
      </c>
      <c r="D318" s="91"/>
      <c r="E318" s="104" t="s">
        <v>1613</v>
      </c>
      <c r="F318" s="91"/>
      <c r="G318" s="104" t="s">
        <v>1614</v>
      </c>
      <c r="H318" s="91"/>
      <c r="I318" s="91"/>
      <c r="J318" s="91"/>
      <c r="K318" s="105">
        <v>0.0</v>
      </c>
      <c r="L318" s="91"/>
      <c r="M318" s="105">
        <v>68000.0</v>
      </c>
      <c r="N318" s="91"/>
      <c r="O318" s="105">
        <v>17.0</v>
      </c>
      <c r="P318" s="91"/>
      <c r="Q318" s="104" t="s">
        <v>1615</v>
      </c>
      <c r="S318" s="91"/>
      <c r="T318" s="91"/>
      <c r="U318" s="91"/>
      <c r="V318" s="91"/>
    </row>
    <row r="319">
      <c r="A319" s="91"/>
      <c r="B319" s="104" t="s">
        <v>1616</v>
      </c>
      <c r="C319" s="104" t="s">
        <v>1617</v>
      </c>
      <c r="D319" s="91"/>
      <c r="E319" s="104" t="s">
        <v>1618</v>
      </c>
      <c r="F319" s="91"/>
      <c r="G319" s="104" t="s">
        <v>1619</v>
      </c>
      <c r="H319" s="91"/>
      <c r="I319" s="101"/>
      <c r="J319" s="91"/>
      <c r="K319" s="105">
        <v>0.0</v>
      </c>
      <c r="L319" s="91"/>
      <c r="M319" s="105">
        <v>5.5</v>
      </c>
      <c r="N319" s="91"/>
      <c r="O319" s="105">
        <v>0.0</v>
      </c>
      <c r="P319" s="101"/>
      <c r="Q319" s="104" t="s">
        <v>1620</v>
      </c>
      <c r="S319" s="91"/>
      <c r="T319" s="91"/>
      <c r="U319" s="91"/>
      <c r="V319" s="91"/>
    </row>
    <row r="320">
      <c r="A320" s="91"/>
      <c r="B320" s="104" t="s">
        <v>1621</v>
      </c>
      <c r="C320" s="104" t="s">
        <v>1622</v>
      </c>
      <c r="D320" s="91"/>
      <c r="E320" s="104" t="s">
        <v>1623</v>
      </c>
      <c r="F320" s="91"/>
      <c r="G320" s="104" t="s">
        <v>1624</v>
      </c>
      <c r="H320" s="91"/>
      <c r="I320" s="101"/>
      <c r="J320" s="91"/>
      <c r="K320" s="105">
        <v>0.0</v>
      </c>
      <c r="L320" s="91"/>
      <c r="M320" s="105">
        <v>1.1</v>
      </c>
      <c r="N320" s="91"/>
      <c r="O320" s="105">
        <v>0.0</v>
      </c>
      <c r="P320" s="101"/>
      <c r="Q320" s="104" t="s">
        <v>1625</v>
      </c>
      <c r="S320" s="91"/>
      <c r="T320" s="91"/>
      <c r="U320" s="91"/>
      <c r="V320" s="91"/>
    </row>
    <row r="321">
      <c r="A321" s="91"/>
      <c r="B321" s="104" t="s">
        <v>1626</v>
      </c>
      <c r="C321" s="104" t="s">
        <v>1627</v>
      </c>
      <c r="D321" s="91"/>
      <c r="E321" s="104" t="s">
        <v>1628</v>
      </c>
      <c r="F321" s="91"/>
      <c r="G321" s="104" t="s">
        <v>1629</v>
      </c>
      <c r="H321" s="91"/>
      <c r="I321" s="101"/>
      <c r="J321" s="91"/>
      <c r="K321" s="105">
        <v>0.0</v>
      </c>
      <c r="L321" s="91"/>
      <c r="M321" s="105">
        <v>769736.0</v>
      </c>
      <c r="N321" s="91"/>
      <c r="O321" s="105">
        <v>2.7187720585239616</v>
      </c>
      <c r="P321" s="101"/>
      <c r="Q321" s="104" t="s">
        <v>1630</v>
      </c>
      <c r="S321" s="101"/>
      <c r="T321" s="101"/>
      <c r="U321" s="101"/>
      <c r="V321" s="101"/>
    </row>
    <row r="322">
      <c r="A322" s="91"/>
      <c r="B322" s="104" t="s">
        <v>1631</v>
      </c>
      <c r="C322" s="104" t="s">
        <v>1632</v>
      </c>
      <c r="D322" s="91"/>
      <c r="E322" s="104" t="s">
        <v>1633</v>
      </c>
      <c r="F322" s="91"/>
      <c r="G322" s="104" t="s">
        <v>1634</v>
      </c>
      <c r="H322" s="91"/>
      <c r="I322" s="101"/>
      <c r="J322" s="91"/>
      <c r="K322" s="105">
        <v>0.0</v>
      </c>
      <c r="L322" s="91"/>
      <c r="M322" s="105">
        <v>505863.0</v>
      </c>
      <c r="N322" s="91"/>
      <c r="O322" s="105">
        <v>1.4477042203126143</v>
      </c>
      <c r="P322" s="101"/>
      <c r="Q322" s="104" t="s">
        <v>1635</v>
      </c>
      <c r="S322" s="101"/>
      <c r="T322" s="101"/>
      <c r="U322" s="101"/>
      <c r="V322" s="101"/>
    </row>
    <row r="323">
      <c r="A323" s="91"/>
      <c r="B323" s="104" t="s">
        <v>1636</v>
      </c>
      <c r="C323" s="104" t="s">
        <v>1637</v>
      </c>
      <c r="D323" s="91"/>
      <c r="E323" s="104" t="s">
        <v>1638</v>
      </c>
      <c r="F323" s="91"/>
      <c r="G323" s="104" t="s">
        <v>1639</v>
      </c>
      <c r="H323" s="91"/>
      <c r="I323" s="101"/>
      <c r="J323" s="91"/>
      <c r="K323" s="105">
        <v>0.0</v>
      </c>
      <c r="L323" s="91"/>
      <c r="M323" s="105">
        <v>2500.0</v>
      </c>
      <c r="N323" s="91"/>
      <c r="O323" s="105">
        <v>50.0</v>
      </c>
      <c r="P323" s="101"/>
      <c r="Q323" s="104" t="s">
        <v>1640</v>
      </c>
      <c r="S323" s="101"/>
      <c r="T323" s="101"/>
      <c r="U323" s="101"/>
      <c r="V323" s="101"/>
    </row>
    <row r="324">
      <c r="A324" s="91"/>
      <c r="B324" s="104" t="s">
        <v>1641</v>
      </c>
      <c r="C324" s="104" t="s">
        <v>1642</v>
      </c>
      <c r="D324" s="91"/>
      <c r="E324" s="104" t="s">
        <v>1643</v>
      </c>
      <c r="F324" s="91"/>
      <c r="G324" s="104" t="s">
        <v>1644</v>
      </c>
      <c r="H324" s="91"/>
      <c r="I324" s="101"/>
      <c r="J324" s="91"/>
      <c r="K324" s="105">
        <v>0.0</v>
      </c>
      <c r="L324" s="91"/>
      <c r="M324" s="105">
        <v>10.5</v>
      </c>
      <c r="N324" s="91"/>
      <c r="O324" s="105">
        <v>0.0</v>
      </c>
      <c r="P324" s="101"/>
      <c r="Q324" s="104" t="s">
        <v>1645</v>
      </c>
      <c r="S324" s="101"/>
      <c r="T324" s="101"/>
      <c r="U324" s="101"/>
      <c r="V324" s="101"/>
    </row>
    <row r="325">
      <c r="A325" s="91"/>
      <c r="B325" s="104" t="s">
        <v>1646</v>
      </c>
      <c r="C325" s="104" t="s">
        <v>1647</v>
      </c>
      <c r="D325" s="91"/>
      <c r="E325" s="104" t="s">
        <v>1648</v>
      </c>
      <c r="F325" s="91"/>
      <c r="G325" s="104" t="s">
        <v>1649</v>
      </c>
      <c r="H325" s="91"/>
      <c r="I325" s="101"/>
      <c r="J325" s="91"/>
      <c r="K325" s="105">
        <v>0.0</v>
      </c>
      <c r="L325" s="91"/>
      <c r="M325" s="105">
        <v>3.2</v>
      </c>
      <c r="N325" s="91"/>
      <c r="O325" s="105">
        <v>0.0</v>
      </c>
      <c r="P325" s="101"/>
      <c r="Q325" s="104" t="s">
        <v>1650</v>
      </c>
      <c r="S325" s="101"/>
      <c r="T325" s="101"/>
      <c r="U325" s="101"/>
      <c r="V325" s="101"/>
    </row>
    <row r="326">
      <c r="A326" s="91"/>
      <c r="B326" s="104" t="s">
        <v>1651</v>
      </c>
      <c r="C326" s="104" t="s">
        <v>1652</v>
      </c>
      <c r="D326" s="91"/>
      <c r="E326" s="104" t="s">
        <v>1653</v>
      </c>
      <c r="F326" s="91"/>
      <c r="G326" s="104" t="s">
        <v>1654</v>
      </c>
      <c r="H326" s="91"/>
      <c r="I326" s="101"/>
      <c r="J326" s="91"/>
      <c r="K326" s="105">
        <v>0.0</v>
      </c>
      <c r="L326" s="91"/>
      <c r="M326" s="105">
        <v>97.0</v>
      </c>
      <c r="N326" s="91"/>
      <c r="O326" s="105">
        <v>0.0</v>
      </c>
      <c r="P326" s="101"/>
      <c r="Q326" s="104" t="s">
        <v>1656</v>
      </c>
      <c r="S326" s="101"/>
      <c r="T326" s="101"/>
      <c r="U326" s="101"/>
      <c r="V326" s="101"/>
    </row>
    <row r="327">
      <c r="A327" s="91"/>
      <c r="B327" s="104" t="s">
        <v>1657</v>
      </c>
      <c r="C327" s="104" t="s">
        <v>1658</v>
      </c>
      <c r="D327" s="91"/>
      <c r="E327" s="104" t="s">
        <v>1659</v>
      </c>
      <c r="F327" s="91"/>
      <c r="G327" s="104" t="s">
        <v>1660</v>
      </c>
      <c r="H327" s="91"/>
      <c r="I327" s="101"/>
      <c r="J327" s="91"/>
      <c r="K327" s="105">
        <v>0.0</v>
      </c>
      <c r="L327" s="91"/>
      <c r="M327" s="105">
        <v>1.521052832E7</v>
      </c>
      <c r="N327" s="91"/>
      <c r="O327" s="105">
        <v>0.2723760748370902</v>
      </c>
      <c r="P327" s="101"/>
      <c r="Q327" s="104" t="s">
        <v>1661</v>
      </c>
      <c r="S327" s="101"/>
      <c r="T327" s="101"/>
      <c r="U327" s="101"/>
      <c r="V327" s="101"/>
    </row>
    <row r="328">
      <c r="A328" s="91"/>
      <c r="B328" s="104" t="s">
        <v>1662</v>
      </c>
      <c r="C328" s="104" t="s">
        <v>1663</v>
      </c>
      <c r="D328" s="91"/>
      <c r="E328" s="104" t="s">
        <v>1664</v>
      </c>
      <c r="F328" s="91"/>
      <c r="G328" s="104" t="s">
        <v>1665</v>
      </c>
      <c r="H328" s="91"/>
      <c r="I328" s="101"/>
      <c r="J328" s="91"/>
      <c r="K328" s="105">
        <v>0.0</v>
      </c>
      <c r="L328" s="91"/>
      <c r="M328" s="105">
        <v>2.2</v>
      </c>
      <c r="N328" s="91"/>
      <c r="O328" s="105">
        <v>0.0</v>
      </c>
      <c r="P328" s="101"/>
      <c r="Q328" s="104" t="s">
        <v>1666</v>
      </c>
      <c r="S328" s="101"/>
      <c r="T328" s="101"/>
      <c r="U328" s="101"/>
      <c r="V328" s="101"/>
    </row>
    <row r="329">
      <c r="A329" s="91"/>
      <c r="B329" s="104" t="s">
        <v>1667</v>
      </c>
      <c r="C329" s="104" t="s">
        <v>1668</v>
      </c>
      <c r="D329" s="91"/>
      <c r="E329" s="104" t="s">
        <v>1669</v>
      </c>
      <c r="F329" s="91"/>
      <c r="G329" s="104" t="s">
        <v>1670</v>
      </c>
      <c r="H329" s="91"/>
      <c r="I329" s="101"/>
      <c r="J329" s="91"/>
      <c r="K329" s="105">
        <v>0.0</v>
      </c>
      <c r="L329" s="91"/>
      <c r="M329" s="105">
        <v>1.1</v>
      </c>
      <c r="N329" s="91"/>
      <c r="O329" s="105">
        <v>0.0</v>
      </c>
      <c r="P329" s="101"/>
      <c r="Q329" s="104" t="s">
        <v>1671</v>
      </c>
      <c r="S329" s="101"/>
      <c r="T329" s="101"/>
      <c r="U329" s="101"/>
      <c r="V329" s="101"/>
    </row>
    <row r="330">
      <c r="A330" s="91"/>
      <c r="B330" s="104" t="s">
        <v>1672</v>
      </c>
      <c r="C330" s="104" t="s">
        <v>1673</v>
      </c>
      <c r="D330" s="91"/>
      <c r="E330" s="104" t="s">
        <v>1674</v>
      </c>
      <c r="F330" s="91"/>
      <c r="G330" s="104" t="s">
        <v>1675</v>
      </c>
      <c r="H330" s="91"/>
      <c r="I330" s="101"/>
      <c r="J330" s="91"/>
      <c r="K330" s="105">
        <v>0.0</v>
      </c>
      <c r="L330" s="91"/>
      <c r="M330" s="105">
        <v>45.0</v>
      </c>
      <c r="N330" s="91"/>
      <c r="O330" s="105">
        <v>3777.777777777778</v>
      </c>
      <c r="P330" s="101"/>
      <c r="Q330" s="104" t="s">
        <v>1676</v>
      </c>
      <c r="S330" s="101"/>
      <c r="T330" s="101"/>
      <c r="U330" s="101"/>
      <c r="V330" s="101"/>
    </row>
    <row r="331">
      <c r="A331" s="91"/>
      <c r="B331" s="104" t="s">
        <v>1678</v>
      </c>
      <c r="C331" s="104" t="s">
        <v>1679</v>
      </c>
      <c r="D331" s="91"/>
      <c r="E331" s="104" t="s">
        <v>1680</v>
      </c>
      <c r="F331" s="91"/>
      <c r="G331" s="104" t="s">
        <v>1681</v>
      </c>
      <c r="H331" s="91"/>
      <c r="I331" s="101"/>
      <c r="J331" s="91"/>
      <c r="K331" s="105">
        <v>0.0</v>
      </c>
      <c r="L331" s="91"/>
      <c r="M331" s="105">
        <v>8.0</v>
      </c>
      <c r="N331" s="91"/>
      <c r="O331" s="105">
        <v>5000.0</v>
      </c>
      <c r="P331" s="101"/>
      <c r="Q331" s="104" t="s">
        <v>1682</v>
      </c>
      <c r="S331" s="101"/>
      <c r="T331" s="101"/>
      <c r="U331" s="101"/>
      <c r="V331" s="101"/>
    </row>
    <row r="332">
      <c r="A332" s="91"/>
      <c r="B332" s="104" t="s">
        <v>1683</v>
      </c>
      <c r="C332" s="104" t="s">
        <v>1684</v>
      </c>
      <c r="D332" s="91"/>
      <c r="E332" s="104" t="s">
        <v>1686</v>
      </c>
      <c r="F332" s="91"/>
      <c r="G332" s="104" t="s">
        <v>1687</v>
      </c>
      <c r="H332" s="91"/>
      <c r="I332" s="101"/>
      <c r="J332" s="91"/>
      <c r="K332" s="105">
        <v>0.0</v>
      </c>
      <c r="L332" s="91"/>
      <c r="M332" s="105">
        <v>24.0</v>
      </c>
      <c r="N332" s="91"/>
      <c r="O332" s="105">
        <v>0.0</v>
      </c>
      <c r="P332" s="101"/>
      <c r="Q332" s="104" t="s">
        <v>1688</v>
      </c>
      <c r="S332" s="101"/>
      <c r="T332" s="101"/>
      <c r="U332" s="101"/>
      <c r="V332" s="101"/>
    </row>
    <row r="333">
      <c r="A333" s="91"/>
      <c r="B333" s="104" t="s">
        <v>1689</v>
      </c>
      <c r="C333" s="104" t="s">
        <v>1690</v>
      </c>
      <c r="D333" s="91"/>
      <c r="E333" s="104" t="s">
        <v>1691</v>
      </c>
      <c r="F333" s="91"/>
      <c r="G333" s="104" t="s">
        <v>1693</v>
      </c>
      <c r="H333" s="91"/>
      <c r="I333" s="101"/>
      <c r="J333" s="91"/>
      <c r="K333" s="105">
        <v>0.0</v>
      </c>
      <c r="L333" s="91"/>
      <c r="M333" s="105">
        <v>40.0</v>
      </c>
      <c r="N333" s="91"/>
      <c r="O333" s="105">
        <v>1865.0</v>
      </c>
      <c r="P333" s="101"/>
      <c r="Q333" s="104" t="s">
        <v>1694</v>
      </c>
      <c r="S333" s="101"/>
      <c r="T333" s="101"/>
      <c r="U333" s="101"/>
      <c r="V333" s="101"/>
    </row>
    <row r="334">
      <c r="A334" s="91"/>
      <c r="B334" s="104" t="s">
        <v>1695</v>
      </c>
      <c r="C334" s="104" t="s">
        <v>1696</v>
      </c>
      <c r="D334" s="91"/>
      <c r="E334" s="104" t="s">
        <v>1697</v>
      </c>
      <c r="F334" s="91"/>
      <c r="G334" s="104" t="s">
        <v>1698</v>
      </c>
      <c r="H334" s="91"/>
      <c r="I334" s="101"/>
      <c r="J334" s="91"/>
      <c r="K334" s="105">
        <v>0.0</v>
      </c>
      <c r="L334" s="91"/>
      <c r="M334" s="105">
        <v>11332.0</v>
      </c>
      <c r="N334" s="91"/>
      <c r="O334" s="105">
        <v>31.079597599717612</v>
      </c>
      <c r="P334" s="101"/>
      <c r="Q334" s="104" t="s">
        <v>1700</v>
      </c>
      <c r="S334" s="101"/>
      <c r="T334" s="101"/>
      <c r="U334" s="101"/>
      <c r="V334" s="101"/>
    </row>
    <row r="335">
      <c r="A335" s="91"/>
      <c r="B335" s="104" t="s">
        <v>1701</v>
      </c>
      <c r="C335" s="104" t="s">
        <v>1703</v>
      </c>
      <c r="D335" s="91"/>
      <c r="E335" s="104" t="s">
        <v>1704</v>
      </c>
      <c r="F335" s="91"/>
      <c r="G335" s="104" t="s">
        <v>1705</v>
      </c>
      <c r="H335" s="91"/>
      <c r="I335" s="101"/>
      <c r="J335" s="91"/>
      <c r="K335" s="105">
        <v>0.0</v>
      </c>
      <c r="L335" s="91"/>
      <c r="M335" s="105">
        <v>821.0</v>
      </c>
      <c r="N335" s="91"/>
      <c r="O335" s="105">
        <v>548.1120584652863</v>
      </c>
      <c r="P335" s="101"/>
      <c r="Q335" s="104" t="s">
        <v>1706</v>
      </c>
      <c r="S335" s="101"/>
      <c r="T335" s="101"/>
      <c r="U335" s="101"/>
      <c r="V335" s="101"/>
    </row>
    <row r="336">
      <c r="A336" s="100" t="s">
        <v>1707</v>
      </c>
      <c r="C336" s="91"/>
      <c r="D336" s="91"/>
      <c r="E336" s="91"/>
      <c r="F336" s="91"/>
      <c r="G336" s="91"/>
      <c r="H336" s="91"/>
      <c r="I336" s="101"/>
      <c r="J336" s="91"/>
      <c r="K336" s="101"/>
      <c r="L336" s="91"/>
      <c r="M336" s="101"/>
      <c r="N336" s="91"/>
      <c r="O336" s="101"/>
      <c r="P336" s="101"/>
      <c r="Q336" s="91"/>
      <c r="R336" s="101"/>
      <c r="S336" s="101"/>
      <c r="T336" s="101"/>
      <c r="U336" s="101"/>
      <c r="V336" s="101"/>
    </row>
    <row r="337">
      <c r="A337" s="91"/>
      <c r="B337" s="104" t="s">
        <v>1708</v>
      </c>
      <c r="C337" s="104" t="s">
        <v>1709</v>
      </c>
      <c r="D337" s="91"/>
      <c r="E337" s="104" t="s">
        <v>1710</v>
      </c>
      <c r="F337" s="91"/>
      <c r="G337" s="104" t="s">
        <v>1711</v>
      </c>
      <c r="H337" s="91"/>
      <c r="I337" s="101"/>
      <c r="J337" s="91"/>
      <c r="K337" s="105">
        <v>0.0</v>
      </c>
      <c r="L337" s="91"/>
      <c r="M337" s="105">
        <v>1032.0</v>
      </c>
      <c r="N337" s="91"/>
      <c r="O337" s="105">
        <v>775.0575339147287</v>
      </c>
      <c r="P337" s="101"/>
      <c r="Q337" s="104" t="s">
        <v>1712</v>
      </c>
      <c r="S337" s="101"/>
      <c r="T337" s="101"/>
      <c r="U337" s="101"/>
      <c r="V337" s="101"/>
    </row>
    <row r="338">
      <c r="A338" s="91"/>
      <c r="B338" s="104" t="s">
        <v>1713</v>
      </c>
      <c r="C338" s="104" t="s">
        <v>1714</v>
      </c>
      <c r="D338" s="91"/>
      <c r="E338" s="104" t="s">
        <v>1715</v>
      </c>
      <c r="F338" s="91"/>
      <c r="G338" s="104" t="s">
        <v>1716</v>
      </c>
      <c r="H338" s="91"/>
      <c r="I338" s="101"/>
      <c r="J338" s="91"/>
      <c r="K338" s="105">
        <v>0.0</v>
      </c>
      <c r="L338" s="91"/>
      <c r="M338" s="105">
        <v>37443.0</v>
      </c>
      <c r="N338" s="91"/>
      <c r="O338" s="105">
        <v>67.0</v>
      </c>
      <c r="P338" s="101"/>
      <c r="Q338" s="104" t="s">
        <v>1717</v>
      </c>
      <c r="S338" s="101"/>
      <c r="T338" s="101"/>
      <c r="U338" s="101"/>
      <c r="V338" s="101"/>
    </row>
    <row r="339">
      <c r="A339" s="91"/>
      <c r="B339" s="104" t="s">
        <v>1718</v>
      </c>
      <c r="C339" s="104" t="s">
        <v>1719</v>
      </c>
      <c r="D339" s="91"/>
      <c r="E339" s="104" t="s">
        <v>1720</v>
      </c>
      <c r="F339" s="91"/>
      <c r="G339" s="104" t="s">
        <v>1721</v>
      </c>
      <c r="H339" s="91"/>
      <c r="I339" s="101"/>
      <c r="J339" s="91"/>
      <c r="K339" s="105">
        <v>0.0</v>
      </c>
      <c r="L339" s="91"/>
      <c r="M339" s="105">
        <v>7003.0</v>
      </c>
      <c r="N339" s="91"/>
      <c r="O339" s="105">
        <v>44.39797229758675</v>
      </c>
      <c r="P339" s="101"/>
      <c r="Q339" s="104" t="s">
        <v>1723</v>
      </c>
      <c r="S339" s="101"/>
      <c r="T339" s="101"/>
      <c r="U339" s="101"/>
      <c r="V339" s="101"/>
    </row>
    <row r="340">
      <c r="A340" s="91"/>
      <c r="B340" s="104" t="s">
        <v>1724</v>
      </c>
      <c r="C340" s="104" t="s">
        <v>1726</v>
      </c>
      <c r="D340" s="91"/>
      <c r="E340" s="104" t="s">
        <v>1727</v>
      </c>
      <c r="F340" s="91"/>
      <c r="G340" s="104" t="s">
        <v>1728</v>
      </c>
      <c r="H340" s="91"/>
      <c r="I340" s="101"/>
      <c r="J340" s="91"/>
      <c r="K340" s="105">
        <v>0.0</v>
      </c>
      <c r="L340" s="91"/>
      <c r="M340" s="105">
        <v>340.5</v>
      </c>
      <c r="N340" s="91"/>
      <c r="O340" s="105">
        <v>3150.0</v>
      </c>
      <c r="P340" s="101"/>
      <c r="Q340" s="104" t="s">
        <v>1731</v>
      </c>
      <c r="S340" s="101"/>
      <c r="T340" s="101"/>
      <c r="U340" s="101"/>
      <c r="V340" s="101"/>
    </row>
    <row r="341">
      <c r="A341" s="91"/>
      <c r="B341" s="104" t="s">
        <v>1733</v>
      </c>
      <c r="C341" s="104" t="s">
        <v>1734</v>
      </c>
      <c r="D341" s="91"/>
      <c r="E341" s="104" t="s">
        <v>1735</v>
      </c>
      <c r="F341" s="91"/>
      <c r="G341" s="104" t="s">
        <v>1737</v>
      </c>
      <c r="H341" s="91"/>
      <c r="I341" s="101"/>
      <c r="J341" s="91"/>
      <c r="K341" s="105">
        <v>0.0</v>
      </c>
      <c r="L341" s="91"/>
      <c r="M341" s="105">
        <v>0.0</v>
      </c>
      <c r="N341" s="91"/>
      <c r="O341" s="105">
        <v>0.0</v>
      </c>
      <c r="P341" s="101"/>
      <c r="Q341" s="104" t="s">
        <v>1739</v>
      </c>
      <c r="S341" s="101"/>
      <c r="T341" s="101"/>
      <c r="U341" s="101"/>
      <c r="V341" s="101"/>
    </row>
    <row r="342">
      <c r="A342" s="91"/>
      <c r="B342" s="104" t="s">
        <v>1740</v>
      </c>
      <c r="C342" s="104" t="s">
        <v>1741</v>
      </c>
      <c r="D342" s="91"/>
      <c r="E342" s="104" t="s">
        <v>1742</v>
      </c>
      <c r="F342" s="91"/>
      <c r="G342" s="104" t="s">
        <v>1743</v>
      </c>
      <c r="H342" s="91"/>
      <c r="I342" s="101"/>
      <c r="J342" s="91"/>
      <c r="K342" s="105">
        <v>0.0</v>
      </c>
      <c r="L342" s="91"/>
      <c r="M342" s="105">
        <v>15000.0</v>
      </c>
      <c r="N342" s="91"/>
      <c r="O342" s="105">
        <v>31.666666666666668</v>
      </c>
      <c r="P342" s="101"/>
      <c r="Q342" s="104" t="s">
        <v>1744</v>
      </c>
      <c r="S342" s="101"/>
      <c r="T342" s="101"/>
      <c r="U342" s="101"/>
      <c r="V342" s="101"/>
    </row>
    <row r="343">
      <c r="A343" s="91"/>
      <c r="B343" s="104" t="s">
        <v>1745</v>
      </c>
      <c r="C343" s="104" t="s">
        <v>1746</v>
      </c>
      <c r="D343" s="91"/>
      <c r="E343" s="104" t="s">
        <v>1747</v>
      </c>
      <c r="F343" s="91"/>
      <c r="G343" s="104" t="s">
        <v>1749</v>
      </c>
      <c r="H343" s="91"/>
      <c r="I343" s="91"/>
      <c r="J343" s="91"/>
      <c r="K343" s="105">
        <v>0.0</v>
      </c>
      <c r="L343" s="91"/>
      <c r="M343" s="105">
        <v>481.0</v>
      </c>
      <c r="N343" s="91"/>
      <c r="O343" s="105">
        <v>3000.0</v>
      </c>
      <c r="P343" s="225">
        <v>1.0</v>
      </c>
      <c r="Q343" s="104" t="s">
        <v>1751</v>
      </c>
      <c r="S343" s="225">
        <v>2.0</v>
      </c>
      <c r="T343" s="225">
        <v>3.0</v>
      </c>
      <c r="U343" s="225">
        <v>4.0</v>
      </c>
      <c r="V343" s="91"/>
    </row>
    <row r="344">
      <c r="A344" s="91"/>
      <c r="B344" s="104" t="s">
        <v>1752</v>
      </c>
      <c r="C344" s="104" t="s">
        <v>1753</v>
      </c>
      <c r="D344" s="91"/>
      <c r="E344" s="104" t="s">
        <v>1754</v>
      </c>
      <c r="F344" s="91"/>
      <c r="G344" s="104" t="s">
        <v>1755</v>
      </c>
      <c r="H344" s="91"/>
      <c r="I344" s="91"/>
      <c r="J344" s="91"/>
      <c r="K344" s="105">
        <v>0.0</v>
      </c>
      <c r="L344" s="91"/>
      <c r="M344" s="105">
        <v>21451.0</v>
      </c>
      <c r="N344" s="91"/>
      <c r="O344" s="105">
        <v>83.0</v>
      </c>
      <c r="P344" s="91"/>
      <c r="Q344" s="104" t="s">
        <v>1756</v>
      </c>
      <c r="S344" s="91"/>
      <c r="T344" s="91"/>
      <c r="U344" s="91"/>
      <c r="V344" s="91"/>
    </row>
    <row r="345">
      <c r="A345" s="91"/>
      <c r="B345" s="104" t="s">
        <v>1757</v>
      </c>
      <c r="C345" s="104" t="s">
        <v>1758</v>
      </c>
      <c r="D345" s="91"/>
      <c r="E345" s="104" t="s">
        <v>1759</v>
      </c>
      <c r="F345" s="91"/>
      <c r="G345" s="104" t="s">
        <v>1760</v>
      </c>
      <c r="H345" s="91"/>
      <c r="I345" s="91"/>
      <c r="J345" s="91"/>
      <c r="K345" s="105">
        <v>0.0</v>
      </c>
      <c r="L345" s="91"/>
      <c r="M345" s="105">
        <v>39.0</v>
      </c>
      <c r="N345" s="91"/>
      <c r="O345" s="105">
        <v>3000.0</v>
      </c>
      <c r="P345" s="91"/>
      <c r="Q345" s="104" t="s">
        <v>1761</v>
      </c>
      <c r="S345" s="91"/>
      <c r="T345" s="91"/>
      <c r="U345" s="91"/>
      <c r="V345" s="91"/>
    </row>
    <row r="346">
      <c r="A346" s="91"/>
      <c r="B346" s="104" t="s">
        <v>1762</v>
      </c>
      <c r="C346" s="104" t="s">
        <v>1763</v>
      </c>
      <c r="D346" s="91"/>
      <c r="E346" s="104" t="s">
        <v>1764</v>
      </c>
      <c r="F346" s="91"/>
      <c r="G346" s="104" t="s">
        <v>1765</v>
      </c>
      <c r="H346" s="91"/>
      <c r="I346" s="91"/>
      <c r="J346" s="91"/>
      <c r="K346" s="105">
        <v>0.0</v>
      </c>
      <c r="L346" s="91"/>
      <c r="M346" s="105">
        <v>677.0</v>
      </c>
      <c r="N346" s="91"/>
      <c r="O346" s="105">
        <v>656.5731170044313</v>
      </c>
      <c r="P346" s="91"/>
      <c r="Q346" s="104" t="s">
        <v>1766</v>
      </c>
      <c r="S346" s="91"/>
      <c r="T346" s="91"/>
      <c r="U346" s="91"/>
      <c r="V346" s="91"/>
    </row>
    <row r="347">
      <c r="A347" s="91"/>
      <c r="B347" s="104" t="s">
        <v>1767</v>
      </c>
      <c r="C347" s="104" t="s">
        <v>1768</v>
      </c>
      <c r="D347" s="91"/>
      <c r="E347" s="104" t="s">
        <v>1769</v>
      </c>
      <c r="F347" s="91"/>
      <c r="G347" s="104" t="s">
        <v>1770</v>
      </c>
      <c r="H347" s="91"/>
      <c r="I347" s="91"/>
      <c r="J347" s="91"/>
      <c r="K347" s="105">
        <v>0.0</v>
      </c>
      <c r="L347" s="91"/>
      <c r="M347" s="105">
        <v>7004.0</v>
      </c>
      <c r="N347" s="91"/>
      <c r="O347" s="105">
        <v>12.581667618503712</v>
      </c>
      <c r="P347" s="91"/>
      <c r="Q347" s="104" t="s">
        <v>1771</v>
      </c>
      <c r="S347" s="91"/>
      <c r="T347" s="91"/>
      <c r="U347" s="91"/>
      <c r="V347" s="91"/>
    </row>
    <row r="348">
      <c r="A348" s="91"/>
      <c r="B348" s="104" t="s">
        <v>1772</v>
      </c>
      <c r="C348" s="104" t="s">
        <v>1773</v>
      </c>
      <c r="D348" s="91"/>
      <c r="E348" s="104" t="s">
        <v>1774</v>
      </c>
      <c r="F348" s="91"/>
      <c r="G348" s="104" t="s">
        <v>1775</v>
      </c>
      <c r="H348" s="91"/>
      <c r="I348" s="91"/>
      <c r="J348" s="91"/>
      <c r="K348" s="105">
        <v>0.0</v>
      </c>
      <c r="L348" s="91"/>
      <c r="M348" s="105">
        <v>17503.0</v>
      </c>
      <c r="N348" s="91"/>
      <c r="O348" s="105">
        <v>27.0</v>
      </c>
      <c r="P348" s="91"/>
      <c r="Q348" s="104" t="s">
        <v>1776</v>
      </c>
      <c r="S348" s="91"/>
      <c r="T348" s="91"/>
      <c r="U348" s="91"/>
      <c r="V348" s="91"/>
    </row>
    <row r="349">
      <c r="A349" s="91"/>
      <c r="B349" s="104" t="s">
        <v>1777</v>
      </c>
      <c r="C349" s="104" t="s">
        <v>1778</v>
      </c>
      <c r="D349" s="91"/>
      <c r="E349" s="104" t="s">
        <v>1779</v>
      </c>
      <c r="F349" s="91"/>
      <c r="G349" s="104" t="s">
        <v>1780</v>
      </c>
      <c r="H349" s="91"/>
      <c r="I349" s="91"/>
      <c r="J349" s="91"/>
      <c r="K349" s="105">
        <v>0.0</v>
      </c>
      <c r="L349" s="91"/>
      <c r="M349" s="105">
        <v>15699.0</v>
      </c>
      <c r="N349" s="91"/>
      <c r="O349" s="146">
        <v>38.0</v>
      </c>
      <c r="P349" s="91"/>
      <c r="Q349" s="104" t="s">
        <v>1781</v>
      </c>
      <c r="S349" s="91"/>
      <c r="T349" s="91"/>
      <c r="U349" s="91"/>
      <c r="V349" s="91"/>
    </row>
    <row r="350">
      <c r="A350" s="91"/>
      <c r="B350" s="104" t="s">
        <v>1782</v>
      </c>
      <c r="C350" s="104" t="s">
        <v>1783</v>
      </c>
      <c r="D350" s="91"/>
      <c r="E350" s="104" t="s">
        <v>1784</v>
      </c>
      <c r="F350" s="91"/>
      <c r="G350" s="104" t="s">
        <v>1785</v>
      </c>
      <c r="H350" s="91"/>
      <c r="I350" s="91"/>
      <c r="J350" s="91"/>
      <c r="K350" s="105">
        <v>0.0</v>
      </c>
      <c r="L350" s="91"/>
      <c r="M350" s="105">
        <v>15819.0</v>
      </c>
      <c r="N350" s="91"/>
      <c r="O350" s="146">
        <v>38.0</v>
      </c>
      <c r="P350" s="91"/>
      <c r="Q350" s="104" t="s">
        <v>1786</v>
      </c>
      <c r="S350" s="91"/>
      <c r="T350" s="91"/>
      <c r="U350" s="91"/>
      <c r="V350" s="91"/>
    </row>
    <row r="351">
      <c r="A351" s="91"/>
      <c r="B351" s="104" t="s">
        <v>1787</v>
      </c>
      <c r="C351" s="104" t="s">
        <v>1788</v>
      </c>
      <c r="D351" s="91"/>
      <c r="E351" s="104" t="s">
        <v>1789</v>
      </c>
      <c r="F351" s="91"/>
      <c r="G351" s="104" t="s">
        <v>1790</v>
      </c>
      <c r="H351" s="91"/>
      <c r="I351" s="91"/>
      <c r="J351" s="91"/>
      <c r="K351" s="105">
        <v>0.0</v>
      </c>
      <c r="L351" s="91"/>
      <c r="M351" s="105">
        <v>24018.0</v>
      </c>
      <c r="N351" s="91"/>
      <c r="O351" s="146">
        <v>45.0</v>
      </c>
      <c r="P351" s="91"/>
      <c r="Q351" s="104" t="s">
        <v>1791</v>
      </c>
      <c r="S351" s="91"/>
      <c r="T351" s="91"/>
      <c r="U351" s="91"/>
      <c r="V351" s="91"/>
    </row>
    <row r="352">
      <c r="A352" s="91"/>
      <c r="B352" s="104" t="s">
        <v>1792</v>
      </c>
      <c r="C352" s="104" t="s">
        <v>1793</v>
      </c>
      <c r="D352" s="91"/>
      <c r="E352" s="104" t="s">
        <v>1794</v>
      </c>
      <c r="F352" s="91"/>
      <c r="G352" s="104" t="s">
        <v>1795</v>
      </c>
      <c r="H352" s="91"/>
      <c r="I352" s="91"/>
      <c r="J352" s="91"/>
      <c r="K352" s="105">
        <v>0.0</v>
      </c>
      <c r="L352" s="91"/>
      <c r="M352" s="105">
        <v>16229.0</v>
      </c>
      <c r="N352" s="91"/>
      <c r="O352" s="105">
        <v>35.0</v>
      </c>
      <c r="P352" s="91"/>
      <c r="Q352" s="104" t="s">
        <v>1796</v>
      </c>
      <c r="S352" s="91"/>
      <c r="T352" s="91"/>
      <c r="U352" s="91"/>
      <c r="V352" s="91"/>
    </row>
    <row r="353">
      <c r="A353" s="91"/>
      <c r="B353" s="104" t="s">
        <v>1797</v>
      </c>
      <c r="C353" s="104" t="s">
        <v>1798</v>
      </c>
      <c r="D353" s="91"/>
      <c r="E353" s="104" t="s">
        <v>1799</v>
      </c>
      <c r="F353" s="91"/>
      <c r="G353" s="104" t="s">
        <v>1800</v>
      </c>
      <c r="H353" s="91"/>
      <c r="I353" s="101"/>
      <c r="J353" s="91"/>
      <c r="K353" s="105">
        <v>0.0</v>
      </c>
      <c r="L353" s="91"/>
      <c r="M353" s="105">
        <v>17928.0</v>
      </c>
      <c r="N353" s="91"/>
      <c r="O353" s="146">
        <v>38.0</v>
      </c>
      <c r="P353" s="101"/>
      <c r="Q353" s="104" t="s">
        <v>1801</v>
      </c>
      <c r="S353" s="101"/>
      <c r="T353" s="101"/>
      <c r="U353" s="101"/>
      <c r="V353" s="101"/>
    </row>
    <row r="354">
      <c r="A354" s="91"/>
      <c r="B354" s="104" t="s">
        <v>1802</v>
      </c>
      <c r="C354" s="104" t="s">
        <v>1803</v>
      </c>
      <c r="D354" s="91"/>
      <c r="E354" s="104" t="s">
        <v>1804</v>
      </c>
      <c r="F354" s="91"/>
      <c r="G354" s="104" t="s">
        <v>1805</v>
      </c>
      <c r="H354" s="91"/>
      <c r="I354" s="101"/>
      <c r="J354" s="91"/>
      <c r="K354" s="105">
        <v>0.0</v>
      </c>
      <c r="L354" s="91"/>
      <c r="M354" s="105">
        <v>24095.0</v>
      </c>
      <c r="N354" s="91"/>
      <c r="O354" s="105">
        <v>35.77480805146296</v>
      </c>
      <c r="P354" s="101"/>
      <c r="Q354" s="104" t="s">
        <v>1806</v>
      </c>
      <c r="S354" s="101"/>
      <c r="T354" s="101"/>
      <c r="U354" s="101"/>
      <c r="V354" s="101"/>
    </row>
    <row r="355">
      <c r="A355" s="91"/>
      <c r="B355" s="104" t="s">
        <v>1807</v>
      </c>
      <c r="C355" s="104" t="s">
        <v>1808</v>
      </c>
      <c r="D355" s="91"/>
      <c r="E355" s="104" t="s">
        <v>1809</v>
      </c>
      <c r="F355" s="91"/>
      <c r="G355" s="104" t="s">
        <v>1810</v>
      </c>
      <c r="H355" s="91"/>
      <c r="I355" s="101"/>
      <c r="J355" s="91"/>
      <c r="K355" s="105">
        <v>0.0</v>
      </c>
      <c r="L355" s="91"/>
      <c r="M355" s="105">
        <v>21803.0</v>
      </c>
      <c r="N355" s="91"/>
      <c r="O355" s="105">
        <v>31.36692198321332</v>
      </c>
      <c r="P355" s="101"/>
      <c r="Q355" s="104" t="s">
        <v>1811</v>
      </c>
      <c r="S355" s="101"/>
      <c r="T355" s="101"/>
      <c r="U355" s="101"/>
      <c r="V355" s="101"/>
    </row>
    <row r="356">
      <c r="A356" s="91"/>
      <c r="B356" s="104" t="s">
        <v>1812</v>
      </c>
      <c r="C356" s="104" t="s">
        <v>1813</v>
      </c>
      <c r="D356" s="91"/>
      <c r="E356" s="104" t="s">
        <v>1814</v>
      </c>
      <c r="F356" s="91"/>
      <c r="G356" s="104" t="s">
        <v>1815</v>
      </c>
      <c r="H356" s="91"/>
      <c r="I356" s="101"/>
      <c r="J356" s="91"/>
      <c r="K356" s="105">
        <v>0.0</v>
      </c>
      <c r="L356" s="91"/>
      <c r="M356" s="105">
        <v>7500.0</v>
      </c>
      <c r="N356" s="91"/>
      <c r="O356" s="105">
        <v>50.0</v>
      </c>
      <c r="P356" s="101"/>
      <c r="Q356" s="104" t="s">
        <v>1816</v>
      </c>
      <c r="S356" s="101"/>
      <c r="T356" s="101"/>
      <c r="U356" s="101"/>
      <c r="V356" s="101"/>
    </row>
    <row r="357">
      <c r="A357" s="91"/>
      <c r="B357" s="104" t="s">
        <v>1817</v>
      </c>
      <c r="C357" s="104" t="s">
        <v>1818</v>
      </c>
      <c r="D357" s="91"/>
      <c r="E357" s="104" t="s">
        <v>1819</v>
      </c>
      <c r="F357" s="91"/>
      <c r="G357" s="104" t="s">
        <v>1820</v>
      </c>
      <c r="H357" s="91"/>
      <c r="I357" s="101"/>
      <c r="J357" s="91"/>
      <c r="K357" s="105">
        <v>0.0</v>
      </c>
      <c r="L357" s="91"/>
      <c r="M357" s="105">
        <v>971.0</v>
      </c>
      <c r="N357" s="91"/>
      <c r="O357" s="105">
        <v>369.5932028836251</v>
      </c>
      <c r="P357" s="101"/>
      <c r="Q357" s="104" t="s">
        <v>1821</v>
      </c>
      <c r="S357" s="101"/>
      <c r="T357" s="101"/>
      <c r="U357" s="101"/>
      <c r="V357" s="101"/>
    </row>
    <row r="358">
      <c r="A358" s="91"/>
      <c r="B358" s="104" t="s">
        <v>1822</v>
      </c>
      <c r="C358" s="104" t="s">
        <v>1823</v>
      </c>
      <c r="D358" s="91"/>
      <c r="E358" s="104" t="s">
        <v>1824</v>
      </c>
      <c r="F358" s="91"/>
      <c r="G358" s="104" t="s">
        <v>1825</v>
      </c>
      <c r="H358" s="91"/>
      <c r="I358" s="101"/>
      <c r="J358" s="91"/>
      <c r="K358" s="105">
        <v>0.0</v>
      </c>
      <c r="L358" s="91"/>
      <c r="M358" s="105">
        <v>243.0</v>
      </c>
      <c r="N358" s="91"/>
      <c r="O358" s="105">
        <v>1733.333333</v>
      </c>
      <c r="P358" s="101"/>
      <c r="Q358" s="104" t="s">
        <v>1826</v>
      </c>
      <c r="S358" s="101"/>
      <c r="T358" s="101"/>
      <c r="U358" s="101"/>
      <c r="V358" s="101"/>
    </row>
    <row r="359">
      <c r="A359" s="91"/>
      <c r="B359" s="104" t="s">
        <v>1827</v>
      </c>
      <c r="C359" s="104" t="s">
        <v>1828</v>
      </c>
      <c r="D359" s="91"/>
      <c r="E359" s="104" t="s">
        <v>1829</v>
      </c>
      <c r="F359" s="91"/>
      <c r="G359" s="104" t="s">
        <v>1830</v>
      </c>
      <c r="H359" s="91"/>
      <c r="I359" s="101"/>
      <c r="J359" s="91"/>
      <c r="K359" s="105">
        <v>0.0</v>
      </c>
      <c r="L359" s="91"/>
      <c r="M359" s="105">
        <v>206.0</v>
      </c>
      <c r="N359" s="91"/>
      <c r="O359" s="105">
        <v>2066.666667</v>
      </c>
      <c r="P359" s="101"/>
      <c r="Q359" s="104" t="s">
        <v>1831</v>
      </c>
      <c r="S359" s="101"/>
      <c r="T359" s="101"/>
      <c r="U359" s="101"/>
      <c r="V359" s="101"/>
    </row>
    <row r="360">
      <c r="A360" s="91"/>
      <c r="B360" s="104" t="s">
        <v>1832</v>
      </c>
      <c r="C360" s="104" t="s">
        <v>1833</v>
      </c>
      <c r="D360" s="91"/>
      <c r="E360" s="104" t="s">
        <v>1834</v>
      </c>
      <c r="F360" s="91"/>
      <c r="G360" s="104" t="s">
        <v>1835</v>
      </c>
      <c r="H360" s="91"/>
      <c r="I360" s="101"/>
      <c r="J360" s="91"/>
      <c r="K360" s="105">
        <v>0.0</v>
      </c>
      <c r="L360" s="91"/>
      <c r="M360" s="105">
        <v>46804.0</v>
      </c>
      <c r="N360" s="91"/>
      <c r="O360" s="105">
        <v>22.017071190496537</v>
      </c>
      <c r="P360" s="101"/>
      <c r="Q360" s="104" t="s">
        <v>1836</v>
      </c>
      <c r="S360" s="101"/>
      <c r="T360" s="101"/>
      <c r="U360" s="101"/>
      <c r="V360" s="101"/>
    </row>
    <row r="361">
      <c r="A361" s="91"/>
      <c r="B361" s="104" t="s">
        <v>1837</v>
      </c>
      <c r="C361" s="104" t="s">
        <v>1838</v>
      </c>
      <c r="D361" s="91"/>
      <c r="E361" s="104" t="s">
        <v>1839</v>
      </c>
      <c r="F361" s="91"/>
      <c r="G361" s="104" t="s">
        <v>1840</v>
      </c>
      <c r="H361" s="91"/>
      <c r="I361" s="101"/>
      <c r="J361" s="91"/>
      <c r="K361" s="105">
        <v>0.0</v>
      </c>
      <c r="L361" s="91"/>
      <c r="M361" s="105">
        <v>17598.0</v>
      </c>
      <c r="N361" s="91"/>
      <c r="O361" s="105">
        <v>10.923286737129219</v>
      </c>
      <c r="P361" s="101"/>
      <c r="Q361" s="104" t="s">
        <v>1841</v>
      </c>
      <c r="S361" s="101"/>
      <c r="T361" s="101"/>
      <c r="U361" s="101"/>
      <c r="V361" s="101"/>
    </row>
    <row r="362">
      <c r="A362" s="91"/>
      <c r="B362" s="104" t="s">
        <v>1842</v>
      </c>
      <c r="C362" s="104" t="s">
        <v>1843</v>
      </c>
      <c r="D362" s="91"/>
      <c r="E362" s="104" t="s">
        <v>1844</v>
      </c>
      <c r="F362" s="91"/>
      <c r="G362" s="104" t="s">
        <v>1845</v>
      </c>
      <c r="H362" s="91"/>
      <c r="I362" s="101"/>
      <c r="J362" s="91"/>
      <c r="K362" s="105">
        <v>0.0</v>
      </c>
      <c r="L362" s="91"/>
      <c r="M362" s="105">
        <v>15750.0</v>
      </c>
      <c r="N362" s="91"/>
      <c r="O362" s="105">
        <v>48.41269841269841</v>
      </c>
      <c r="P362" s="101"/>
      <c r="Q362" s="104" t="s">
        <v>1846</v>
      </c>
      <c r="S362" s="101"/>
      <c r="T362" s="101"/>
      <c r="U362" s="101"/>
      <c r="V362" s="101"/>
    </row>
    <row r="363">
      <c r="A363" s="91"/>
      <c r="B363" s="104" t="s">
        <v>1847</v>
      </c>
      <c r="C363" s="104" t="s">
        <v>1848</v>
      </c>
      <c r="D363" s="91"/>
      <c r="E363" s="104" t="s">
        <v>1849</v>
      </c>
      <c r="F363" s="91"/>
      <c r="G363" s="104" t="s">
        <v>1850</v>
      </c>
      <c r="H363" s="91"/>
      <c r="I363" s="101"/>
      <c r="J363" s="91"/>
      <c r="K363" s="105">
        <v>0.0</v>
      </c>
      <c r="L363" s="91"/>
      <c r="M363" s="105">
        <v>386.0</v>
      </c>
      <c r="N363" s="91"/>
      <c r="O363" s="105">
        <v>625.0</v>
      </c>
      <c r="P363" s="101"/>
      <c r="Q363" s="104" t="s">
        <v>1851</v>
      </c>
      <c r="S363" s="101"/>
      <c r="T363" s="101"/>
      <c r="U363" s="101"/>
      <c r="V363" s="101"/>
    </row>
    <row r="364">
      <c r="A364" s="91"/>
      <c r="B364" s="104" t="s">
        <v>1852</v>
      </c>
      <c r="C364" s="104" t="s">
        <v>1853</v>
      </c>
      <c r="D364" s="91"/>
      <c r="E364" s="104" t="s">
        <v>1854</v>
      </c>
      <c r="F364" s="91"/>
      <c r="G364" s="104" t="s">
        <v>1855</v>
      </c>
      <c r="H364" s="91"/>
      <c r="I364" s="101"/>
      <c r="J364" s="91"/>
      <c r="K364" s="105">
        <v>0.0</v>
      </c>
      <c r="L364" s="91"/>
      <c r="M364" s="105">
        <v>14201.0</v>
      </c>
      <c r="N364" s="91"/>
      <c r="O364" s="146">
        <v>6.0</v>
      </c>
      <c r="P364" s="101"/>
      <c r="Q364" s="104" t="s">
        <v>1856</v>
      </c>
      <c r="S364" s="101"/>
      <c r="T364" s="101"/>
      <c r="U364" s="101"/>
      <c r="V364" s="101"/>
    </row>
    <row r="365">
      <c r="A365" s="91"/>
      <c r="B365" s="104" t="s">
        <v>1857</v>
      </c>
      <c r="C365" s="104" t="s">
        <v>1858</v>
      </c>
      <c r="D365" s="91"/>
      <c r="E365" s="104" t="s">
        <v>1859</v>
      </c>
      <c r="F365" s="91"/>
      <c r="G365" s="104" t="s">
        <v>1860</v>
      </c>
      <c r="H365" s="91"/>
      <c r="I365" s="101"/>
      <c r="J365" s="91"/>
      <c r="K365" s="105">
        <v>0.0</v>
      </c>
      <c r="L365" s="91"/>
      <c r="M365" s="105">
        <v>26592.0</v>
      </c>
      <c r="N365" s="91"/>
      <c r="O365" s="105">
        <v>83.0</v>
      </c>
      <c r="P365" s="101"/>
      <c r="Q365" s="104" t="s">
        <v>1861</v>
      </c>
      <c r="S365" s="101"/>
      <c r="T365" s="101"/>
      <c r="U365" s="101"/>
      <c r="V365" s="101"/>
    </row>
    <row r="366">
      <c r="A366" s="91"/>
      <c r="B366" s="104" t="s">
        <v>1862</v>
      </c>
      <c r="C366" s="104" t="s">
        <v>1864</v>
      </c>
      <c r="D366" s="91"/>
      <c r="E366" s="104" t="s">
        <v>1865</v>
      </c>
      <c r="F366" s="91"/>
      <c r="G366" s="104" t="s">
        <v>1866</v>
      </c>
      <c r="H366" s="91"/>
      <c r="I366" s="101"/>
      <c r="J366" s="91"/>
      <c r="K366" s="105">
        <v>0.0</v>
      </c>
      <c r="L366" s="91"/>
      <c r="M366" s="105">
        <v>16165.0</v>
      </c>
      <c r="N366" s="91"/>
      <c r="O366" s="146">
        <v>70.0</v>
      </c>
      <c r="P366" s="101"/>
      <c r="Q366" s="104" t="s">
        <v>1867</v>
      </c>
      <c r="S366" s="101"/>
      <c r="T366" s="101"/>
      <c r="U366" s="101"/>
      <c r="V366" s="101"/>
    </row>
    <row r="367">
      <c r="A367" s="91"/>
      <c r="B367" s="104" t="s">
        <v>1868</v>
      </c>
      <c r="C367" s="104" t="s">
        <v>1869</v>
      </c>
      <c r="D367" s="91"/>
      <c r="E367" s="104" t="s">
        <v>1870</v>
      </c>
      <c r="F367" s="91"/>
      <c r="G367" s="104" t="s">
        <v>1871</v>
      </c>
      <c r="H367" s="91"/>
      <c r="I367" s="101"/>
      <c r="J367" s="91"/>
      <c r="K367" s="105">
        <v>0.0</v>
      </c>
      <c r="L367" s="91"/>
      <c r="M367" s="105">
        <v>5483.0</v>
      </c>
      <c r="N367" s="91"/>
      <c r="O367" s="105">
        <v>44.33941273025716</v>
      </c>
      <c r="P367" s="101"/>
      <c r="Q367" s="104" t="s">
        <v>1872</v>
      </c>
      <c r="S367" s="101"/>
      <c r="T367" s="101"/>
      <c r="U367" s="101"/>
      <c r="V367" s="101"/>
    </row>
    <row r="368">
      <c r="A368" s="91"/>
      <c r="B368" s="104" t="s">
        <v>1874</v>
      </c>
      <c r="C368" s="104" t="s">
        <v>1875</v>
      </c>
      <c r="D368" s="91"/>
      <c r="E368" s="104" t="s">
        <v>1876</v>
      </c>
      <c r="F368" s="91"/>
      <c r="G368" s="104" t="s">
        <v>1877</v>
      </c>
      <c r="H368" s="91"/>
      <c r="I368" s="101"/>
      <c r="J368" s="91"/>
      <c r="K368" s="105">
        <v>0.0</v>
      </c>
      <c r="L368" s="91"/>
      <c r="M368" s="105">
        <v>17002.0</v>
      </c>
      <c r="N368" s="91"/>
      <c r="O368" s="105">
        <v>30.3</v>
      </c>
      <c r="P368" s="101"/>
      <c r="Q368" s="104" t="s">
        <v>1879</v>
      </c>
      <c r="S368" s="101"/>
      <c r="T368" s="101"/>
      <c r="U368" s="101"/>
      <c r="V368" s="101"/>
    </row>
    <row r="369">
      <c r="A369" s="91"/>
      <c r="B369" s="104" t="s">
        <v>1880</v>
      </c>
      <c r="C369" s="104" t="s">
        <v>1881</v>
      </c>
      <c r="D369" s="91"/>
      <c r="E369" s="104" t="s">
        <v>1882</v>
      </c>
      <c r="F369" s="91"/>
      <c r="G369" s="104" t="s">
        <v>1883</v>
      </c>
      <c r="H369" s="91"/>
      <c r="I369" s="101"/>
      <c r="J369" s="91"/>
      <c r="K369" s="105">
        <v>0.0</v>
      </c>
      <c r="L369" s="91"/>
      <c r="M369" s="105">
        <v>24528.0</v>
      </c>
      <c r="N369" s="91"/>
      <c r="O369" s="105">
        <v>39.37279843444227</v>
      </c>
      <c r="P369" s="101"/>
      <c r="Q369" s="104" t="s">
        <v>1885</v>
      </c>
      <c r="S369" s="101"/>
      <c r="T369" s="101"/>
      <c r="U369" s="101"/>
      <c r="V369" s="101"/>
    </row>
    <row r="370">
      <c r="A370" s="91"/>
      <c r="B370" s="104" t="s">
        <v>1887</v>
      </c>
      <c r="C370" s="104" t="s">
        <v>1888</v>
      </c>
      <c r="D370" s="91"/>
      <c r="E370" s="104" t="s">
        <v>1890</v>
      </c>
      <c r="F370" s="91"/>
      <c r="G370" s="104" t="s">
        <v>1891</v>
      </c>
      <c r="H370" s="91"/>
      <c r="I370" s="101"/>
      <c r="J370" s="91"/>
      <c r="K370" s="105">
        <v>0.0</v>
      </c>
      <c r="L370" s="91"/>
      <c r="M370" s="105">
        <v>879.0</v>
      </c>
      <c r="N370" s="91"/>
      <c r="O370" s="105">
        <v>471.95676905574516</v>
      </c>
      <c r="P370" s="101"/>
      <c r="Q370" s="104" t="s">
        <v>1893</v>
      </c>
      <c r="S370" s="101"/>
      <c r="T370" s="101"/>
      <c r="U370" s="101"/>
      <c r="V370" s="101"/>
    </row>
    <row r="371">
      <c r="A371" s="91"/>
      <c r="B371" s="104" t="s">
        <v>1894</v>
      </c>
      <c r="C371" s="104" t="s">
        <v>1895</v>
      </c>
      <c r="D371" s="91"/>
      <c r="E371" s="104" t="s">
        <v>1896</v>
      </c>
      <c r="F371" s="91"/>
      <c r="G371" s="104" t="s">
        <v>1897</v>
      </c>
      <c r="H371" s="91"/>
      <c r="I371" s="101"/>
      <c r="J371" s="91"/>
      <c r="K371" s="105">
        <v>0.0</v>
      </c>
      <c r="L371" s="91"/>
      <c r="M371" s="105">
        <v>1815.0</v>
      </c>
      <c r="N371" s="91"/>
      <c r="O371" s="105">
        <v>37.0</v>
      </c>
      <c r="P371" s="101"/>
      <c r="Q371" s="104" t="s">
        <v>1899</v>
      </c>
      <c r="S371" s="101"/>
      <c r="T371" s="101"/>
      <c r="U371" s="101"/>
      <c r="V371" s="101"/>
    </row>
    <row r="372">
      <c r="A372" s="91"/>
      <c r="B372" s="104" t="s">
        <v>1901</v>
      </c>
      <c r="C372" s="104" t="s">
        <v>1902</v>
      </c>
      <c r="D372" s="91"/>
      <c r="E372" s="104" t="s">
        <v>1903</v>
      </c>
      <c r="F372" s="91"/>
      <c r="G372" s="104" t="s">
        <v>1904</v>
      </c>
      <c r="H372" s="91"/>
      <c r="I372" s="101"/>
      <c r="J372" s="91"/>
      <c r="K372" s="105">
        <v>0.0</v>
      </c>
      <c r="L372" s="91"/>
      <c r="M372" s="105">
        <v>135725.0</v>
      </c>
      <c r="N372" s="91"/>
      <c r="O372" s="105">
        <v>15.65</v>
      </c>
      <c r="P372" s="101"/>
      <c r="Q372" s="104" t="s">
        <v>1906</v>
      </c>
      <c r="S372" s="101"/>
      <c r="T372" s="101"/>
      <c r="U372" s="101"/>
      <c r="V372" s="101"/>
    </row>
    <row r="373">
      <c r="A373" s="91"/>
      <c r="B373" s="104" t="s">
        <v>1908</v>
      </c>
      <c r="C373" s="104" t="s">
        <v>1909</v>
      </c>
      <c r="D373" s="91"/>
      <c r="E373" s="104" t="s">
        <v>1910</v>
      </c>
      <c r="F373" s="91"/>
      <c r="G373" s="104" t="s">
        <v>1911</v>
      </c>
      <c r="H373" s="91"/>
      <c r="I373" s="101"/>
      <c r="J373" s="91"/>
      <c r="K373" s="105">
        <v>0.0</v>
      </c>
      <c r="L373" s="91"/>
      <c r="M373" s="105">
        <v>11000.0</v>
      </c>
      <c r="N373" s="91"/>
      <c r="O373" s="105">
        <v>30.0</v>
      </c>
      <c r="P373" s="101"/>
      <c r="Q373" s="104" t="s">
        <v>1913</v>
      </c>
      <c r="S373" s="101"/>
      <c r="T373" s="101"/>
      <c r="U373" s="101"/>
      <c r="V373" s="101"/>
    </row>
    <row r="374">
      <c r="A374" s="91"/>
      <c r="B374" s="104" t="s">
        <v>1915</v>
      </c>
      <c r="C374" s="104" t="s">
        <v>1916</v>
      </c>
      <c r="D374" s="91"/>
      <c r="E374" s="104" t="s">
        <v>1917</v>
      </c>
      <c r="F374" s="91"/>
      <c r="G374" s="104" t="s">
        <v>1918</v>
      </c>
      <c r="H374" s="91"/>
      <c r="I374" s="101"/>
      <c r="J374" s="91"/>
      <c r="K374" s="105">
        <v>0.0</v>
      </c>
      <c r="L374" s="91"/>
      <c r="M374" s="105">
        <v>75119.0</v>
      </c>
      <c r="N374" s="91"/>
      <c r="O374" s="105">
        <v>19.51270650567766</v>
      </c>
      <c r="P374" s="101"/>
      <c r="Q374" s="104" t="s">
        <v>1920</v>
      </c>
      <c r="S374" s="101"/>
      <c r="T374" s="101"/>
      <c r="U374" s="101"/>
      <c r="V374" s="101"/>
    </row>
    <row r="375">
      <c r="A375" s="91"/>
      <c r="B375" s="104" t="s">
        <v>1923</v>
      </c>
      <c r="C375" s="104" t="s">
        <v>1924</v>
      </c>
      <c r="D375" s="91"/>
      <c r="E375" s="104" t="s">
        <v>1927</v>
      </c>
      <c r="F375" s="91"/>
      <c r="G375" s="104" t="s">
        <v>1928</v>
      </c>
      <c r="H375" s="91"/>
      <c r="I375" s="101"/>
      <c r="J375" s="91"/>
      <c r="K375" s="105">
        <v>0.0</v>
      </c>
      <c r="L375" s="91"/>
      <c r="M375" s="105">
        <v>11210.0</v>
      </c>
      <c r="N375" s="91"/>
      <c r="O375" s="105">
        <v>116.37466547725245</v>
      </c>
      <c r="P375" s="101"/>
      <c r="Q375" s="104" t="s">
        <v>1929</v>
      </c>
      <c r="S375" s="101"/>
      <c r="T375" s="101"/>
      <c r="U375" s="101"/>
      <c r="V375" s="101"/>
    </row>
    <row r="376">
      <c r="A376" s="91"/>
      <c r="B376" s="104" t="s">
        <v>1930</v>
      </c>
      <c r="C376" s="104" t="s">
        <v>1931</v>
      </c>
      <c r="D376" s="91"/>
      <c r="E376" s="104" t="s">
        <v>1932</v>
      </c>
      <c r="F376" s="91"/>
      <c r="G376" s="104" t="s">
        <v>1933</v>
      </c>
      <c r="H376" s="91"/>
      <c r="I376" s="101"/>
      <c r="J376" s="91"/>
      <c r="K376" s="105">
        <v>0.0</v>
      </c>
      <c r="L376" s="91"/>
      <c r="M376" s="105">
        <v>4251.0</v>
      </c>
      <c r="N376" s="91"/>
      <c r="O376" s="105">
        <v>15.090331686661962</v>
      </c>
      <c r="P376" s="101"/>
      <c r="Q376" s="104" t="s">
        <v>1934</v>
      </c>
      <c r="S376" s="101"/>
      <c r="T376" s="101"/>
      <c r="U376" s="101"/>
      <c r="V376" s="101"/>
    </row>
    <row r="377">
      <c r="A377" s="91"/>
      <c r="B377" s="104" t="s">
        <v>1935</v>
      </c>
      <c r="C377" s="104" t="s">
        <v>1936</v>
      </c>
      <c r="D377" s="91"/>
      <c r="E377" s="104" t="s">
        <v>1937</v>
      </c>
      <c r="F377" s="91"/>
      <c r="G377" s="104" t="s">
        <v>1938</v>
      </c>
      <c r="H377" s="91"/>
      <c r="I377" s="101"/>
      <c r="J377" s="91"/>
      <c r="K377" s="105">
        <v>0.0</v>
      </c>
      <c r="L377" s="91"/>
      <c r="M377" s="105">
        <v>377.75</v>
      </c>
      <c r="N377" s="91"/>
      <c r="O377" s="105">
        <v>279.9629384513567</v>
      </c>
      <c r="P377" s="101"/>
      <c r="Q377" s="104" t="s">
        <v>1939</v>
      </c>
      <c r="S377" s="101"/>
      <c r="T377" s="101"/>
      <c r="U377" s="101"/>
      <c r="V377" s="101"/>
    </row>
    <row r="378">
      <c r="A378" s="91"/>
      <c r="B378" s="104" t="s">
        <v>1941</v>
      </c>
      <c r="C378" s="104" t="s">
        <v>1942</v>
      </c>
      <c r="D378" s="91"/>
      <c r="E378" s="104" t="s">
        <v>1943</v>
      </c>
      <c r="F378" s="91"/>
      <c r="G378" s="104" t="s">
        <v>1944</v>
      </c>
      <c r="H378" s="91"/>
      <c r="I378" s="91"/>
      <c r="J378" s="91"/>
      <c r="K378" s="105">
        <v>0.0</v>
      </c>
      <c r="L378" s="91"/>
      <c r="M378" s="105">
        <v>21.0</v>
      </c>
      <c r="N378" s="91"/>
      <c r="O378" s="105">
        <v>6000.0</v>
      </c>
      <c r="P378" s="91"/>
      <c r="Q378" s="104" t="s">
        <v>1945</v>
      </c>
      <c r="S378" s="91"/>
      <c r="T378" s="91"/>
      <c r="U378" s="91"/>
      <c r="V378" s="91"/>
    </row>
    <row r="379">
      <c r="A379" s="91"/>
      <c r="B379" s="104" t="s">
        <v>1946</v>
      </c>
      <c r="C379" s="104" t="s">
        <v>1947</v>
      </c>
      <c r="D379" s="91"/>
      <c r="E379" s="104" t="s">
        <v>1948</v>
      </c>
      <c r="F379" s="91"/>
      <c r="G379" s="104" t="s">
        <v>1949</v>
      </c>
      <c r="H379" s="91"/>
      <c r="I379" s="91"/>
      <c r="J379" s="91"/>
      <c r="K379" s="105">
        <v>0.0</v>
      </c>
      <c r="L379" s="91"/>
      <c r="M379" s="105">
        <v>38.0</v>
      </c>
      <c r="N379" s="91"/>
      <c r="O379" s="105">
        <v>6000.0</v>
      </c>
      <c r="P379" s="91"/>
      <c r="Q379" s="104" t="s">
        <v>1951</v>
      </c>
      <c r="S379" s="91"/>
      <c r="T379" s="91"/>
      <c r="U379" s="91"/>
      <c r="V379" s="91"/>
    </row>
    <row r="380">
      <c r="A380" s="91"/>
      <c r="B380" s="104" t="s">
        <v>1953</v>
      </c>
      <c r="C380" s="104" t="s">
        <v>1954</v>
      </c>
      <c r="D380" s="91"/>
      <c r="E380" s="104" t="s">
        <v>1955</v>
      </c>
      <c r="F380" s="91"/>
      <c r="G380" s="104" t="s">
        <v>1956</v>
      </c>
      <c r="H380" s="91"/>
      <c r="I380" s="91"/>
      <c r="J380" s="91"/>
      <c r="K380" s="105">
        <v>0.0</v>
      </c>
      <c r="L380" s="91"/>
      <c r="M380" s="105">
        <v>31.0</v>
      </c>
      <c r="N380" s="91"/>
      <c r="O380" s="105">
        <v>6000.0</v>
      </c>
      <c r="P380" s="91"/>
      <c r="Q380" s="104" t="s">
        <v>1957</v>
      </c>
      <c r="S380" s="91"/>
      <c r="T380" s="91"/>
      <c r="U380" s="91"/>
      <c r="V380" s="91"/>
    </row>
    <row r="381">
      <c r="A381" s="91"/>
      <c r="B381" s="104" t="s">
        <v>1958</v>
      </c>
      <c r="C381" s="104" t="s">
        <v>1960</v>
      </c>
      <c r="D381" s="91"/>
      <c r="E381" s="104" t="s">
        <v>1961</v>
      </c>
      <c r="F381" s="91"/>
      <c r="G381" s="104" t="s">
        <v>1962</v>
      </c>
      <c r="H381" s="91"/>
      <c r="I381" s="91"/>
      <c r="J381" s="91"/>
      <c r="K381" s="105">
        <v>0.0</v>
      </c>
      <c r="L381" s="91"/>
      <c r="M381" s="105">
        <v>758.0</v>
      </c>
      <c r="N381" s="91"/>
      <c r="O381" s="105">
        <v>341.5787161292876</v>
      </c>
      <c r="P381" s="91"/>
      <c r="Q381" s="104" t="s">
        <v>1965</v>
      </c>
      <c r="S381" s="91"/>
      <c r="T381" s="91"/>
      <c r="U381" s="91"/>
      <c r="V381" s="91"/>
    </row>
    <row r="382">
      <c r="A382" s="91"/>
      <c r="B382" s="104" t="s">
        <v>1967</v>
      </c>
      <c r="C382" s="104" t="s">
        <v>1968</v>
      </c>
      <c r="D382" s="91"/>
      <c r="E382" s="104" t="s">
        <v>1969</v>
      </c>
      <c r="F382" s="91"/>
      <c r="G382" s="104" t="s">
        <v>1970</v>
      </c>
      <c r="H382" s="91"/>
      <c r="I382" s="91"/>
      <c r="J382" s="91"/>
      <c r="K382" s="105">
        <v>0.0</v>
      </c>
      <c r="L382" s="91"/>
      <c r="M382" s="105">
        <v>2671.0</v>
      </c>
      <c r="N382" s="91"/>
      <c r="O382" s="105">
        <v>1.5324223137401722</v>
      </c>
      <c r="P382" s="91"/>
      <c r="Q382" s="104" t="s">
        <v>1972</v>
      </c>
      <c r="S382" s="91"/>
      <c r="T382" s="91"/>
      <c r="U382" s="91"/>
      <c r="V382" s="91"/>
    </row>
    <row r="383">
      <c r="A383" s="91"/>
      <c r="B383" s="104" t="s">
        <v>1973</v>
      </c>
      <c r="C383" s="104" t="s">
        <v>1975</v>
      </c>
      <c r="D383" s="91"/>
      <c r="E383" s="104" t="s">
        <v>1976</v>
      </c>
      <c r="F383" s="91"/>
      <c r="G383" s="104" t="s">
        <v>1977</v>
      </c>
      <c r="H383" s="91"/>
      <c r="I383" s="91"/>
      <c r="J383" s="91"/>
      <c r="K383" s="105">
        <v>0.0</v>
      </c>
      <c r="L383" s="91"/>
      <c r="M383" s="105">
        <v>1986.0</v>
      </c>
      <c r="N383" s="91"/>
      <c r="O383" s="105">
        <v>28.0</v>
      </c>
      <c r="P383" s="91"/>
      <c r="Q383" s="104" t="s">
        <v>1979</v>
      </c>
      <c r="S383" s="91"/>
      <c r="T383" s="91"/>
      <c r="U383" s="91"/>
      <c r="V383" s="91"/>
    </row>
    <row r="384">
      <c r="A384" s="91"/>
      <c r="B384" s="104" t="s">
        <v>1980</v>
      </c>
      <c r="C384" s="104" t="s">
        <v>1981</v>
      </c>
      <c r="D384" s="91"/>
      <c r="E384" s="104" t="s">
        <v>1982</v>
      </c>
      <c r="F384" s="91"/>
      <c r="G384" s="104" t="s">
        <v>1983</v>
      </c>
      <c r="H384" s="91"/>
      <c r="I384" s="91"/>
      <c r="J384" s="91"/>
      <c r="K384" s="105">
        <v>0.0</v>
      </c>
      <c r="L384" s="91"/>
      <c r="M384" s="105">
        <v>250.0</v>
      </c>
      <c r="N384" s="91"/>
      <c r="O384" s="105">
        <v>0.0</v>
      </c>
      <c r="P384" s="91"/>
      <c r="Q384" s="104" t="s">
        <v>1984</v>
      </c>
      <c r="S384" s="91"/>
      <c r="T384" s="91"/>
      <c r="U384" s="91"/>
      <c r="V384" s="91"/>
    </row>
    <row r="385">
      <c r="A385" s="91"/>
      <c r="B385" s="104" t="s">
        <v>1986</v>
      </c>
      <c r="C385" s="104" t="s">
        <v>1987</v>
      </c>
      <c r="D385" s="91"/>
      <c r="E385" s="104" t="s">
        <v>1988</v>
      </c>
      <c r="F385" s="91"/>
      <c r="G385" s="104" t="s">
        <v>1989</v>
      </c>
      <c r="H385" s="91"/>
      <c r="I385" s="91"/>
      <c r="J385" s="91"/>
      <c r="K385" s="105">
        <v>0.0</v>
      </c>
      <c r="L385" s="91"/>
      <c r="M385" s="105">
        <v>17630.0</v>
      </c>
      <c r="N385" s="91"/>
      <c r="O385" s="105">
        <v>6.795689166193988</v>
      </c>
      <c r="P385" s="91"/>
      <c r="Q385" s="104" t="s">
        <v>1991</v>
      </c>
      <c r="S385" s="91"/>
      <c r="T385" s="91"/>
      <c r="U385" s="91"/>
      <c r="V385" s="91"/>
    </row>
    <row r="386">
      <c r="A386" s="91"/>
      <c r="B386" s="104" t="s">
        <v>1993</v>
      </c>
      <c r="C386" s="104" t="s">
        <v>1996</v>
      </c>
      <c r="D386" s="91"/>
      <c r="E386" s="104" t="s">
        <v>1998</v>
      </c>
      <c r="F386" s="91"/>
      <c r="G386" s="104" t="s">
        <v>1999</v>
      </c>
      <c r="H386" s="91"/>
      <c r="I386" s="91"/>
      <c r="J386" s="91"/>
      <c r="K386" s="105">
        <v>0.0</v>
      </c>
      <c r="L386" s="91"/>
      <c r="M386" s="105">
        <v>9400.0</v>
      </c>
      <c r="N386" s="91"/>
      <c r="O386" s="105">
        <v>23.625</v>
      </c>
      <c r="P386" s="91"/>
      <c r="Q386" s="104" t="s">
        <v>2002</v>
      </c>
      <c r="S386" s="91"/>
      <c r="T386" s="91"/>
      <c r="U386" s="91"/>
      <c r="V386" s="91"/>
    </row>
    <row r="387">
      <c r="A387" s="91"/>
      <c r="B387" s="104" t="s">
        <v>2003</v>
      </c>
      <c r="C387" s="104" t="s">
        <v>2004</v>
      </c>
      <c r="D387" s="91"/>
      <c r="E387" s="104" t="s">
        <v>2006</v>
      </c>
      <c r="F387" s="91"/>
      <c r="G387" s="104" t="s">
        <v>2013</v>
      </c>
      <c r="H387" s="91"/>
      <c r="I387" s="91"/>
      <c r="J387" s="91"/>
      <c r="K387" s="105">
        <v>0.0</v>
      </c>
      <c r="L387" s="91"/>
      <c r="M387" s="105">
        <v>19000.0</v>
      </c>
      <c r="N387" s="91"/>
      <c r="O387" s="105">
        <v>22.0</v>
      </c>
      <c r="P387" s="91"/>
      <c r="Q387" s="104" t="s">
        <v>2015</v>
      </c>
      <c r="S387" s="91"/>
      <c r="T387" s="91"/>
      <c r="U387" s="91"/>
      <c r="V387" s="91"/>
    </row>
    <row r="388">
      <c r="A388" s="91"/>
      <c r="B388" s="104" t="s">
        <v>2017</v>
      </c>
      <c r="C388" s="104" t="s">
        <v>2018</v>
      </c>
      <c r="D388" s="91"/>
      <c r="E388" s="104" t="s">
        <v>2020</v>
      </c>
      <c r="F388" s="91"/>
      <c r="G388" s="104" t="s">
        <v>2021</v>
      </c>
      <c r="H388" s="91"/>
      <c r="I388" s="101"/>
      <c r="J388" s="91"/>
      <c r="K388" s="105">
        <v>0.0</v>
      </c>
      <c r="L388" s="91"/>
      <c r="M388" s="105">
        <v>220.0</v>
      </c>
      <c r="N388" s="91"/>
      <c r="O388" s="105">
        <v>2066.666667</v>
      </c>
      <c r="P388" s="101"/>
      <c r="Q388" s="104" t="s">
        <v>2023</v>
      </c>
      <c r="S388" s="101"/>
      <c r="T388" s="101"/>
      <c r="U388" s="101"/>
      <c r="V388" s="101"/>
    </row>
    <row r="389">
      <c r="A389" s="91"/>
      <c r="B389" s="104" t="s">
        <v>2024</v>
      </c>
      <c r="C389" s="104" t="s">
        <v>2025</v>
      </c>
      <c r="D389" s="91"/>
      <c r="E389" s="104" t="s">
        <v>2027</v>
      </c>
      <c r="F389" s="91"/>
      <c r="G389" s="104" t="s">
        <v>2028</v>
      </c>
      <c r="H389" s="91"/>
      <c r="I389" s="101"/>
      <c r="J389" s="91"/>
      <c r="K389" s="105">
        <v>0.0</v>
      </c>
      <c r="L389" s="91"/>
      <c r="M389" s="105">
        <v>4750.0</v>
      </c>
      <c r="N389" s="91"/>
      <c r="O389" s="105">
        <v>27.0</v>
      </c>
      <c r="P389" s="101"/>
      <c r="Q389" s="104" t="s">
        <v>2029</v>
      </c>
      <c r="S389" s="101"/>
      <c r="T389" s="101"/>
      <c r="U389" s="101"/>
      <c r="V389" s="101"/>
    </row>
    <row r="390">
      <c r="A390" s="91"/>
      <c r="B390" s="104" t="s">
        <v>2032</v>
      </c>
      <c r="C390" s="104" t="s">
        <v>2033</v>
      </c>
      <c r="D390" s="91"/>
      <c r="E390" s="104" t="s">
        <v>2034</v>
      </c>
      <c r="F390" s="91"/>
      <c r="G390" s="104" t="s">
        <v>2035</v>
      </c>
      <c r="H390" s="91"/>
      <c r="I390" s="101"/>
      <c r="J390" s="91"/>
      <c r="K390" s="105">
        <v>0.0</v>
      </c>
      <c r="L390" s="91"/>
      <c r="M390" s="105">
        <v>184.0</v>
      </c>
      <c r="N390" s="91"/>
      <c r="O390" s="105">
        <v>500.0</v>
      </c>
      <c r="P390" s="101"/>
      <c r="Q390" s="104" t="s">
        <v>2037</v>
      </c>
      <c r="S390" s="101"/>
      <c r="T390" s="101"/>
      <c r="U390" s="101"/>
      <c r="V390" s="101"/>
    </row>
    <row r="391">
      <c r="A391" s="91"/>
      <c r="B391" s="104" t="s">
        <v>2038</v>
      </c>
      <c r="C391" s="104" t="s">
        <v>2039</v>
      </c>
      <c r="D391" s="91"/>
      <c r="E391" s="104" t="s">
        <v>2040</v>
      </c>
      <c r="F391" s="91"/>
      <c r="G391" s="104" t="s">
        <v>2041</v>
      </c>
      <c r="H391" s="91"/>
      <c r="I391" s="101"/>
      <c r="J391" s="91"/>
      <c r="K391" s="105">
        <v>0.0</v>
      </c>
      <c r="L391" s="91"/>
      <c r="M391" s="105">
        <v>14891.0</v>
      </c>
      <c r="N391" s="91"/>
      <c r="O391" s="105">
        <v>71.60484505211201</v>
      </c>
      <c r="P391" s="101"/>
      <c r="Q391" s="104" t="s">
        <v>2042</v>
      </c>
      <c r="S391" s="101"/>
      <c r="T391" s="101"/>
      <c r="U391" s="101"/>
      <c r="V391" s="101"/>
    </row>
    <row r="392">
      <c r="A392" s="91"/>
      <c r="B392" s="104" t="s">
        <v>2043</v>
      </c>
      <c r="C392" s="104" t="s">
        <v>2044</v>
      </c>
      <c r="D392" s="91"/>
      <c r="E392" s="104" t="s">
        <v>2045</v>
      </c>
      <c r="F392" s="91"/>
      <c r="G392" s="104" t="s">
        <v>2046</v>
      </c>
      <c r="H392" s="91"/>
      <c r="I392" s="101"/>
      <c r="J392" s="91"/>
      <c r="K392" s="105">
        <v>0.0</v>
      </c>
      <c r="L392" s="91"/>
      <c r="M392" s="105">
        <v>26521.0</v>
      </c>
      <c r="N392" s="91"/>
      <c r="O392" s="105">
        <v>0.6734663097168282</v>
      </c>
      <c r="P392" s="101"/>
      <c r="Q392" s="104" t="s">
        <v>2047</v>
      </c>
      <c r="S392" s="101"/>
      <c r="T392" s="101"/>
      <c r="U392" s="101"/>
      <c r="V392" s="101"/>
    </row>
    <row r="393">
      <c r="A393" s="91"/>
      <c r="B393" s="104" t="s">
        <v>2048</v>
      </c>
      <c r="C393" s="104" t="s">
        <v>2049</v>
      </c>
      <c r="D393" s="91"/>
      <c r="E393" s="104" t="s">
        <v>2050</v>
      </c>
      <c r="F393" s="91"/>
      <c r="G393" s="104" t="s">
        <v>2051</v>
      </c>
      <c r="H393" s="91"/>
      <c r="I393" s="101"/>
      <c r="J393" s="91"/>
      <c r="K393" s="105">
        <v>0.0</v>
      </c>
      <c r="L393" s="91"/>
      <c r="M393" s="105">
        <v>245726.0</v>
      </c>
      <c r="N393" s="91"/>
      <c r="O393" s="105">
        <v>19.384072910477524</v>
      </c>
      <c r="P393" s="101"/>
      <c r="Q393" s="104" t="s">
        <v>2053</v>
      </c>
      <c r="S393" s="101"/>
      <c r="T393" s="101"/>
      <c r="U393" s="101"/>
      <c r="V393" s="101"/>
    </row>
    <row r="394">
      <c r="A394" s="100" t="s">
        <v>2054</v>
      </c>
      <c r="C394" s="91"/>
      <c r="D394" s="91"/>
      <c r="E394" s="91"/>
      <c r="F394" s="91"/>
      <c r="G394" s="91"/>
      <c r="H394" s="91"/>
      <c r="I394" s="101"/>
      <c r="J394" s="91"/>
      <c r="K394" s="101"/>
      <c r="L394" s="91"/>
      <c r="M394" s="101"/>
      <c r="N394" s="91"/>
      <c r="O394" s="101"/>
      <c r="P394" s="101"/>
      <c r="Q394" s="91"/>
      <c r="R394" s="101"/>
      <c r="S394" s="101"/>
      <c r="T394" s="101"/>
      <c r="U394" s="101"/>
      <c r="V394" s="101"/>
    </row>
    <row r="395">
      <c r="A395" s="91"/>
      <c r="B395" s="104" t="s">
        <v>2057</v>
      </c>
      <c r="C395" s="104" t="s">
        <v>2059</v>
      </c>
      <c r="D395" s="91"/>
      <c r="E395" s="104" t="s">
        <v>2060</v>
      </c>
      <c r="F395" s="91"/>
      <c r="G395" s="104" t="s">
        <v>2061</v>
      </c>
      <c r="H395" s="91"/>
      <c r="I395" s="101"/>
      <c r="J395" s="91"/>
      <c r="K395" s="105">
        <v>0.0</v>
      </c>
      <c r="L395" s="91"/>
      <c r="M395" s="105">
        <v>210.0</v>
      </c>
      <c r="N395" s="91"/>
      <c r="O395" s="105">
        <v>0.0</v>
      </c>
      <c r="P395" s="101"/>
      <c r="Q395" s="104" t="s">
        <v>2062</v>
      </c>
      <c r="S395" s="101"/>
      <c r="T395" s="101"/>
      <c r="U395" s="101"/>
      <c r="V395" s="101"/>
    </row>
    <row r="396">
      <c r="A396" s="91"/>
      <c r="B396" s="104" t="s">
        <v>2063</v>
      </c>
      <c r="C396" s="104" t="s">
        <v>2064</v>
      </c>
      <c r="D396" s="91"/>
      <c r="E396" s="104" t="s">
        <v>2065</v>
      </c>
      <c r="F396" s="91"/>
      <c r="G396" s="104" t="s">
        <v>2067</v>
      </c>
      <c r="H396" s="91"/>
      <c r="I396" s="101"/>
      <c r="J396" s="91"/>
      <c r="K396" s="105">
        <v>0.0</v>
      </c>
      <c r="L396" s="91"/>
      <c r="M396" s="105">
        <v>14.0</v>
      </c>
      <c r="N396" s="91"/>
      <c r="O396" s="105">
        <v>2025.0</v>
      </c>
      <c r="P396" s="101"/>
      <c r="Q396" s="104" t="s">
        <v>2068</v>
      </c>
      <c r="S396" s="101"/>
      <c r="T396" s="101"/>
      <c r="U396" s="101"/>
      <c r="V396" s="101"/>
    </row>
    <row r="397">
      <c r="A397" s="91"/>
      <c r="B397" s="104" t="s">
        <v>2070</v>
      </c>
      <c r="C397" s="104" t="s">
        <v>2071</v>
      </c>
      <c r="D397" s="91"/>
      <c r="E397" s="104" t="s">
        <v>2072</v>
      </c>
      <c r="F397" s="91"/>
      <c r="G397" s="104" t="s">
        <v>2073</v>
      </c>
      <c r="H397" s="91"/>
      <c r="I397" s="101"/>
      <c r="J397" s="91"/>
      <c r="K397" s="105">
        <v>0.0</v>
      </c>
      <c r="L397" s="91"/>
      <c r="M397" s="105">
        <v>5.0</v>
      </c>
      <c r="N397" s="91"/>
      <c r="O397" s="105">
        <v>18540.0</v>
      </c>
      <c r="P397" s="101"/>
      <c r="Q397" s="104" t="s">
        <v>2075</v>
      </c>
      <c r="S397" s="101"/>
      <c r="T397" s="101"/>
      <c r="U397" s="101"/>
      <c r="V397" s="101"/>
    </row>
    <row r="398">
      <c r="A398" s="91"/>
      <c r="B398" s="104" t="s">
        <v>2076</v>
      </c>
      <c r="C398" s="104" t="s">
        <v>2078</v>
      </c>
      <c r="D398" s="91"/>
      <c r="E398" s="104" t="s">
        <v>2079</v>
      </c>
      <c r="F398" s="91"/>
      <c r="G398" s="104" t="s">
        <v>2080</v>
      </c>
      <c r="H398" s="91"/>
      <c r="I398" s="101"/>
      <c r="J398" s="91"/>
      <c r="K398" s="105">
        <v>0.0</v>
      </c>
      <c r="L398" s="91"/>
      <c r="M398" s="105">
        <v>811.0</v>
      </c>
      <c r="N398" s="91"/>
      <c r="O398" s="105">
        <v>20.0</v>
      </c>
      <c r="P398" s="101"/>
      <c r="Q398" s="104" t="s">
        <v>2082</v>
      </c>
      <c r="S398" s="101"/>
      <c r="T398" s="101"/>
      <c r="U398" s="101"/>
      <c r="V398" s="101"/>
    </row>
    <row r="399">
      <c r="A399" s="91"/>
      <c r="B399" s="104" t="s">
        <v>2083</v>
      </c>
      <c r="C399" s="104" t="s">
        <v>2084</v>
      </c>
      <c r="D399" s="91"/>
      <c r="E399" s="104" t="s">
        <v>2085</v>
      </c>
      <c r="F399" s="91"/>
      <c r="G399" s="104" t="s">
        <v>2086</v>
      </c>
      <c r="H399" s="91"/>
      <c r="I399" s="101"/>
      <c r="J399" s="91"/>
      <c r="K399" s="105">
        <v>0.0</v>
      </c>
      <c r="L399" s="91"/>
      <c r="M399" s="105">
        <v>209.0</v>
      </c>
      <c r="N399" s="91"/>
      <c r="O399" s="105">
        <v>750.0</v>
      </c>
      <c r="P399" s="101"/>
      <c r="Q399" s="104" t="s">
        <v>2087</v>
      </c>
      <c r="S399" s="101"/>
      <c r="T399" s="101"/>
      <c r="U399" s="101"/>
      <c r="V399" s="101"/>
    </row>
    <row r="400">
      <c r="A400" s="91"/>
      <c r="B400" s="104" t="s">
        <v>2089</v>
      </c>
      <c r="C400" s="104" t="s">
        <v>2090</v>
      </c>
      <c r="D400" s="91"/>
      <c r="E400" s="104" t="s">
        <v>2091</v>
      </c>
      <c r="F400" s="91"/>
      <c r="G400" s="104" t="s">
        <v>2092</v>
      </c>
      <c r="H400" s="91"/>
      <c r="I400" s="101"/>
      <c r="J400" s="91"/>
      <c r="K400" s="105">
        <v>0.0</v>
      </c>
      <c r="L400" s="91"/>
      <c r="M400" s="105">
        <v>9630.0</v>
      </c>
      <c r="N400" s="91"/>
      <c r="O400" s="105">
        <v>114.22637568847352</v>
      </c>
      <c r="P400" s="101"/>
      <c r="Q400" s="104" t="s">
        <v>2094</v>
      </c>
      <c r="S400" s="101"/>
      <c r="T400" s="101"/>
      <c r="U400" s="101"/>
      <c r="V400" s="101"/>
    </row>
    <row r="401">
      <c r="A401" s="91"/>
      <c r="B401" s="104" t="s">
        <v>2095</v>
      </c>
      <c r="C401" s="104" t="s">
        <v>2096</v>
      </c>
      <c r="D401" s="91"/>
      <c r="E401" s="104" t="s">
        <v>2098</v>
      </c>
      <c r="F401" s="91"/>
      <c r="G401" s="104" t="s">
        <v>2099</v>
      </c>
      <c r="H401" s="91"/>
      <c r="I401" s="101"/>
      <c r="J401" s="91"/>
      <c r="K401" s="105">
        <v>0.0</v>
      </c>
      <c r="L401" s="91"/>
      <c r="M401" s="105">
        <v>83.0</v>
      </c>
      <c r="N401" s="91"/>
      <c r="O401" s="105">
        <v>5506.024096385542</v>
      </c>
      <c r="P401" s="101"/>
      <c r="Q401" s="104" t="s">
        <v>2100</v>
      </c>
      <c r="S401" s="101"/>
      <c r="T401" s="101"/>
      <c r="U401" s="101"/>
      <c r="V401" s="101"/>
    </row>
    <row r="402">
      <c r="A402" s="91"/>
      <c r="B402" s="104" t="s">
        <v>2101</v>
      </c>
      <c r="C402" s="104" t="s">
        <v>2102</v>
      </c>
      <c r="D402" s="91"/>
      <c r="E402" s="104" t="s">
        <v>2103</v>
      </c>
      <c r="F402" s="91"/>
      <c r="G402" s="104" t="s">
        <v>2104</v>
      </c>
      <c r="H402" s="91"/>
      <c r="I402" s="91"/>
      <c r="J402" s="91"/>
      <c r="K402" s="105">
        <v>0.0</v>
      </c>
      <c r="L402" s="91"/>
      <c r="M402" s="105">
        <v>162600.0</v>
      </c>
      <c r="N402" s="91"/>
      <c r="O402" s="105">
        <v>14.661254612546125</v>
      </c>
      <c r="P402" s="101"/>
      <c r="Q402" s="104" t="s">
        <v>2106</v>
      </c>
      <c r="S402" s="101"/>
      <c r="T402" s="101"/>
      <c r="U402" s="101"/>
      <c r="V402" s="101"/>
    </row>
    <row r="403">
      <c r="A403" s="91"/>
      <c r="B403" s="104" t="s">
        <v>2107</v>
      </c>
      <c r="C403" s="104" t="s">
        <v>2108</v>
      </c>
      <c r="D403" s="91"/>
      <c r="E403" s="104" t="s">
        <v>2109</v>
      </c>
      <c r="F403" s="91"/>
      <c r="G403" s="104" t="s">
        <v>2111</v>
      </c>
      <c r="H403" s="91"/>
      <c r="I403" s="101"/>
      <c r="J403" s="91"/>
      <c r="K403" s="105">
        <v>0.0</v>
      </c>
      <c r="L403" s="91"/>
      <c r="M403" s="105">
        <v>52.0</v>
      </c>
      <c r="N403" s="91"/>
      <c r="O403" s="105">
        <v>7250.0</v>
      </c>
      <c r="P403" s="101"/>
      <c r="Q403" s="104" t="s">
        <v>2112</v>
      </c>
      <c r="S403" s="101"/>
      <c r="T403" s="101"/>
      <c r="U403" s="101"/>
      <c r="V403" s="101"/>
    </row>
    <row r="404">
      <c r="A404" s="91"/>
      <c r="B404" s="104" t="s">
        <v>2114</v>
      </c>
      <c r="C404" s="104" t="s">
        <v>2115</v>
      </c>
      <c r="D404" s="91"/>
      <c r="E404" s="104" t="s">
        <v>2116</v>
      </c>
      <c r="F404" s="91"/>
      <c r="G404" s="104" t="s">
        <v>2118</v>
      </c>
      <c r="H404" s="91"/>
      <c r="I404" s="101"/>
      <c r="J404" s="91"/>
      <c r="K404" s="105">
        <v>0.0</v>
      </c>
      <c r="L404" s="91"/>
      <c r="M404" s="105">
        <v>1.0</v>
      </c>
      <c r="N404" s="91"/>
      <c r="O404" s="105">
        <v>22500.0</v>
      </c>
      <c r="P404" s="101"/>
      <c r="Q404" s="104" t="s">
        <v>2119</v>
      </c>
      <c r="S404" s="101"/>
      <c r="T404" s="101"/>
      <c r="U404" s="101"/>
      <c r="V404" s="101"/>
    </row>
    <row r="405">
      <c r="A405" s="91"/>
      <c r="B405" s="104" t="s">
        <v>2121</v>
      </c>
      <c r="C405" s="104" t="s">
        <v>2122</v>
      </c>
      <c r="D405" s="91"/>
      <c r="E405" s="104" t="s">
        <v>2123</v>
      </c>
      <c r="F405" s="91"/>
      <c r="G405" s="104" t="s">
        <v>2124</v>
      </c>
      <c r="H405" s="91"/>
      <c r="I405" s="101"/>
      <c r="J405" s="91"/>
      <c r="K405" s="105">
        <v>0.0</v>
      </c>
      <c r="L405" s="91"/>
      <c r="M405" s="105">
        <v>39.0</v>
      </c>
      <c r="N405" s="91"/>
      <c r="O405" s="105">
        <v>1765.3846153846155</v>
      </c>
      <c r="P405" s="101"/>
      <c r="Q405" s="104" t="s">
        <v>2125</v>
      </c>
      <c r="S405" s="101"/>
      <c r="T405" s="101"/>
      <c r="U405" s="101"/>
      <c r="V405" s="101"/>
    </row>
    <row r="406">
      <c r="A406" s="91"/>
      <c r="B406" s="104" t="s">
        <v>2127</v>
      </c>
      <c r="C406" s="104" t="s">
        <v>2128</v>
      </c>
      <c r="D406" s="91"/>
      <c r="E406" s="104" t="s">
        <v>2130</v>
      </c>
      <c r="F406" s="91"/>
      <c r="G406" s="104" t="s">
        <v>2131</v>
      </c>
      <c r="H406" s="91"/>
      <c r="I406" s="101"/>
      <c r="J406" s="91"/>
      <c r="K406" s="105">
        <v>0.0</v>
      </c>
      <c r="L406" s="91"/>
      <c r="M406" s="105">
        <v>18.0</v>
      </c>
      <c r="N406" s="91"/>
      <c r="O406" s="105">
        <v>2025.0</v>
      </c>
      <c r="P406" s="101"/>
      <c r="Q406" s="104" t="s">
        <v>2133</v>
      </c>
      <c r="S406" s="101"/>
      <c r="T406" s="101"/>
      <c r="U406" s="101"/>
      <c r="V406" s="101"/>
    </row>
    <row r="407">
      <c r="A407" s="91"/>
      <c r="B407" s="104" t="s">
        <v>2135</v>
      </c>
      <c r="C407" s="104" t="s">
        <v>2136</v>
      </c>
      <c r="D407" s="91"/>
      <c r="E407" s="104" t="s">
        <v>2137</v>
      </c>
      <c r="F407" s="91"/>
      <c r="G407" s="104" t="s">
        <v>2138</v>
      </c>
      <c r="H407" s="91"/>
      <c r="I407" s="101"/>
      <c r="J407" s="91"/>
      <c r="K407" s="105">
        <v>0.0</v>
      </c>
      <c r="L407" s="91"/>
      <c r="M407" s="105">
        <v>11.0</v>
      </c>
      <c r="N407" s="91"/>
      <c r="O407" s="105">
        <v>1472.7272727272727</v>
      </c>
      <c r="P407" s="101"/>
      <c r="Q407" s="104" t="s">
        <v>2140</v>
      </c>
      <c r="S407" s="101"/>
      <c r="T407" s="101"/>
      <c r="U407" s="101"/>
      <c r="V407" s="101"/>
    </row>
    <row r="408">
      <c r="A408" s="91"/>
      <c r="B408" s="104" t="s">
        <v>2143</v>
      </c>
      <c r="C408" s="104" t="s">
        <v>2144</v>
      </c>
      <c r="D408" s="91"/>
      <c r="E408" s="104" t="s">
        <v>2146</v>
      </c>
      <c r="F408" s="91"/>
      <c r="G408" s="104" t="s">
        <v>2147</v>
      </c>
      <c r="H408" s="91"/>
      <c r="I408" s="101"/>
      <c r="J408" s="91"/>
      <c r="K408" s="105">
        <v>0.0</v>
      </c>
      <c r="L408" s="91"/>
      <c r="M408" s="105">
        <v>13.0</v>
      </c>
      <c r="N408" s="91"/>
      <c r="O408" s="105">
        <v>20000.0</v>
      </c>
      <c r="P408" s="101"/>
      <c r="Q408" s="104" t="s">
        <v>2149</v>
      </c>
      <c r="S408" s="101"/>
      <c r="T408" s="101"/>
      <c r="U408" s="101"/>
      <c r="V408" s="101"/>
    </row>
    <row r="409">
      <c r="A409" s="91"/>
      <c r="B409" s="104" t="s">
        <v>2151</v>
      </c>
      <c r="C409" s="104" t="s">
        <v>2152</v>
      </c>
      <c r="D409" s="91"/>
      <c r="E409" s="104" t="s">
        <v>2153</v>
      </c>
      <c r="F409" s="91"/>
      <c r="G409" s="104" t="s">
        <v>2154</v>
      </c>
      <c r="H409" s="91"/>
      <c r="I409" s="101"/>
      <c r="J409" s="91"/>
      <c r="K409" s="105">
        <v>0.0</v>
      </c>
      <c r="L409" s="91"/>
      <c r="M409" s="105">
        <v>2.0</v>
      </c>
      <c r="N409" s="91"/>
      <c r="O409" s="105">
        <v>110000.0</v>
      </c>
      <c r="P409" s="101"/>
      <c r="Q409" s="104" t="s">
        <v>2156</v>
      </c>
      <c r="S409" s="101"/>
      <c r="T409" s="101"/>
      <c r="U409" s="101"/>
      <c r="V409" s="101"/>
    </row>
    <row r="410">
      <c r="A410" s="91"/>
      <c r="B410" s="104" t="s">
        <v>2158</v>
      </c>
      <c r="C410" s="104" t="s">
        <v>2159</v>
      </c>
      <c r="D410" s="91"/>
      <c r="E410" s="104" t="s">
        <v>2161</v>
      </c>
      <c r="F410" s="91"/>
      <c r="G410" s="104" t="s">
        <v>2162</v>
      </c>
      <c r="H410" s="91"/>
      <c r="I410" s="101"/>
      <c r="J410" s="91"/>
      <c r="K410" s="105">
        <v>0.0</v>
      </c>
      <c r="L410" s="91"/>
      <c r="M410" s="105">
        <v>2.0</v>
      </c>
      <c r="N410" s="91"/>
      <c r="O410" s="105">
        <v>110000.0</v>
      </c>
      <c r="P410" s="101"/>
      <c r="Q410" s="104" t="s">
        <v>2164</v>
      </c>
      <c r="S410" s="91"/>
      <c r="T410" s="91"/>
      <c r="U410" s="91"/>
      <c r="V410" s="91"/>
    </row>
    <row r="411">
      <c r="A411" s="91"/>
      <c r="B411" s="104" t="s">
        <v>2166</v>
      </c>
      <c r="C411" s="104" t="s">
        <v>2167</v>
      </c>
      <c r="D411" s="91"/>
      <c r="E411" s="104" t="s">
        <v>2168</v>
      </c>
      <c r="F411" s="91"/>
      <c r="G411" s="104" t="s">
        <v>2169</v>
      </c>
      <c r="H411" s="91"/>
      <c r="I411" s="91"/>
      <c r="J411" s="91"/>
      <c r="K411" s="105">
        <v>0.0</v>
      </c>
      <c r="L411" s="91"/>
      <c r="M411" s="105">
        <v>1.0</v>
      </c>
      <c r="N411" s="91"/>
      <c r="O411" s="105">
        <v>110000.0</v>
      </c>
      <c r="P411" s="101"/>
      <c r="Q411" s="104" t="s">
        <v>2171</v>
      </c>
      <c r="S411" s="101"/>
      <c r="T411" s="101"/>
      <c r="U411" s="101"/>
      <c r="V411" s="101"/>
    </row>
    <row r="412">
      <c r="A412" s="91"/>
      <c r="B412" s="104" t="s">
        <v>2172</v>
      </c>
      <c r="C412" s="104" t="s">
        <v>2173</v>
      </c>
      <c r="D412" s="91"/>
      <c r="E412" s="104" t="s">
        <v>2174</v>
      </c>
      <c r="F412" s="91"/>
      <c r="G412" s="104" t="s">
        <v>2175</v>
      </c>
      <c r="H412" s="91"/>
      <c r="I412" s="91"/>
      <c r="J412" s="91"/>
      <c r="K412" s="105">
        <v>0.0</v>
      </c>
      <c r="L412" s="91"/>
      <c r="M412" s="105">
        <v>5.0</v>
      </c>
      <c r="N412" s="91"/>
      <c r="O412" s="105">
        <v>110000.0</v>
      </c>
      <c r="P412" s="91"/>
      <c r="Q412" s="104" t="s">
        <v>2176</v>
      </c>
      <c r="S412" s="91"/>
      <c r="T412" s="91"/>
      <c r="U412" s="91"/>
      <c r="V412" s="91"/>
    </row>
    <row r="413">
      <c r="A413" s="91"/>
      <c r="B413" s="104" t="s">
        <v>2178</v>
      </c>
      <c r="C413" s="104" t="s">
        <v>2179</v>
      </c>
      <c r="D413" s="91"/>
      <c r="E413" s="104" t="s">
        <v>2180</v>
      </c>
      <c r="F413" s="91"/>
      <c r="G413" s="104" t="s">
        <v>2181</v>
      </c>
      <c r="H413" s="91"/>
      <c r="I413" s="91"/>
      <c r="J413" s="91"/>
      <c r="K413" s="105">
        <v>0.0</v>
      </c>
      <c r="L413" s="91"/>
      <c r="M413" s="105">
        <v>2.0</v>
      </c>
      <c r="N413" s="91"/>
      <c r="O413" s="105">
        <v>0.0</v>
      </c>
      <c r="P413" s="91"/>
      <c r="Q413" s="104" t="s">
        <v>2183</v>
      </c>
      <c r="S413" s="91"/>
      <c r="T413" s="91"/>
      <c r="U413" s="91"/>
      <c r="V413" s="91"/>
    </row>
    <row r="414">
      <c r="A414" s="91"/>
      <c r="B414" s="104" t="s">
        <v>2185</v>
      </c>
      <c r="C414" s="104" t="s">
        <v>2186</v>
      </c>
      <c r="D414" s="91"/>
      <c r="E414" s="104" t="s">
        <v>2187</v>
      </c>
      <c r="F414" s="91"/>
      <c r="G414" s="104" t="s">
        <v>2189</v>
      </c>
      <c r="H414" s="91"/>
      <c r="I414" s="91"/>
      <c r="J414" s="91"/>
      <c r="K414" s="105">
        <v>0.0</v>
      </c>
      <c r="L414" s="91"/>
      <c r="M414" s="105">
        <v>4145.0</v>
      </c>
      <c r="N414" s="91"/>
      <c r="O414" s="105">
        <v>30.0</v>
      </c>
      <c r="P414" s="91"/>
      <c r="Q414" s="104" t="s">
        <v>2192</v>
      </c>
      <c r="S414" s="91"/>
      <c r="T414" s="91"/>
      <c r="U414" s="91"/>
      <c r="V414" s="91"/>
    </row>
    <row r="415">
      <c r="A415" s="91"/>
      <c r="B415" s="104" t="s">
        <v>2194</v>
      </c>
      <c r="C415" s="104" t="s">
        <v>2195</v>
      </c>
      <c r="D415" s="91"/>
      <c r="E415" s="106" t="s">
        <v>29</v>
      </c>
      <c r="F415" s="91"/>
      <c r="G415" s="104" t="s">
        <v>2197</v>
      </c>
      <c r="H415" s="91"/>
      <c r="I415" s="91"/>
      <c r="J415" s="91"/>
      <c r="K415" s="105">
        <v>0.0</v>
      </c>
      <c r="L415" s="91"/>
      <c r="M415" s="105">
        <v>549.0</v>
      </c>
      <c r="N415" s="91"/>
      <c r="O415" s="105">
        <v>1833.333333</v>
      </c>
      <c r="P415" s="91"/>
      <c r="Q415" s="104" t="s">
        <v>2199</v>
      </c>
      <c r="S415" s="91"/>
      <c r="T415" s="91"/>
      <c r="U415" s="91"/>
      <c r="V415" s="91"/>
    </row>
    <row r="416">
      <c r="A416" s="91"/>
      <c r="B416" s="104" t="s">
        <v>2202</v>
      </c>
      <c r="C416" s="104" t="s">
        <v>2203</v>
      </c>
      <c r="D416" s="91"/>
      <c r="E416" s="104" t="s">
        <v>2204</v>
      </c>
      <c r="F416" s="91"/>
      <c r="G416" s="104" t="s">
        <v>2205</v>
      </c>
      <c r="H416" s="91"/>
      <c r="I416" s="91"/>
      <c r="J416" s="91"/>
      <c r="K416" s="105">
        <v>0.0</v>
      </c>
      <c r="L416" s="91"/>
      <c r="M416" s="105">
        <v>5.0</v>
      </c>
      <c r="N416" s="91"/>
      <c r="O416" s="105">
        <v>110000.0</v>
      </c>
      <c r="P416" s="91"/>
      <c r="Q416" s="104" t="s">
        <v>2207</v>
      </c>
      <c r="S416" s="91"/>
      <c r="T416" s="91"/>
      <c r="U416" s="91"/>
      <c r="V416" s="91"/>
    </row>
    <row r="417">
      <c r="A417" s="91"/>
      <c r="B417" s="104" t="s">
        <v>2209</v>
      </c>
      <c r="C417" s="104" t="s">
        <v>2210</v>
      </c>
      <c r="D417" s="91"/>
      <c r="E417" s="104" t="s">
        <v>2211</v>
      </c>
      <c r="F417" s="91"/>
      <c r="G417" s="104" t="s">
        <v>2212</v>
      </c>
      <c r="H417" s="91"/>
      <c r="I417" s="91"/>
      <c r="J417" s="91"/>
      <c r="K417" s="105">
        <v>0.0</v>
      </c>
      <c r="L417" s="91"/>
      <c r="M417" s="105">
        <v>224.0</v>
      </c>
      <c r="N417" s="91"/>
      <c r="O417" s="105">
        <v>9997.02427455357</v>
      </c>
      <c r="P417" s="91"/>
      <c r="Q417" s="104" t="s">
        <v>2213</v>
      </c>
      <c r="S417" s="91"/>
      <c r="T417" s="91"/>
      <c r="U417" s="91"/>
      <c r="V417" s="91"/>
    </row>
    <row r="418">
      <c r="A418" s="91"/>
      <c r="B418" s="104" t="s">
        <v>2214</v>
      </c>
      <c r="C418" s="104" t="s">
        <v>2215</v>
      </c>
      <c r="D418" s="91"/>
      <c r="E418" s="104" t="s">
        <v>2216</v>
      </c>
      <c r="F418" s="91"/>
      <c r="G418" s="104" t="s">
        <v>2217</v>
      </c>
      <c r="H418" s="91"/>
      <c r="I418" s="91"/>
      <c r="J418" s="91"/>
      <c r="K418" s="105">
        <v>0.0</v>
      </c>
      <c r="L418" s="91"/>
      <c r="M418" s="105">
        <v>26998.0</v>
      </c>
      <c r="N418" s="91"/>
      <c r="O418" s="105">
        <v>30.018482850581524</v>
      </c>
      <c r="P418" s="91"/>
      <c r="Q418" s="104" t="s">
        <v>2219</v>
      </c>
      <c r="S418" s="91"/>
      <c r="T418" s="91"/>
      <c r="U418" s="91"/>
      <c r="V418" s="91"/>
    </row>
    <row r="419">
      <c r="A419" s="91"/>
      <c r="B419" s="104" t="s">
        <v>2220</v>
      </c>
      <c r="C419" s="104" t="s">
        <v>2221</v>
      </c>
      <c r="D419" s="91"/>
      <c r="E419" s="104" t="s">
        <v>2222</v>
      </c>
      <c r="F419" s="91"/>
      <c r="G419" s="104" t="s">
        <v>2223</v>
      </c>
      <c r="H419" s="91"/>
      <c r="I419" s="91"/>
      <c r="J419" s="91"/>
      <c r="K419" s="105">
        <v>0.0</v>
      </c>
      <c r="L419" s="91"/>
      <c r="M419" s="105">
        <v>34882.0</v>
      </c>
      <c r="N419" s="91"/>
      <c r="O419" s="105">
        <v>25.0</v>
      </c>
      <c r="P419" s="91"/>
      <c r="Q419" s="104" t="s">
        <v>2225</v>
      </c>
      <c r="S419" s="91"/>
      <c r="T419" s="91"/>
      <c r="U419" s="91"/>
      <c r="V419" s="91"/>
    </row>
    <row r="420">
      <c r="A420" s="91"/>
      <c r="B420" s="104" t="s">
        <v>2226</v>
      </c>
      <c r="C420" s="104" t="s">
        <v>2227</v>
      </c>
      <c r="D420" s="91"/>
      <c r="E420" s="104" t="s">
        <v>2228</v>
      </c>
      <c r="F420" s="91"/>
      <c r="G420" s="104" t="s">
        <v>2229</v>
      </c>
      <c r="H420" s="91"/>
      <c r="I420" s="91"/>
      <c r="J420" s="91"/>
      <c r="K420" s="105">
        <v>0.0</v>
      </c>
      <c r="L420" s="91"/>
      <c r="M420" s="105">
        <v>26244.0</v>
      </c>
      <c r="N420" s="91"/>
      <c r="O420" s="146">
        <v>18.0</v>
      </c>
      <c r="P420" s="91"/>
      <c r="Q420" s="104" t="s">
        <v>2231</v>
      </c>
      <c r="S420" s="91"/>
      <c r="T420" s="91"/>
      <c r="U420" s="91"/>
      <c r="V420" s="91"/>
    </row>
    <row r="421">
      <c r="A421" s="91"/>
      <c r="B421" s="104" t="s">
        <v>2233</v>
      </c>
      <c r="C421" s="104" t="s">
        <v>2234</v>
      </c>
      <c r="D421" s="91"/>
      <c r="E421" s="104" t="s">
        <v>2236</v>
      </c>
      <c r="F421" s="91"/>
      <c r="G421" s="104" t="s">
        <v>2237</v>
      </c>
      <c r="H421" s="91"/>
      <c r="I421" s="101"/>
      <c r="J421" s="91"/>
      <c r="K421" s="105">
        <v>0.0</v>
      </c>
      <c r="L421" s="91"/>
      <c r="M421" s="105">
        <v>27747.0</v>
      </c>
      <c r="N421" s="91"/>
      <c r="O421" s="146">
        <v>25.0</v>
      </c>
      <c r="P421" s="101"/>
      <c r="Q421" s="104" t="s">
        <v>2239</v>
      </c>
      <c r="S421" s="91"/>
      <c r="T421" s="91"/>
      <c r="U421" s="91"/>
      <c r="V421" s="91"/>
    </row>
    <row r="422">
      <c r="A422" s="91"/>
      <c r="B422" s="104" t="s">
        <v>2240</v>
      </c>
      <c r="C422" s="104" t="s">
        <v>2242</v>
      </c>
      <c r="D422" s="91"/>
      <c r="E422" s="104" t="s">
        <v>2243</v>
      </c>
      <c r="F422" s="91"/>
      <c r="G422" s="104" t="s">
        <v>2244</v>
      </c>
      <c r="H422" s="91"/>
      <c r="I422" s="101"/>
      <c r="J422" s="91"/>
      <c r="K422" s="105">
        <v>0.0</v>
      </c>
      <c r="L422" s="91"/>
      <c r="M422" s="105">
        <v>16807.0</v>
      </c>
      <c r="N422" s="91"/>
      <c r="O422" s="105">
        <v>25.235279942880943</v>
      </c>
      <c r="P422" s="101"/>
      <c r="Q422" s="104" t="s">
        <v>2246</v>
      </c>
      <c r="S422" s="101"/>
      <c r="T422" s="101"/>
      <c r="U422" s="101"/>
      <c r="V422" s="101"/>
    </row>
    <row r="423">
      <c r="A423" s="91"/>
      <c r="B423" s="104" t="s">
        <v>2248</v>
      </c>
      <c r="C423" s="104" t="s">
        <v>2249</v>
      </c>
      <c r="D423" s="91"/>
      <c r="E423" s="104" t="s">
        <v>2250</v>
      </c>
      <c r="F423" s="91"/>
      <c r="G423" s="104" t="s">
        <v>2251</v>
      </c>
      <c r="H423" s="91"/>
      <c r="I423" s="101"/>
      <c r="J423" s="91"/>
      <c r="K423" s="105">
        <v>0.0</v>
      </c>
      <c r="L423" s="91"/>
      <c r="M423" s="105">
        <v>67018.0</v>
      </c>
      <c r="N423" s="91"/>
      <c r="O423" s="105">
        <v>21.917126742069296</v>
      </c>
      <c r="P423" s="101"/>
      <c r="Q423" s="104" t="s">
        <v>2253</v>
      </c>
      <c r="S423" s="101"/>
      <c r="T423" s="101"/>
      <c r="U423" s="101"/>
      <c r="V423" s="101"/>
    </row>
    <row r="424">
      <c r="A424" s="100" t="s">
        <v>2255</v>
      </c>
      <c r="C424" s="91"/>
      <c r="D424" s="91"/>
      <c r="E424" s="91"/>
      <c r="F424" s="91"/>
      <c r="G424" s="91"/>
      <c r="H424" s="91"/>
      <c r="I424" s="101"/>
      <c r="J424" s="91"/>
      <c r="K424" s="101"/>
      <c r="L424" s="91"/>
      <c r="M424" s="101"/>
      <c r="N424" s="91"/>
      <c r="O424" s="101"/>
      <c r="P424" s="101"/>
      <c r="Q424" s="91"/>
      <c r="R424" s="101"/>
      <c r="S424" s="101"/>
      <c r="T424" s="101"/>
      <c r="U424" s="101"/>
      <c r="V424" s="101"/>
    </row>
    <row r="425">
      <c r="A425" s="91"/>
      <c r="B425" s="104" t="s">
        <v>2259</v>
      </c>
      <c r="C425" s="104" t="s">
        <v>2260</v>
      </c>
      <c r="D425" s="91"/>
      <c r="E425" s="104" t="s">
        <v>2261</v>
      </c>
      <c r="F425" s="91"/>
      <c r="G425" s="104" t="s">
        <v>2263</v>
      </c>
      <c r="H425" s="91"/>
      <c r="I425" s="101"/>
      <c r="J425" s="91"/>
      <c r="K425" s="105">
        <v>0.0</v>
      </c>
      <c r="L425" s="91"/>
      <c r="M425" s="105">
        <v>5056.0</v>
      </c>
      <c r="N425" s="91"/>
      <c r="O425" s="105">
        <v>7.970727848101266</v>
      </c>
      <c r="P425" s="101"/>
      <c r="Q425" s="104" t="s">
        <v>2266</v>
      </c>
      <c r="S425" s="101"/>
      <c r="T425" s="101"/>
      <c r="U425" s="101"/>
      <c r="V425" s="101"/>
    </row>
    <row r="426">
      <c r="A426" s="91"/>
      <c r="B426" s="104" t="s">
        <v>2268</v>
      </c>
      <c r="C426" s="104" t="s">
        <v>2269</v>
      </c>
      <c r="D426" s="91"/>
      <c r="E426" s="104" t="s">
        <v>2270</v>
      </c>
      <c r="F426" s="91"/>
      <c r="G426" s="104" t="s">
        <v>2271</v>
      </c>
      <c r="H426" s="91"/>
      <c r="I426" s="101"/>
      <c r="J426" s="91"/>
      <c r="K426" s="105">
        <v>0.0</v>
      </c>
      <c r="L426" s="91"/>
      <c r="M426" s="105">
        <v>105.0</v>
      </c>
      <c r="N426" s="91"/>
      <c r="O426" s="105">
        <v>4904.761904761905</v>
      </c>
      <c r="P426" s="101"/>
      <c r="Q426" s="104" t="s">
        <v>2272</v>
      </c>
      <c r="S426" s="101"/>
      <c r="T426" s="101"/>
      <c r="U426" s="101"/>
      <c r="V426" s="101"/>
    </row>
    <row r="427">
      <c r="A427" s="91"/>
      <c r="B427" s="104" t="s">
        <v>2274</v>
      </c>
      <c r="C427" s="104" t="s">
        <v>2275</v>
      </c>
      <c r="D427" s="91"/>
      <c r="E427" s="104" t="s">
        <v>2276</v>
      </c>
      <c r="F427" s="91"/>
      <c r="G427" s="104" t="s">
        <v>2277</v>
      </c>
      <c r="H427" s="91"/>
      <c r="I427" s="101"/>
      <c r="J427" s="91"/>
      <c r="K427" s="105">
        <v>0.0</v>
      </c>
      <c r="L427" s="91"/>
      <c r="M427" s="105">
        <v>22694.0</v>
      </c>
      <c r="N427" s="91"/>
      <c r="O427" s="105">
        <v>0.0</v>
      </c>
      <c r="P427" s="101"/>
      <c r="Q427" s="104" t="s">
        <v>2278</v>
      </c>
      <c r="S427" s="101"/>
      <c r="T427" s="101"/>
      <c r="U427" s="101"/>
      <c r="V427" s="101"/>
    </row>
    <row r="428">
      <c r="A428" s="91"/>
      <c r="B428" s="104" t="s">
        <v>2279</v>
      </c>
      <c r="C428" s="104" t="s">
        <v>2280</v>
      </c>
      <c r="D428" s="91"/>
      <c r="E428" s="104" t="s">
        <v>2281</v>
      </c>
      <c r="F428" s="91"/>
      <c r="G428" s="104" t="s">
        <v>2282</v>
      </c>
      <c r="H428" s="91"/>
      <c r="I428" s="101"/>
      <c r="J428" s="91"/>
      <c r="K428" s="105">
        <v>0.0</v>
      </c>
      <c r="L428" s="91"/>
      <c r="M428" s="105">
        <v>15.0</v>
      </c>
      <c r="N428" s="91"/>
      <c r="O428" s="105">
        <v>0.0</v>
      </c>
      <c r="P428" s="101"/>
      <c r="Q428" s="104" t="s">
        <v>2284</v>
      </c>
      <c r="S428" s="101"/>
      <c r="T428" s="101"/>
      <c r="U428" s="101"/>
      <c r="V428" s="101"/>
    </row>
    <row r="429">
      <c r="A429" s="91"/>
      <c r="B429" s="104" t="s">
        <v>2285</v>
      </c>
      <c r="C429" s="104" t="s">
        <v>2286</v>
      </c>
      <c r="D429" s="91"/>
      <c r="E429" s="104" t="s">
        <v>2287</v>
      </c>
      <c r="F429" s="91"/>
      <c r="G429" s="104" t="s">
        <v>2288</v>
      </c>
      <c r="H429" s="91"/>
      <c r="I429" s="101"/>
      <c r="J429" s="91"/>
      <c r="K429" s="105">
        <v>0.0</v>
      </c>
      <c r="L429" s="91"/>
      <c r="M429" s="105">
        <v>0.0</v>
      </c>
      <c r="N429" s="91"/>
      <c r="O429" s="105">
        <v>0.0</v>
      </c>
      <c r="P429" s="101"/>
      <c r="Q429" s="104" t="s">
        <v>2290</v>
      </c>
      <c r="S429" s="101"/>
      <c r="T429" s="101"/>
      <c r="U429" s="101"/>
      <c r="V429" s="101"/>
    </row>
    <row r="430">
      <c r="A430" s="91"/>
      <c r="B430" s="104" t="s">
        <v>2292</v>
      </c>
      <c r="C430" s="104" t="s">
        <v>2293</v>
      </c>
      <c r="D430" s="91"/>
      <c r="E430" s="104" t="s">
        <v>2294</v>
      </c>
      <c r="F430" s="91"/>
      <c r="G430" s="104" t="s">
        <v>2295</v>
      </c>
      <c r="H430" s="91"/>
      <c r="I430" s="101"/>
      <c r="J430" s="91"/>
      <c r="K430" s="105">
        <v>0.0</v>
      </c>
      <c r="L430" s="91"/>
      <c r="M430" s="105">
        <v>3.42</v>
      </c>
      <c r="N430" s="91"/>
      <c r="O430" s="105">
        <v>14859.649122807017</v>
      </c>
      <c r="P430" s="101"/>
      <c r="Q430" s="104" t="s">
        <v>2297</v>
      </c>
      <c r="S430" s="101"/>
      <c r="T430" s="101"/>
      <c r="U430" s="101"/>
      <c r="V430" s="101"/>
    </row>
    <row r="431">
      <c r="A431" s="91"/>
      <c r="B431" s="104" t="s">
        <v>2299</v>
      </c>
      <c r="C431" s="104" t="s">
        <v>2300</v>
      </c>
      <c r="D431" s="91"/>
      <c r="E431" s="104" t="s">
        <v>2301</v>
      </c>
      <c r="F431" s="91"/>
      <c r="G431" s="104" t="s">
        <v>2302</v>
      </c>
      <c r="H431" s="91"/>
      <c r="I431" s="101"/>
      <c r="J431" s="91"/>
      <c r="K431" s="105">
        <v>0.0</v>
      </c>
      <c r="L431" s="91"/>
      <c r="M431" s="105">
        <v>318.0</v>
      </c>
      <c r="N431" s="91"/>
      <c r="O431" s="105">
        <v>2745.2830188679245</v>
      </c>
      <c r="P431" s="101"/>
      <c r="Q431" s="104" t="s">
        <v>2304</v>
      </c>
      <c r="S431" s="101"/>
      <c r="T431" s="101"/>
      <c r="U431" s="101"/>
      <c r="V431" s="101"/>
    </row>
    <row r="432">
      <c r="A432" s="91"/>
      <c r="B432" s="104" t="s">
        <v>2305</v>
      </c>
      <c r="C432" s="104" t="s">
        <v>2307</v>
      </c>
      <c r="D432" s="91"/>
      <c r="E432" s="104" t="s">
        <v>2308</v>
      </c>
      <c r="F432" s="91"/>
      <c r="G432" s="104" t="s">
        <v>2309</v>
      </c>
      <c r="H432" s="91"/>
      <c r="I432" s="101"/>
      <c r="J432" s="91"/>
      <c r="K432" s="105">
        <v>0.0</v>
      </c>
      <c r="L432" s="91"/>
      <c r="M432" s="105">
        <v>184.0</v>
      </c>
      <c r="N432" s="91"/>
      <c r="O432" s="105">
        <v>5559.782608695652</v>
      </c>
      <c r="P432" s="101"/>
      <c r="Q432" s="104" t="s">
        <v>2311</v>
      </c>
      <c r="S432" s="101"/>
      <c r="T432" s="101"/>
      <c r="U432" s="101"/>
      <c r="V432" s="101"/>
    </row>
    <row r="433">
      <c r="A433" s="91"/>
      <c r="B433" s="104" t="s">
        <v>2312</v>
      </c>
      <c r="C433" s="104" t="s">
        <v>2313</v>
      </c>
      <c r="D433" s="91"/>
      <c r="E433" s="104" t="s">
        <v>2314</v>
      </c>
      <c r="F433" s="91"/>
      <c r="G433" s="104" t="s">
        <v>2315</v>
      </c>
      <c r="H433" s="91"/>
      <c r="I433" s="101"/>
      <c r="J433" s="91"/>
      <c r="K433" s="105">
        <v>0.0</v>
      </c>
      <c r="L433" s="91"/>
      <c r="M433" s="105">
        <v>2000.0</v>
      </c>
      <c r="N433" s="91"/>
      <c r="O433" s="105">
        <v>88.0</v>
      </c>
      <c r="P433" s="101"/>
      <c r="Q433" s="104" t="s">
        <v>2316</v>
      </c>
      <c r="S433" s="101"/>
      <c r="T433" s="101"/>
      <c r="U433" s="101"/>
      <c r="V433" s="101"/>
    </row>
    <row r="434">
      <c r="A434" s="91"/>
      <c r="B434" s="104" t="s">
        <v>2317</v>
      </c>
      <c r="C434" s="104" t="s">
        <v>2318</v>
      </c>
      <c r="D434" s="91"/>
      <c r="E434" s="104" t="s">
        <v>2319</v>
      </c>
      <c r="F434" s="91"/>
      <c r="G434" s="104" t="s">
        <v>2320</v>
      </c>
      <c r="H434" s="91"/>
      <c r="I434" s="101"/>
      <c r="J434" s="91"/>
      <c r="K434" s="105">
        <v>0.0</v>
      </c>
      <c r="L434" s="91"/>
      <c r="M434" s="105">
        <v>32310.0</v>
      </c>
      <c r="N434" s="91"/>
      <c r="O434" s="105">
        <v>34.97988238935314</v>
      </c>
      <c r="P434" s="101"/>
      <c r="Q434" s="104" t="s">
        <v>2321</v>
      </c>
      <c r="S434" s="101"/>
      <c r="T434" s="101"/>
      <c r="U434" s="101"/>
      <c r="V434" s="101"/>
    </row>
    <row r="435">
      <c r="A435" s="91"/>
      <c r="B435" s="104" t="s">
        <v>2322</v>
      </c>
      <c r="C435" s="104" t="s">
        <v>2323</v>
      </c>
      <c r="D435" s="91"/>
      <c r="E435" s="104" t="s">
        <v>2324</v>
      </c>
      <c r="F435" s="91"/>
      <c r="G435" s="104" t="s">
        <v>2325</v>
      </c>
      <c r="H435" s="91"/>
      <c r="I435" s="101"/>
      <c r="J435" s="91"/>
      <c r="K435" s="105">
        <v>0.0</v>
      </c>
      <c r="L435" s="91"/>
      <c r="M435" s="105">
        <v>23.0</v>
      </c>
      <c r="N435" s="91"/>
      <c r="O435" s="105">
        <v>12091.304347826086</v>
      </c>
      <c r="P435" s="101"/>
      <c r="Q435" s="104" t="s">
        <v>2326</v>
      </c>
      <c r="S435" s="101"/>
      <c r="T435" s="101"/>
      <c r="U435" s="101"/>
      <c r="V435" s="101"/>
    </row>
    <row r="436">
      <c r="A436" s="91"/>
      <c r="B436" s="104" t="s">
        <v>2327</v>
      </c>
      <c r="C436" s="104" t="s">
        <v>2328</v>
      </c>
      <c r="D436" s="91"/>
      <c r="E436" s="104" t="s">
        <v>2329</v>
      </c>
      <c r="F436" s="91"/>
      <c r="G436" s="104" t="s">
        <v>2330</v>
      </c>
      <c r="H436" s="91"/>
      <c r="I436" s="101"/>
      <c r="J436" s="91"/>
      <c r="K436" s="105">
        <v>0.0</v>
      </c>
      <c r="L436" s="91"/>
      <c r="M436" s="105">
        <v>7000.0</v>
      </c>
      <c r="N436" s="91"/>
      <c r="O436" s="105">
        <v>14.857142857142858</v>
      </c>
      <c r="P436" s="101"/>
      <c r="Q436" s="104" t="s">
        <v>2331</v>
      </c>
      <c r="S436" s="101"/>
      <c r="T436" s="101"/>
      <c r="U436" s="101"/>
      <c r="V436" s="101"/>
    </row>
    <row r="437">
      <c r="A437" s="91"/>
      <c r="B437" s="104" t="s">
        <v>2332</v>
      </c>
      <c r="C437" s="104" t="s">
        <v>2333</v>
      </c>
      <c r="D437" s="91"/>
      <c r="E437" s="104" t="s">
        <v>2334</v>
      </c>
      <c r="F437" s="91"/>
      <c r="G437" s="104" t="s">
        <v>2335</v>
      </c>
      <c r="H437" s="91"/>
      <c r="I437" s="101"/>
      <c r="J437" s="91"/>
      <c r="K437" s="105">
        <v>0.0</v>
      </c>
      <c r="L437" s="91"/>
      <c r="M437" s="105">
        <v>11036.0</v>
      </c>
      <c r="N437" s="91"/>
      <c r="O437" s="105">
        <v>245.1975353388909</v>
      </c>
      <c r="P437" s="101"/>
      <c r="Q437" s="104" t="s">
        <v>2336</v>
      </c>
      <c r="S437" s="101"/>
      <c r="T437" s="101"/>
      <c r="U437" s="101"/>
      <c r="V437" s="101"/>
    </row>
    <row r="438">
      <c r="A438" s="91"/>
      <c r="B438" s="104" t="s">
        <v>2337</v>
      </c>
      <c r="C438" s="104" t="s">
        <v>2338</v>
      </c>
      <c r="D438" s="91"/>
      <c r="E438" s="104" t="s">
        <v>2340</v>
      </c>
      <c r="F438" s="91"/>
      <c r="G438" s="104" t="s">
        <v>2341</v>
      </c>
      <c r="H438" s="91"/>
      <c r="I438" s="101"/>
      <c r="J438" s="91"/>
      <c r="K438" s="105">
        <v>0.0</v>
      </c>
      <c r="L438" s="91"/>
      <c r="M438" s="105">
        <v>66.0</v>
      </c>
      <c r="N438" s="91"/>
      <c r="O438" s="105">
        <v>2454.5454545454545</v>
      </c>
      <c r="P438" s="101"/>
      <c r="Q438" s="104" t="s">
        <v>2343</v>
      </c>
      <c r="S438" s="101"/>
      <c r="T438" s="101"/>
      <c r="U438" s="101"/>
      <c r="V438" s="101"/>
    </row>
    <row r="439">
      <c r="A439" s="91"/>
      <c r="B439" s="104" t="s">
        <v>2344</v>
      </c>
      <c r="C439" s="104" t="s">
        <v>2346</v>
      </c>
      <c r="D439" s="91"/>
      <c r="E439" s="104" t="s">
        <v>2347</v>
      </c>
      <c r="F439" s="91"/>
      <c r="G439" s="104" t="s">
        <v>2348</v>
      </c>
      <c r="H439" s="91"/>
      <c r="I439" s="101"/>
      <c r="J439" s="91"/>
      <c r="K439" s="105">
        <v>0.0</v>
      </c>
      <c r="L439" s="91"/>
      <c r="M439" s="105">
        <v>7000.0</v>
      </c>
      <c r="N439" s="91"/>
      <c r="O439" s="105">
        <v>10.285714285714286</v>
      </c>
      <c r="P439" s="101"/>
      <c r="Q439" s="104" t="s">
        <v>2350</v>
      </c>
      <c r="S439" s="101"/>
      <c r="T439" s="101"/>
      <c r="U439" s="101"/>
      <c r="V439" s="101"/>
    </row>
    <row r="440">
      <c r="A440" s="91"/>
      <c r="B440" s="104" t="s">
        <v>2352</v>
      </c>
      <c r="C440" s="104" t="s">
        <v>2353</v>
      </c>
      <c r="D440" s="91"/>
      <c r="E440" s="104" t="s">
        <v>2354</v>
      </c>
      <c r="F440" s="91"/>
      <c r="G440" s="104" t="s">
        <v>2356</v>
      </c>
      <c r="H440" s="91"/>
      <c r="I440" s="101"/>
      <c r="J440" s="91"/>
      <c r="K440" s="105">
        <v>0.0</v>
      </c>
      <c r="L440" s="91"/>
      <c r="M440" s="105">
        <v>36.0</v>
      </c>
      <c r="N440" s="91"/>
      <c r="O440" s="105">
        <v>1666.666667</v>
      </c>
      <c r="P440" s="101"/>
      <c r="Q440" s="104" t="s">
        <v>2357</v>
      </c>
      <c r="S440" s="101"/>
      <c r="T440" s="101"/>
      <c r="U440" s="101"/>
      <c r="V440" s="101"/>
    </row>
    <row r="441">
      <c r="A441" s="91"/>
      <c r="B441" s="104" t="s">
        <v>2359</v>
      </c>
      <c r="C441" s="104" t="s">
        <v>2360</v>
      </c>
      <c r="D441" s="91"/>
      <c r="E441" s="104" t="s">
        <v>2362</v>
      </c>
      <c r="F441" s="91"/>
      <c r="G441" s="104" t="s">
        <v>2363</v>
      </c>
      <c r="H441" s="91"/>
      <c r="I441" s="101"/>
      <c r="J441" s="91"/>
      <c r="K441" s="105">
        <v>0.0</v>
      </c>
      <c r="L441" s="91"/>
      <c r="M441" s="105">
        <v>156.0</v>
      </c>
      <c r="N441" s="91"/>
      <c r="O441" s="105">
        <v>5196.923076923077</v>
      </c>
      <c r="P441" s="101"/>
      <c r="Q441" s="104" t="s">
        <v>2365</v>
      </c>
      <c r="S441" s="101"/>
      <c r="T441" s="101"/>
      <c r="U441" s="101"/>
      <c r="V441" s="101"/>
    </row>
    <row r="442">
      <c r="A442" s="91"/>
      <c r="B442" s="104" t="s">
        <v>2366</v>
      </c>
      <c r="C442" s="104" t="s">
        <v>2368</v>
      </c>
      <c r="D442" s="91"/>
      <c r="E442" s="104" t="s">
        <v>2369</v>
      </c>
      <c r="F442" s="91"/>
      <c r="G442" s="104" t="s">
        <v>2370</v>
      </c>
      <c r="H442" s="91"/>
      <c r="I442" s="101"/>
      <c r="J442" s="91"/>
      <c r="K442" s="105">
        <v>0.0</v>
      </c>
      <c r="L442" s="91"/>
      <c r="M442" s="105">
        <v>3.0</v>
      </c>
      <c r="N442" s="91"/>
      <c r="O442" s="105">
        <v>23000.0</v>
      </c>
      <c r="P442" s="101"/>
      <c r="Q442" s="104" t="s">
        <v>2372</v>
      </c>
      <c r="S442" s="101"/>
      <c r="T442" s="101"/>
      <c r="U442" s="101"/>
      <c r="V442" s="101"/>
    </row>
    <row r="443">
      <c r="A443" s="91"/>
      <c r="B443" s="104" t="s">
        <v>2374</v>
      </c>
      <c r="C443" s="104" t="s">
        <v>2375</v>
      </c>
      <c r="D443" s="91"/>
      <c r="E443" s="104" t="s">
        <v>2376</v>
      </c>
      <c r="F443" s="91"/>
      <c r="G443" s="104" t="s">
        <v>2377</v>
      </c>
      <c r="H443" s="91"/>
      <c r="I443" s="101"/>
      <c r="J443" s="91"/>
      <c r="K443" s="105">
        <v>0.0</v>
      </c>
      <c r="L443" s="91"/>
      <c r="M443" s="105">
        <v>2000.0</v>
      </c>
      <c r="N443" s="91"/>
      <c r="O443" s="105">
        <v>85.0</v>
      </c>
      <c r="P443" s="101"/>
      <c r="Q443" s="104" t="s">
        <v>2379</v>
      </c>
      <c r="S443" s="101"/>
      <c r="T443" s="101"/>
      <c r="U443" s="101"/>
      <c r="V443" s="101"/>
    </row>
    <row r="444">
      <c r="A444" s="91"/>
      <c r="B444" s="104" t="s">
        <v>2382</v>
      </c>
      <c r="C444" s="104" t="s">
        <v>2383</v>
      </c>
      <c r="D444" s="91"/>
      <c r="E444" s="104" t="s">
        <v>2384</v>
      </c>
      <c r="F444" s="91"/>
      <c r="G444" s="104" t="s">
        <v>2386</v>
      </c>
      <c r="H444" s="91"/>
      <c r="I444" s="101"/>
      <c r="J444" s="91"/>
      <c r="K444" s="105">
        <v>0.0</v>
      </c>
      <c r="L444" s="91"/>
      <c r="M444" s="105">
        <v>6004.0</v>
      </c>
      <c r="N444" s="91"/>
      <c r="O444" s="105">
        <v>16.005329780146567</v>
      </c>
      <c r="P444" s="101"/>
      <c r="Q444" s="104" t="s">
        <v>2387</v>
      </c>
      <c r="S444" s="101"/>
      <c r="T444" s="101"/>
      <c r="U444" s="101"/>
      <c r="V444" s="101"/>
    </row>
    <row r="445">
      <c r="A445" s="91"/>
      <c r="B445" s="104" t="s">
        <v>2388</v>
      </c>
      <c r="C445" s="104" t="s">
        <v>2389</v>
      </c>
      <c r="D445" s="91"/>
      <c r="E445" s="104" t="s">
        <v>2390</v>
      </c>
      <c r="F445" s="91"/>
      <c r="G445" s="104" t="s">
        <v>2392</v>
      </c>
      <c r="H445" s="91"/>
      <c r="I445" s="91"/>
      <c r="J445" s="91"/>
      <c r="K445" s="105">
        <v>0.0</v>
      </c>
      <c r="L445" s="91"/>
      <c r="M445" s="105">
        <v>1.0</v>
      </c>
      <c r="N445" s="91"/>
      <c r="O445" s="105">
        <v>0.0</v>
      </c>
      <c r="P445" s="101"/>
      <c r="Q445" s="104" t="s">
        <v>2394</v>
      </c>
      <c r="S445" s="101"/>
      <c r="T445" s="101"/>
      <c r="U445" s="101"/>
      <c r="V445" s="101"/>
    </row>
    <row r="446">
      <c r="A446" s="91"/>
      <c r="B446" s="104" t="s">
        <v>2395</v>
      </c>
      <c r="C446" s="104" t="s">
        <v>2396</v>
      </c>
      <c r="D446" s="91"/>
      <c r="E446" s="104" t="s">
        <v>2398</v>
      </c>
      <c r="F446" s="91"/>
      <c r="G446" s="104" t="s">
        <v>2399</v>
      </c>
      <c r="H446" s="91"/>
      <c r="I446" s="91"/>
      <c r="J446" s="91"/>
      <c r="K446" s="105">
        <v>0.0</v>
      </c>
      <c r="L446" s="91"/>
      <c r="M446" s="105">
        <v>12006.0</v>
      </c>
      <c r="N446" s="91"/>
      <c r="O446" s="105">
        <v>18.008995502248876</v>
      </c>
      <c r="P446" s="91"/>
      <c r="Q446" s="104" t="s">
        <v>2401</v>
      </c>
      <c r="S446" s="91"/>
      <c r="T446" s="91"/>
      <c r="U446" s="91"/>
      <c r="V446" s="91"/>
    </row>
    <row r="447">
      <c r="A447" s="91"/>
      <c r="B447" s="104" t="s">
        <v>2403</v>
      </c>
      <c r="C447" s="104" t="s">
        <v>2404</v>
      </c>
      <c r="D447" s="91"/>
      <c r="E447" s="104" t="s">
        <v>2405</v>
      </c>
      <c r="F447" s="91"/>
      <c r="G447" s="104" t="s">
        <v>2406</v>
      </c>
      <c r="H447" s="91"/>
      <c r="I447" s="91"/>
      <c r="J447" s="91"/>
      <c r="K447" s="105">
        <v>0.0</v>
      </c>
      <c r="L447" s="91"/>
      <c r="M447" s="105">
        <v>30.3</v>
      </c>
      <c r="N447" s="91"/>
      <c r="O447" s="105">
        <v>20511.55115511551</v>
      </c>
      <c r="P447" s="91"/>
      <c r="Q447" s="104" t="s">
        <v>2408</v>
      </c>
      <c r="S447" s="91"/>
      <c r="T447" s="91"/>
      <c r="U447" s="91"/>
      <c r="V447" s="91"/>
    </row>
    <row r="448">
      <c r="A448" s="91"/>
      <c r="B448" s="104" t="s">
        <v>2410</v>
      </c>
      <c r="C448" s="104" t="s">
        <v>2411</v>
      </c>
      <c r="D448" s="91"/>
      <c r="E448" s="104" t="s">
        <v>2412</v>
      </c>
      <c r="F448" s="91"/>
      <c r="G448" s="104" t="s">
        <v>2413</v>
      </c>
      <c r="H448" s="91"/>
      <c r="I448" s="91"/>
      <c r="J448" s="91"/>
      <c r="K448" s="105">
        <v>0.0</v>
      </c>
      <c r="L448" s="91"/>
      <c r="M448" s="105">
        <v>5214.0</v>
      </c>
      <c r="N448" s="91"/>
      <c r="O448" s="105">
        <v>8.367932489451476</v>
      </c>
      <c r="P448" s="91"/>
      <c r="Q448" s="104" t="s">
        <v>2415</v>
      </c>
      <c r="S448" s="91"/>
      <c r="T448" s="91"/>
      <c r="U448" s="91"/>
      <c r="V448" s="91"/>
    </row>
    <row r="449">
      <c r="A449" s="91"/>
      <c r="B449" s="104" t="s">
        <v>2417</v>
      </c>
      <c r="C449" s="104" t="s">
        <v>2418</v>
      </c>
      <c r="D449" s="91"/>
      <c r="E449" s="104" t="s">
        <v>2420</v>
      </c>
      <c r="F449" s="91"/>
      <c r="G449" s="104" t="s">
        <v>2421</v>
      </c>
      <c r="H449" s="91"/>
      <c r="I449" s="91"/>
      <c r="J449" s="91"/>
      <c r="K449" s="105">
        <v>0.0</v>
      </c>
      <c r="L449" s="91"/>
      <c r="M449" s="105">
        <v>491.2</v>
      </c>
      <c r="N449" s="91"/>
      <c r="O449" s="105">
        <v>1604.8320439739414</v>
      </c>
      <c r="P449" s="91"/>
      <c r="Q449" s="104" t="s">
        <v>2423</v>
      </c>
      <c r="S449" s="91"/>
      <c r="T449" s="91"/>
      <c r="U449" s="91"/>
      <c r="V449" s="91"/>
    </row>
    <row r="450">
      <c r="A450" s="91"/>
      <c r="B450" s="104" t="s">
        <v>2425</v>
      </c>
      <c r="C450" s="104" t="s">
        <v>2426</v>
      </c>
      <c r="D450" s="91"/>
      <c r="E450" s="104" t="s">
        <v>2427</v>
      </c>
      <c r="F450" s="91"/>
      <c r="G450" s="104" t="s">
        <v>2428</v>
      </c>
      <c r="H450" s="91"/>
      <c r="I450" s="91"/>
      <c r="J450" s="91"/>
      <c r="K450" s="105">
        <v>0.0</v>
      </c>
      <c r="L450" s="91"/>
      <c r="M450" s="105">
        <v>8.0</v>
      </c>
      <c r="N450" s="91"/>
      <c r="O450" s="105">
        <v>140379.0</v>
      </c>
      <c r="P450" s="91"/>
      <c r="Q450" s="104" t="s">
        <v>2430</v>
      </c>
      <c r="S450" s="91"/>
      <c r="T450" s="91"/>
      <c r="U450" s="91"/>
      <c r="V450" s="91"/>
    </row>
    <row r="451">
      <c r="A451" s="91"/>
      <c r="B451" s="104" t="s">
        <v>2432</v>
      </c>
      <c r="C451" s="104" t="s">
        <v>2433</v>
      </c>
      <c r="D451" s="91"/>
      <c r="E451" s="104" t="s">
        <v>2434</v>
      </c>
      <c r="F451" s="91"/>
      <c r="G451" s="104" t="s">
        <v>2435</v>
      </c>
      <c r="H451" s="91"/>
      <c r="I451" s="91"/>
      <c r="J451" s="91"/>
      <c r="K451" s="105">
        <v>0.0</v>
      </c>
      <c r="L451" s="91"/>
      <c r="M451" s="105">
        <v>9002.0</v>
      </c>
      <c r="N451" s="91"/>
      <c r="O451" s="105">
        <v>9.337480559875583</v>
      </c>
      <c r="P451" s="91"/>
      <c r="Q451" s="104" t="s">
        <v>2436</v>
      </c>
      <c r="S451" s="91"/>
      <c r="T451" s="91"/>
      <c r="U451" s="91"/>
      <c r="V451" s="91"/>
    </row>
    <row r="452">
      <c r="A452" s="91"/>
      <c r="B452" s="104" t="s">
        <v>2437</v>
      </c>
      <c r="C452" s="104" t="s">
        <v>2438</v>
      </c>
      <c r="D452" s="91"/>
      <c r="E452" s="104" t="s">
        <v>2440</v>
      </c>
      <c r="F452" s="91"/>
      <c r="G452" s="104" t="s">
        <v>2441</v>
      </c>
      <c r="H452" s="91"/>
      <c r="I452" s="91"/>
      <c r="J452" s="91"/>
      <c r="K452" s="105">
        <v>0.0</v>
      </c>
      <c r="L452" s="91"/>
      <c r="M452" s="105">
        <v>12210.0</v>
      </c>
      <c r="N452" s="91"/>
      <c r="O452" s="105">
        <v>15.384930384930385</v>
      </c>
      <c r="P452" s="91"/>
      <c r="Q452" s="104" t="s">
        <v>2442</v>
      </c>
      <c r="S452" s="91"/>
      <c r="T452" s="91"/>
      <c r="U452" s="91"/>
      <c r="V452" s="91"/>
    </row>
    <row r="453">
      <c r="A453" s="91"/>
      <c r="B453" s="104" t="s">
        <v>2443</v>
      </c>
      <c r="C453" s="104" t="s">
        <v>2445</v>
      </c>
      <c r="D453" s="91"/>
      <c r="E453" s="104" t="s">
        <v>2446</v>
      </c>
      <c r="F453" s="91"/>
      <c r="G453" s="104" t="s">
        <v>2447</v>
      </c>
      <c r="H453" s="91"/>
      <c r="I453" s="91"/>
      <c r="J453" s="91"/>
      <c r="K453" s="105">
        <v>0.0</v>
      </c>
      <c r="L453" s="91"/>
      <c r="M453" s="105">
        <v>4173.0</v>
      </c>
      <c r="N453" s="91"/>
      <c r="O453" s="105">
        <v>68.79463215911814</v>
      </c>
      <c r="P453" s="91"/>
      <c r="Q453" s="104" t="s">
        <v>2449</v>
      </c>
      <c r="S453" s="91"/>
      <c r="T453" s="91"/>
      <c r="U453" s="91"/>
      <c r="V453" s="91"/>
    </row>
    <row r="454">
      <c r="A454" s="91"/>
      <c r="B454" s="104" t="s">
        <v>2450</v>
      </c>
      <c r="C454" s="104" t="s">
        <v>2451</v>
      </c>
      <c r="D454" s="91"/>
      <c r="E454" s="104" t="s">
        <v>2452</v>
      </c>
      <c r="F454" s="91"/>
      <c r="G454" s="104" t="s">
        <v>2454</v>
      </c>
      <c r="H454" s="91"/>
      <c r="I454" s="91"/>
      <c r="J454" s="91"/>
      <c r="K454" s="105">
        <v>0.0</v>
      </c>
      <c r="L454" s="91"/>
      <c r="M454" s="105">
        <v>2117.0</v>
      </c>
      <c r="N454" s="91"/>
      <c r="O454" s="105">
        <v>391.7241379310345</v>
      </c>
      <c r="P454" s="91"/>
      <c r="Q454" s="104" t="s">
        <v>2455</v>
      </c>
      <c r="S454" s="91"/>
      <c r="T454" s="91"/>
      <c r="U454" s="91"/>
      <c r="V454" s="91"/>
    </row>
    <row r="455">
      <c r="A455" s="91"/>
      <c r="B455" s="104" t="s">
        <v>2457</v>
      </c>
      <c r="C455" s="104" t="s">
        <v>2458</v>
      </c>
      <c r="D455" s="91"/>
      <c r="E455" s="104" t="s">
        <v>2459</v>
      </c>
      <c r="F455" s="91"/>
      <c r="G455" s="104" t="s">
        <v>2461</v>
      </c>
      <c r="H455" s="91"/>
      <c r="I455" s="101"/>
      <c r="J455" s="91"/>
      <c r="K455" s="105">
        <v>0.0</v>
      </c>
      <c r="L455" s="91"/>
      <c r="M455" s="105">
        <v>16.0</v>
      </c>
      <c r="N455" s="91"/>
      <c r="O455" s="105">
        <v>7125.0</v>
      </c>
      <c r="P455" s="101"/>
      <c r="Q455" s="104" t="s">
        <v>2463</v>
      </c>
      <c r="S455" s="91"/>
      <c r="T455" s="91"/>
      <c r="U455" s="91"/>
      <c r="V455" s="91"/>
    </row>
    <row r="456">
      <c r="A456" s="91"/>
      <c r="B456" s="104" t="s">
        <v>2464</v>
      </c>
      <c r="C456" s="104" t="s">
        <v>2466</v>
      </c>
      <c r="D456" s="91"/>
      <c r="E456" s="104" t="s">
        <v>2467</v>
      </c>
      <c r="F456" s="91"/>
      <c r="G456" s="104" t="s">
        <v>2468</v>
      </c>
      <c r="H456" s="91"/>
      <c r="I456" s="101"/>
      <c r="J456" s="91"/>
      <c r="K456" s="105">
        <v>0.0</v>
      </c>
      <c r="L456" s="91"/>
      <c r="M456" s="105">
        <v>911.0</v>
      </c>
      <c r="N456" s="91"/>
      <c r="O456" s="105">
        <v>9204.17124039517</v>
      </c>
      <c r="P456" s="101"/>
      <c r="Q456" s="104" t="s">
        <v>2490</v>
      </c>
      <c r="S456" s="101"/>
      <c r="T456" s="101"/>
      <c r="U456" s="101"/>
      <c r="V456" s="101"/>
    </row>
    <row r="457">
      <c r="A457" s="91"/>
      <c r="B457" s="104" t="s">
        <v>2491</v>
      </c>
      <c r="C457" s="104" t="s">
        <v>2492</v>
      </c>
      <c r="D457" s="91"/>
      <c r="E457" s="104" t="s">
        <v>2493</v>
      </c>
      <c r="F457" s="91"/>
      <c r="G457" s="104" t="s">
        <v>2494</v>
      </c>
      <c r="H457" s="91"/>
      <c r="I457" s="91"/>
      <c r="J457" s="91"/>
      <c r="K457" s="105">
        <v>0.0</v>
      </c>
      <c r="L457" s="91"/>
      <c r="M457" s="105">
        <v>4704.0</v>
      </c>
      <c r="N457" s="91"/>
      <c r="O457" s="105">
        <v>49.744897959183675</v>
      </c>
      <c r="P457" s="101"/>
      <c r="Q457" s="104" t="s">
        <v>2495</v>
      </c>
      <c r="S457" s="101"/>
      <c r="T457" s="101"/>
      <c r="U457" s="101"/>
      <c r="V457" s="101"/>
    </row>
    <row r="458">
      <c r="A458" s="91"/>
      <c r="B458" s="104" t="s">
        <v>2496</v>
      </c>
      <c r="C458" s="104" t="s">
        <v>2497</v>
      </c>
      <c r="D458" s="91"/>
      <c r="E458" s="104" t="s">
        <v>2498</v>
      </c>
      <c r="F458" s="91"/>
      <c r="G458" s="104" t="s">
        <v>2499</v>
      </c>
      <c r="H458" s="91"/>
      <c r="I458" s="101"/>
      <c r="J458" s="91"/>
      <c r="K458" s="105">
        <v>0.0</v>
      </c>
      <c r="L458" s="91"/>
      <c r="M458" s="105">
        <v>1031.0</v>
      </c>
      <c r="N458" s="91"/>
      <c r="O458" s="105">
        <v>593.925315227934</v>
      </c>
      <c r="P458" s="101"/>
      <c r="Q458" s="104" t="s">
        <v>2500</v>
      </c>
      <c r="S458" s="101"/>
      <c r="T458" s="101"/>
      <c r="U458" s="101"/>
      <c r="V458" s="101"/>
    </row>
    <row r="459">
      <c r="A459" s="91"/>
      <c r="B459" s="104" t="s">
        <v>2501</v>
      </c>
      <c r="C459" s="104" t="s">
        <v>2502</v>
      </c>
      <c r="D459" s="91"/>
      <c r="E459" s="104" t="s">
        <v>2503</v>
      </c>
      <c r="F459" s="91"/>
      <c r="G459" s="104" t="s">
        <v>2504</v>
      </c>
      <c r="H459" s="91"/>
      <c r="I459" s="101"/>
      <c r="J459" s="91"/>
      <c r="K459" s="105">
        <v>0.0</v>
      </c>
      <c r="L459" s="91"/>
      <c r="M459" s="105">
        <v>2094.0</v>
      </c>
      <c r="N459" s="91"/>
      <c r="O459" s="105">
        <v>3157.8868194842407</v>
      </c>
      <c r="P459" s="101"/>
      <c r="Q459" s="104" t="s">
        <v>2505</v>
      </c>
      <c r="S459" s="101"/>
      <c r="T459" s="101"/>
      <c r="U459" s="101"/>
      <c r="V459" s="101"/>
    </row>
    <row r="460">
      <c r="A460" s="91"/>
      <c r="B460" s="104" t="s">
        <v>2506</v>
      </c>
      <c r="C460" s="104" t="s">
        <v>2507</v>
      </c>
      <c r="D460" s="91"/>
      <c r="E460" s="104" t="s">
        <v>2508</v>
      </c>
      <c r="F460" s="91"/>
      <c r="G460" s="104" t="s">
        <v>2509</v>
      </c>
      <c r="H460" s="91"/>
      <c r="I460" s="101"/>
      <c r="J460" s="91"/>
      <c r="K460" s="105">
        <v>0.0</v>
      </c>
      <c r="L460" s="91"/>
      <c r="M460" s="105">
        <v>22000.0</v>
      </c>
      <c r="N460" s="91"/>
      <c r="O460" s="105">
        <v>28.3</v>
      </c>
      <c r="P460" s="101"/>
      <c r="Q460" s="104" t="s">
        <v>2510</v>
      </c>
      <c r="S460" s="101"/>
      <c r="T460" s="101"/>
      <c r="U460" s="101"/>
      <c r="V460" s="101"/>
    </row>
    <row r="461">
      <c r="A461" s="91"/>
      <c r="B461" s="104" t="s">
        <v>2511</v>
      </c>
      <c r="C461" s="104" t="s">
        <v>2512</v>
      </c>
      <c r="D461" s="91"/>
      <c r="E461" s="104" t="s">
        <v>2513</v>
      </c>
      <c r="F461" s="91"/>
      <c r="G461" s="104" t="s">
        <v>2514</v>
      </c>
      <c r="H461" s="91"/>
      <c r="I461" s="101"/>
      <c r="J461" s="91"/>
      <c r="K461" s="105">
        <v>0.0</v>
      </c>
      <c r="L461" s="91"/>
      <c r="M461" s="105">
        <v>60.0</v>
      </c>
      <c r="N461" s="91"/>
      <c r="O461" s="105">
        <v>0.0</v>
      </c>
      <c r="P461" s="101"/>
      <c r="Q461" s="104" t="s">
        <v>2515</v>
      </c>
      <c r="S461" s="101"/>
      <c r="T461" s="101"/>
      <c r="U461" s="101"/>
      <c r="V461" s="101"/>
    </row>
    <row r="462">
      <c r="A462" s="91"/>
      <c r="B462" s="104" t="s">
        <v>2516</v>
      </c>
      <c r="C462" s="104" t="s">
        <v>2517</v>
      </c>
      <c r="D462" s="91"/>
      <c r="E462" s="104" t="s">
        <v>2518</v>
      </c>
      <c r="F462" s="91"/>
      <c r="G462" s="104" t="s">
        <v>2519</v>
      </c>
      <c r="H462" s="91"/>
      <c r="I462" s="101"/>
      <c r="J462" s="91"/>
      <c r="K462" s="105">
        <v>0.0</v>
      </c>
      <c r="L462" s="91"/>
      <c r="M462" s="105">
        <v>0.0</v>
      </c>
      <c r="N462" s="91"/>
      <c r="O462" s="105">
        <v>0.0</v>
      </c>
      <c r="P462" s="101"/>
      <c r="Q462" s="104" t="s">
        <v>2520</v>
      </c>
      <c r="S462" s="101"/>
      <c r="T462" s="101"/>
      <c r="U462" s="101"/>
      <c r="V462" s="101"/>
    </row>
    <row r="463">
      <c r="A463" s="91"/>
      <c r="B463" s="104" t="s">
        <v>2521</v>
      </c>
      <c r="C463" s="104" t="s">
        <v>2522</v>
      </c>
      <c r="D463" s="91"/>
      <c r="E463" s="104" t="s">
        <v>2523</v>
      </c>
      <c r="F463" s="91"/>
      <c r="G463" s="104" t="s">
        <v>2524</v>
      </c>
      <c r="H463" s="91"/>
      <c r="I463" s="101"/>
      <c r="J463" s="91"/>
      <c r="K463" s="105">
        <v>0.0</v>
      </c>
      <c r="L463" s="91"/>
      <c r="M463" s="105">
        <v>36.0</v>
      </c>
      <c r="N463" s="91"/>
      <c r="O463" s="105">
        <v>1666.666667</v>
      </c>
      <c r="P463" s="101"/>
      <c r="Q463" s="104" t="s">
        <v>2525</v>
      </c>
      <c r="S463" s="101"/>
      <c r="T463" s="101"/>
      <c r="U463" s="101"/>
      <c r="V463" s="101"/>
    </row>
    <row r="464">
      <c r="A464" s="91"/>
      <c r="B464" s="104" t="s">
        <v>2526</v>
      </c>
      <c r="C464" s="104" t="s">
        <v>2527</v>
      </c>
      <c r="D464" s="91"/>
      <c r="E464" s="104" t="s">
        <v>2528</v>
      </c>
      <c r="F464" s="91"/>
      <c r="G464" s="104" t="s">
        <v>2529</v>
      </c>
      <c r="H464" s="91"/>
      <c r="I464" s="101"/>
      <c r="J464" s="91"/>
      <c r="K464" s="105">
        <v>0.0</v>
      </c>
      <c r="L464" s="91"/>
      <c r="M464" s="105">
        <v>8.0</v>
      </c>
      <c r="N464" s="91"/>
      <c r="O464" s="105">
        <v>1.875</v>
      </c>
      <c r="P464" s="101"/>
      <c r="Q464" s="104" t="s">
        <v>2530</v>
      </c>
      <c r="S464" s="101"/>
      <c r="T464" s="101"/>
      <c r="U464" s="101"/>
      <c r="V464" s="101"/>
    </row>
    <row r="465">
      <c r="A465" s="91"/>
      <c r="B465" s="104" t="s">
        <v>2531</v>
      </c>
      <c r="C465" s="104" t="s">
        <v>2532</v>
      </c>
      <c r="D465" s="91"/>
      <c r="E465" s="104" t="s">
        <v>2533</v>
      </c>
      <c r="F465" s="91"/>
      <c r="G465" s="104" t="s">
        <v>2534</v>
      </c>
      <c r="H465" s="91"/>
      <c r="I465" s="101"/>
      <c r="J465" s="91"/>
      <c r="K465" s="105">
        <v>0.0</v>
      </c>
      <c r="L465" s="91"/>
      <c r="M465" s="105">
        <v>502.0</v>
      </c>
      <c r="N465" s="91"/>
      <c r="O465" s="105">
        <v>119.5219123505976</v>
      </c>
      <c r="P465" s="101"/>
      <c r="Q465" s="104" t="s">
        <v>2535</v>
      </c>
      <c r="S465" s="91"/>
      <c r="T465" s="91"/>
      <c r="U465" s="91"/>
      <c r="V465" s="91"/>
    </row>
    <row r="466">
      <c r="A466" s="91"/>
      <c r="B466" s="104" t="s">
        <v>2536</v>
      </c>
      <c r="C466" s="104" t="s">
        <v>2537</v>
      </c>
      <c r="D466" s="91"/>
      <c r="E466" s="104" t="s">
        <v>2538</v>
      </c>
      <c r="F466" s="91"/>
      <c r="G466" s="104" t="s">
        <v>2539</v>
      </c>
      <c r="H466" s="91"/>
      <c r="I466" s="101"/>
      <c r="J466" s="91"/>
      <c r="K466" s="105">
        <v>0.0</v>
      </c>
      <c r="L466" s="91"/>
      <c r="M466" s="105">
        <v>37.0</v>
      </c>
      <c r="N466" s="91"/>
      <c r="O466" s="105">
        <v>6756.756756756757</v>
      </c>
      <c r="P466" s="101"/>
      <c r="Q466" s="104" t="s">
        <v>2540</v>
      </c>
      <c r="S466" s="101"/>
      <c r="T466" s="101"/>
      <c r="U466" s="101"/>
      <c r="V466" s="101"/>
    </row>
    <row r="467">
      <c r="A467" s="91"/>
      <c r="B467" s="104" t="s">
        <v>2541</v>
      </c>
      <c r="C467" s="104" t="s">
        <v>2542</v>
      </c>
      <c r="D467" s="91"/>
      <c r="E467" s="104" t="s">
        <v>2543</v>
      </c>
      <c r="F467" s="91"/>
      <c r="G467" s="104" t="s">
        <v>2544</v>
      </c>
      <c r="H467" s="91"/>
      <c r="I467" s="101"/>
      <c r="J467" s="91"/>
      <c r="K467" s="105">
        <v>0.0</v>
      </c>
      <c r="L467" s="91"/>
      <c r="M467" s="105">
        <v>79.0</v>
      </c>
      <c r="N467" s="91"/>
      <c r="O467" s="105">
        <v>0.0</v>
      </c>
      <c r="P467" s="101"/>
      <c r="Q467" s="104" t="s">
        <v>2545</v>
      </c>
      <c r="S467" s="101"/>
      <c r="T467" s="101"/>
      <c r="U467" s="101"/>
      <c r="V467" s="101"/>
    </row>
    <row r="468">
      <c r="A468" s="91"/>
      <c r="B468" s="104" t="s">
        <v>2546</v>
      </c>
      <c r="C468" s="104" t="s">
        <v>2547</v>
      </c>
      <c r="D468" s="91"/>
      <c r="E468" s="104" t="s">
        <v>2548</v>
      </c>
      <c r="F468" s="91"/>
      <c r="G468" s="104" t="s">
        <v>2549</v>
      </c>
      <c r="H468" s="91"/>
      <c r="I468" s="101"/>
      <c r="J468" s="91"/>
      <c r="K468" s="105">
        <v>0.0</v>
      </c>
      <c r="L468" s="91"/>
      <c r="M468" s="105">
        <v>2.0</v>
      </c>
      <c r="N468" s="91"/>
      <c r="O468" s="105">
        <v>100.0</v>
      </c>
      <c r="P468" s="101"/>
      <c r="Q468" s="104" t="s">
        <v>2550</v>
      </c>
      <c r="S468" s="101"/>
      <c r="T468" s="101"/>
      <c r="U468" s="101"/>
      <c r="V468" s="101"/>
    </row>
    <row r="469">
      <c r="A469" s="91"/>
      <c r="B469" s="104" t="s">
        <v>2551</v>
      </c>
      <c r="C469" s="104" t="s">
        <v>2552</v>
      </c>
      <c r="D469" s="91"/>
      <c r="E469" s="104" t="s">
        <v>2553</v>
      </c>
      <c r="F469" s="91"/>
      <c r="G469" s="104" t="s">
        <v>2554</v>
      </c>
      <c r="H469" s="91"/>
      <c r="I469" s="101"/>
      <c r="J469" s="91"/>
      <c r="K469" s="105">
        <v>0.0</v>
      </c>
      <c r="L469" s="91"/>
      <c r="M469" s="105">
        <v>2.0</v>
      </c>
      <c r="N469" s="91"/>
      <c r="O469" s="105">
        <v>150000.0</v>
      </c>
      <c r="P469" s="101"/>
      <c r="Q469" s="104" t="s">
        <v>2555</v>
      </c>
      <c r="S469" s="101"/>
      <c r="T469" s="101"/>
      <c r="U469" s="101"/>
      <c r="V469" s="101"/>
    </row>
    <row r="470">
      <c r="A470" s="91"/>
      <c r="B470" s="104" t="s">
        <v>2556</v>
      </c>
      <c r="C470" s="104" t="s">
        <v>2557</v>
      </c>
      <c r="D470" s="91"/>
      <c r="E470" s="104" t="s">
        <v>2558</v>
      </c>
      <c r="F470" s="91"/>
      <c r="G470" s="104" t="s">
        <v>2559</v>
      </c>
      <c r="H470" s="91"/>
      <c r="I470" s="101"/>
      <c r="J470" s="91"/>
      <c r="K470" s="105">
        <v>0.0</v>
      </c>
      <c r="L470" s="91"/>
      <c r="M470" s="105">
        <v>2.0</v>
      </c>
      <c r="N470" s="91"/>
      <c r="O470" s="105">
        <v>210000.0</v>
      </c>
      <c r="P470" s="101"/>
      <c r="Q470" s="104" t="s">
        <v>2560</v>
      </c>
      <c r="S470" s="101"/>
      <c r="T470" s="101"/>
      <c r="U470" s="101"/>
      <c r="V470" s="101"/>
    </row>
    <row r="471">
      <c r="A471" s="91"/>
      <c r="B471" s="104" t="s">
        <v>2561</v>
      </c>
      <c r="C471" s="104" t="s">
        <v>2562</v>
      </c>
      <c r="D471" s="91"/>
      <c r="E471" s="104" t="s">
        <v>2563</v>
      </c>
      <c r="F471" s="91"/>
      <c r="G471" s="104" t="s">
        <v>2564</v>
      </c>
      <c r="H471" s="91"/>
      <c r="I471" s="101"/>
      <c r="J471" s="91"/>
      <c r="K471" s="105">
        <v>0.0</v>
      </c>
      <c r="L471" s="91"/>
      <c r="M471" s="105">
        <v>2.0</v>
      </c>
      <c r="N471" s="91"/>
      <c r="O471" s="105">
        <v>0.0</v>
      </c>
      <c r="P471" s="101"/>
      <c r="Q471" s="104" t="s">
        <v>2565</v>
      </c>
      <c r="S471" s="101"/>
      <c r="T471" s="101"/>
      <c r="U471" s="101"/>
      <c r="V471" s="101"/>
    </row>
    <row r="472">
      <c r="A472" s="91"/>
      <c r="B472" s="104" t="s">
        <v>2566</v>
      </c>
      <c r="C472" s="104" t="s">
        <v>2567</v>
      </c>
      <c r="D472" s="91"/>
      <c r="E472" s="104" t="s">
        <v>2568</v>
      </c>
      <c r="F472" s="91"/>
      <c r="G472" s="104" t="s">
        <v>2569</v>
      </c>
      <c r="H472" s="91"/>
      <c r="I472" s="101"/>
      <c r="J472" s="91"/>
      <c r="K472" s="105">
        <v>0.0</v>
      </c>
      <c r="L472" s="91"/>
      <c r="M472" s="105">
        <v>33200.0</v>
      </c>
      <c r="N472" s="91"/>
      <c r="O472" s="105">
        <v>12.795180722891565</v>
      </c>
      <c r="P472" s="101"/>
      <c r="Q472" s="104" t="s">
        <v>2570</v>
      </c>
      <c r="S472" s="101"/>
      <c r="T472" s="101"/>
      <c r="U472" s="101"/>
      <c r="V472" s="101"/>
    </row>
    <row r="473">
      <c r="A473" s="91"/>
      <c r="B473" s="104" t="s">
        <v>2571</v>
      </c>
      <c r="C473" s="104" t="s">
        <v>2572</v>
      </c>
      <c r="D473" s="91"/>
      <c r="E473" s="104" t="s">
        <v>2573</v>
      </c>
      <c r="F473" s="91"/>
      <c r="G473" s="104" t="s">
        <v>2574</v>
      </c>
      <c r="H473" s="91"/>
      <c r="I473" s="101"/>
      <c r="J473" s="91"/>
      <c r="K473" s="105">
        <v>0.0</v>
      </c>
      <c r="L473" s="91"/>
      <c r="M473" s="105">
        <v>4000.0</v>
      </c>
      <c r="N473" s="91"/>
      <c r="O473" s="105">
        <v>40.0</v>
      </c>
      <c r="P473" s="101"/>
      <c r="Q473" s="104" t="s">
        <v>2575</v>
      </c>
      <c r="S473" s="101"/>
      <c r="T473" s="101"/>
      <c r="U473" s="101"/>
      <c r="V473" s="101"/>
    </row>
    <row r="474">
      <c r="A474" s="91"/>
      <c r="B474" s="104" t="s">
        <v>2576</v>
      </c>
      <c r="C474" s="104" t="s">
        <v>2577</v>
      </c>
      <c r="D474" s="91"/>
      <c r="E474" s="104" t="s">
        <v>2578</v>
      </c>
      <c r="F474" s="91"/>
      <c r="G474" s="104" t="s">
        <v>2579</v>
      </c>
      <c r="H474" s="91"/>
      <c r="I474" s="101"/>
      <c r="J474" s="91"/>
      <c r="K474" s="105">
        <v>0.0</v>
      </c>
      <c r="L474" s="91"/>
      <c r="M474" s="105">
        <v>6.0</v>
      </c>
      <c r="N474" s="91"/>
      <c r="O474" s="105">
        <v>0.0</v>
      </c>
      <c r="P474" s="101"/>
      <c r="Q474" s="104" t="s">
        <v>2581</v>
      </c>
      <c r="S474" s="101"/>
      <c r="T474" s="101"/>
      <c r="U474" s="101"/>
      <c r="V474" s="101"/>
    </row>
    <row r="475">
      <c r="A475" s="91"/>
      <c r="B475" s="104" t="s">
        <v>2583</v>
      </c>
      <c r="C475" s="104" t="s">
        <v>2584</v>
      </c>
      <c r="D475" s="91"/>
      <c r="E475" s="104" t="s">
        <v>2585</v>
      </c>
      <c r="F475" s="91"/>
      <c r="G475" s="104" t="s">
        <v>2586</v>
      </c>
      <c r="H475" s="91"/>
      <c r="I475" s="101"/>
      <c r="J475" s="91"/>
      <c r="K475" s="105">
        <v>0.0</v>
      </c>
      <c r="L475" s="91"/>
      <c r="M475" s="105">
        <v>38.0</v>
      </c>
      <c r="N475" s="91"/>
      <c r="O475" s="105">
        <v>23421.052631578947</v>
      </c>
      <c r="P475" s="101"/>
      <c r="Q475" s="104" t="s">
        <v>2587</v>
      </c>
      <c r="S475" s="101"/>
      <c r="T475" s="101"/>
      <c r="U475" s="101"/>
      <c r="V475" s="101"/>
    </row>
    <row r="476">
      <c r="A476" s="91"/>
      <c r="B476" s="104" t="s">
        <v>2588</v>
      </c>
      <c r="C476" s="104" t="s">
        <v>2589</v>
      </c>
      <c r="D476" s="91"/>
      <c r="E476" s="104" t="s">
        <v>2590</v>
      </c>
      <c r="F476" s="91"/>
      <c r="G476" s="104" t="s">
        <v>2591</v>
      </c>
      <c r="H476" s="91"/>
      <c r="I476" s="101"/>
      <c r="J476" s="91"/>
      <c r="K476" s="105">
        <v>0.0</v>
      </c>
      <c r="L476" s="91"/>
      <c r="M476" s="105">
        <v>19.0</v>
      </c>
      <c r="N476" s="91"/>
      <c r="O476" s="105">
        <v>13947.368421052632</v>
      </c>
      <c r="P476" s="101"/>
      <c r="Q476" s="104" t="s">
        <v>2592</v>
      </c>
      <c r="S476" s="101"/>
      <c r="T476" s="101"/>
      <c r="U476" s="101"/>
      <c r="V476" s="101"/>
    </row>
    <row r="477">
      <c r="A477" s="91"/>
      <c r="B477" s="104" t="s">
        <v>2593</v>
      </c>
      <c r="C477" s="104" t="s">
        <v>2594</v>
      </c>
      <c r="D477" s="91"/>
      <c r="E477" s="104" t="s">
        <v>2595</v>
      </c>
      <c r="F477" s="91"/>
      <c r="G477" s="104" t="s">
        <v>2596</v>
      </c>
      <c r="H477" s="91"/>
      <c r="I477" s="101"/>
      <c r="J477" s="91"/>
      <c r="K477" s="105">
        <v>0.0</v>
      </c>
      <c r="L477" s="91"/>
      <c r="M477" s="105">
        <v>500.0</v>
      </c>
      <c r="N477" s="91"/>
      <c r="O477" s="105">
        <v>0.0</v>
      </c>
      <c r="P477" s="101"/>
      <c r="Q477" s="104" t="s">
        <v>2597</v>
      </c>
      <c r="S477" s="101"/>
      <c r="T477" s="101"/>
      <c r="U477" s="101"/>
      <c r="V477" s="101"/>
    </row>
    <row r="478">
      <c r="A478" s="91"/>
      <c r="B478" s="104" t="s">
        <v>2598</v>
      </c>
      <c r="C478" s="104" t="s">
        <v>2599</v>
      </c>
      <c r="D478" s="91"/>
      <c r="E478" s="104" t="s">
        <v>2600</v>
      </c>
      <c r="F478" s="91"/>
      <c r="G478" s="104" t="s">
        <v>2601</v>
      </c>
      <c r="H478" s="91"/>
      <c r="I478" s="101"/>
      <c r="J478" s="91"/>
      <c r="K478" s="105">
        <v>0.0</v>
      </c>
      <c r="L478" s="91"/>
      <c r="M478" s="105">
        <v>388260.0</v>
      </c>
      <c r="N478" s="91"/>
      <c r="O478" s="105">
        <v>11.95940864369237</v>
      </c>
      <c r="P478" s="101"/>
      <c r="Q478" s="104" t="s">
        <v>2602</v>
      </c>
      <c r="S478" s="101"/>
      <c r="T478" s="101"/>
      <c r="U478" s="101"/>
      <c r="V478" s="101"/>
    </row>
    <row r="479">
      <c r="A479" s="91"/>
      <c r="B479" s="104" t="s">
        <v>2603</v>
      </c>
      <c r="C479" s="104" t="s">
        <v>2604</v>
      </c>
      <c r="D479" s="91"/>
      <c r="E479" s="104" t="s">
        <v>2605</v>
      </c>
      <c r="F479" s="91"/>
      <c r="G479" s="104" t="s">
        <v>2606</v>
      </c>
      <c r="H479" s="91"/>
      <c r="I479" s="101"/>
      <c r="J479" s="91"/>
      <c r="K479" s="105">
        <v>0.0</v>
      </c>
      <c r="L479" s="91"/>
      <c r="M479" s="105">
        <v>24000.0</v>
      </c>
      <c r="N479" s="91"/>
      <c r="O479" s="105">
        <v>35.0</v>
      </c>
      <c r="P479" s="101"/>
      <c r="Q479" s="104" t="s">
        <v>2607</v>
      </c>
      <c r="S479" s="101"/>
      <c r="T479" s="101"/>
      <c r="U479" s="101"/>
      <c r="V479" s="101"/>
    </row>
    <row r="480">
      <c r="A480" s="91"/>
      <c r="B480" s="104" t="s">
        <v>2608</v>
      </c>
      <c r="C480" s="104" t="s">
        <v>2609</v>
      </c>
      <c r="D480" s="91"/>
      <c r="E480" s="104" t="s">
        <v>2610</v>
      </c>
      <c r="F480" s="91"/>
      <c r="G480" s="104" t="s">
        <v>2611</v>
      </c>
      <c r="H480" s="91"/>
      <c r="I480" s="91"/>
      <c r="J480" s="91"/>
      <c r="K480" s="105">
        <v>0.0</v>
      </c>
      <c r="L480" s="91"/>
      <c r="M480" s="105">
        <v>1000.0</v>
      </c>
      <c r="N480" s="91"/>
      <c r="O480" s="105">
        <v>0.0</v>
      </c>
      <c r="P480" s="91"/>
      <c r="Q480" s="104" t="s">
        <v>2612</v>
      </c>
      <c r="S480" s="91"/>
      <c r="T480" s="91"/>
      <c r="U480" s="91"/>
      <c r="V480" s="91"/>
    </row>
    <row r="481">
      <c r="A481" s="91"/>
      <c r="B481" s="104" t="s">
        <v>2613</v>
      </c>
      <c r="C481" s="104" t="s">
        <v>2614</v>
      </c>
      <c r="D481" s="91"/>
      <c r="E481" s="104" t="s">
        <v>2615</v>
      </c>
      <c r="F481" s="91"/>
      <c r="G481" s="104" t="s">
        <v>2616</v>
      </c>
      <c r="H481" s="91"/>
      <c r="I481" s="91"/>
      <c r="J481" s="91"/>
      <c r="K481" s="105">
        <v>0.0</v>
      </c>
      <c r="L481" s="91"/>
      <c r="M481" s="105">
        <v>500.0</v>
      </c>
      <c r="N481" s="91"/>
      <c r="O481" s="105">
        <v>0.0</v>
      </c>
      <c r="P481" s="91"/>
      <c r="Q481" s="104" t="s">
        <v>2617</v>
      </c>
      <c r="S481" s="91"/>
      <c r="T481" s="91"/>
      <c r="U481" s="91"/>
      <c r="V481" s="91"/>
    </row>
    <row r="482">
      <c r="A482" s="91"/>
      <c r="B482" s="104" t="s">
        <v>2618</v>
      </c>
      <c r="C482" s="104" t="s">
        <v>2619</v>
      </c>
      <c r="D482" s="91"/>
      <c r="E482" s="104" t="s">
        <v>2620</v>
      </c>
      <c r="F482" s="91"/>
      <c r="G482" s="104" t="s">
        <v>2621</v>
      </c>
      <c r="H482" s="91"/>
      <c r="I482" s="91"/>
      <c r="J482" s="91"/>
      <c r="K482" s="105">
        <v>0.0</v>
      </c>
      <c r="L482" s="91"/>
      <c r="M482" s="105">
        <v>169.0</v>
      </c>
      <c r="N482" s="91"/>
      <c r="O482" s="105">
        <v>1198.224852071006</v>
      </c>
      <c r="P482" s="91"/>
      <c r="Q482" s="104" t="s">
        <v>2622</v>
      </c>
      <c r="S482" s="91"/>
      <c r="T482" s="91"/>
      <c r="U482" s="91"/>
      <c r="V482" s="91"/>
    </row>
    <row r="483">
      <c r="A483" s="91"/>
      <c r="B483" s="104" t="s">
        <v>2623</v>
      </c>
      <c r="C483" s="104" t="s">
        <v>2624</v>
      </c>
      <c r="D483" s="91"/>
      <c r="E483" s="104" t="s">
        <v>2625</v>
      </c>
      <c r="F483" s="91"/>
      <c r="G483" s="104" t="s">
        <v>2626</v>
      </c>
      <c r="H483" s="91"/>
      <c r="I483" s="91"/>
      <c r="J483" s="91"/>
      <c r="K483" s="105">
        <v>0.0</v>
      </c>
      <c r="L483" s="91"/>
      <c r="M483" s="105">
        <v>1395.0</v>
      </c>
      <c r="N483" s="91"/>
      <c r="O483" s="105">
        <v>732.1857921146953</v>
      </c>
      <c r="P483" s="91"/>
      <c r="Q483" s="104" t="s">
        <v>2627</v>
      </c>
      <c r="S483" s="91"/>
      <c r="T483" s="91"/>
      <c r="U483" s="91"/>
      <c r="V483" s="91"/>
    </row>
    <row r="484">
      <c r="A484" s="91"/>
      <c r="B484" s="104" t="s">
        <v>2628</v>
      </c>
      <c r="C484" s="104" t="s">
        <v>2629</v>
      </c>
      <c r="D484" s="91"/>
      <c r="E484" s="104" t="s">
        <v>2630</v>
      </c>
      <c r="F484" s="91"/>
      <c r="G484" s="104" t="s">
        <v>2631</v>
      </c>
      <c r="H484" s="91"/>
      <c r="I484" s="91"/>
      <c r="J484" s="91"/>
      <c r="K484" s="105">
        <v>0.0</v>
      </c>
      <c r="L484" s="91"/>
      <c r="M484" s="105">
        <v>795.0</v>
      </c>
      <c r="N484" s="91"/>
      <c r="O484" s="105">
        <v>1182.377358490566</v>
      </c>
      <c r="P484" s="91"/>
      <c r="Q484" s="104" t="s">
        <v>2632</v>
      </c>
      <c r="S484" s="91"/>
      <c r="T484" s="91"/>
      <c r="U484" s="91"/>
      <c r="V484" s="91"/>
    </row>
    <row r="485">
      <c r="A485" s="100" t="s">
        <v>2633</v>
      </c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</row>
    <row r="486">
      <c r="A486" s="91"/>
      <c r="B486" s="104" t="s">
        <v>2634</v>
      </c>
      <c r="C486" s="104" t="s">
        <v>2635</v>
      </c>
      <c r="D486" s="91"/>
      <c r="E486" s="104" t="s">
        <v>2636</v>
      </c>
      <c r="F486" s="91"/>
      <c r="G486" s="104" t="s">
        <v>2637</v>
      </c>
      <c r="H486" s="91"/>
      <c r="I486" s="91"/>
      <c r="J486" s="91"/>
      <c r="K486" s="105">
        <v>0.0</v>
      </c>
      <c r="L486" s="91"/>
      <c r="M486" s="105">
        <v>17530.0</v>
      </c>
      <c r="N486" s="91"/>
      <c r="O486" s="105">
        <v>14.158585282373075</v>
      </c>
      <c r="P486" s="91"/>
      <c r="Q486" s="104" t="s">
        <v>2638</v>
      </c>
      <c r="S486" s="91"/>
      <c r="T486" s="91"/>
      <c r="U486" s="91"/>
      <c r="V486" s="91"/>
    </row>
    <row r="487">
      <c r="A487" s="91"/>
      <c r="B487" s="104" t="s">
        <v>2639</v>
      </c>
      <c r="C487" s="104" t="s">
        <v>2640</v>
      </c>
      <c r="D487" s="91"/>
      <c r="E487" s="104" t="s">
        <v>2641</v>
      </c>
      <c r="F487" s="91"/>
      <c r="G487" s="104" t="s">
        <v>2642</v>
      </c>
      <c r="H487" s="91"/>
      <c r="I487" s="91"/>
      <c r="J487" s="91"/>
      <c r="K487" s="105">
        <v>0.0</v>
      </c>
      <c r="L487" s="91"/>
      <c r="M487" s="105">
        <v>3250.0</v>
      </c>
      <c r="N487" s="91"/>
      <c r="O487" s="105">
        <v>173.07692307692307</v>
      </c>
      <c r="P487" s="91"/>
      <c r="Q487" s="104" t="s">
        <v>2643</v>
      </c>
      <c r="S487" s="91"/>
      <c r="T487" s="91"/>
      <c r="U487" s="91"/>
      <c r="V487" s="91"/>
    </row>
    <row r="488">
      <c r="A488" s="91"/>
      <c r="B488" s="104" t="s">
        <v>2644</v>
      </c>
      <c r="C488" s="104" t="s">
        <v>2645</v>
      </c>
      <c r="D488" s="91"/>
      <c r="E488" s="104" t="s">
        <v>2646</v>
      </c>
      <c r="F488" s="91"/>
      <c r="G488" s="104" t="s">
        <v>2647</v>
      </c>
      <c r="H488" s="91"/>
      <c r="I488" s="91"/>
      <c r="J488" s="91"/>
      <c r="K488" s="105">
        <v>0.0</v>
      </c>
      <c r="L488" s="91"/>
      <c r="M488" s="105">
        <v>27809.0</v>
      </c>
      <c r="N488" s="91"/>
      <c r="O488" s="105">
        <v>49.69470315365529</v>
      </c>
      <c r="P488" s="91"/>
      <c r="Q488" s="104" t="s">
        <v>2648</v>
      </c>
      <c r="S488" s="91"/>
      <c r="T488" s="91"/>
      <c r="U488" s="91"/>
      <c r="V488" s="91"/>
    </row>
    <row r="489">
      <c r="A489" s="91"/>
      <c r="B489" s="104" t="s">
        <v>2649</v>
      </c>
      <c r="C489" s="104" t="s">
        <v>2650</v>
      </c>
      <c r="D489" s="91"/>
      <c r="E489" s="104" t="s">
        <v>2651</v>
      </c>
      <c r="F489" s="91"/>
      <c r="G489" s="104" t="s">
        <v>2652</v>
      </c>
      <c r="H489" s="91"/>
      <c r="I489" s="91"/>
      <c r="J489" s="91"/>
      <c r="K489" s="105">
        <v>0.0</v>
      </c>
      <c r="L489" s="91"/>
      <c r="M489" s="105">
        <v>17768.0</v>
      </c>
      <c r="N489" s="91"/>
      <c r="O489" s="105">
        <v>68.34618415128321</v>
      </c>
      <c r="P489" s="91"/>
      <c r="Q489" s="104" t="s">
        <v>2653</v>
      </c>
      <c r="S489" s="91"/>
      <c r="T489" s="91"/>
      <c r="U489" s="91"/>
      <c r="V489" s="91"/>
    </row>
    <row r="490">
      <c r="A490" s="91"/>
      <c r="B490" s="104" t="s">
        <v>2654</v>
      </c>
      <c r="C490" s="104" t="s">
        <v>2655</v>
      </c>
      <c r="D490" s="91"/>
      <c r="E490" s="104" t="s">
        <v>2656</v>
      </c>
      <c r="F490" s="91"/>
      <c r="G490" s="104" t="s">
        <v>2657</v>
      </c>
      <c r="H490" s="91"/>
      <c r="I490" s="101"/>
      <c r="J490" s="91"/>
      <c r="K490" s="105">
        <v>0.0</v>
      </c>
      <c r="L490" s="91"/>
      <c r="M490" s="105">
        <v>11422.0</v>
      </c>
      <c r="N490" s="91"/>
      <c r="O490" s="105">
        <v>39.167396252845386</v>
      </c>
      <c r="P490" s="101"/>
      <c r="Q490" s="104" t="s">
        <v>2658</v>
      </c>
      <c r="S490" s="101"/>
      <c r="T490" s="101"/>
      <c r="U490" s="101"/>
      <c r="V490" s="101"/>
    </row>
    <row r="491">
      <c r="A491" s="91"/>
      <c r="B491" s="104" t="s">
        <v>2659</v>
      </c>
      <c r="C491" s="104" t="s">
        <v>2660</v>
      </c>
      <c r="D491" s="91"/>
      <c r="E491" s="104" t="s">
        <v>2661</v>
      </c>
      <c r="F491" s="91"/>
      <c r="G491" s="104" t="s">
        <v>2662</v>
      </c>
      <c r="H491" s="91"/>
      <c r="I491" s="101"/>
      <c r="J491" s="91"/>
      <c r="K491" s="105">
        <v>0.0</v>
      </c>
      <c r="L491" s="91"/>
      <c r="M491" s="105">
        <v>11655.0</v>
      </c>
      <c r="N491" s="91"/>
      <c r="O491" s="105">
        <v>8.872586872586872</v>
      </c>
      <c r="P491" s="101"/>
      <c r="Q491" s="104" t="s">
        <v>2663</v>
      </c>
      <c r="S491" s="101"/>
      <c r="T491" s="101"/>
      <c r="U491" s="101"/>
      <c r="V491" s="101"/>
    </row>
    <row r="492">
      <c r="A492" s="91"/>
      <c r="B492" s="104" t="s">
        <v>2664</v>
      </c>
      <c r="C492" s="104" t="s">
        <v>2665</v>
      </c>
      <c r="D492" s="91"/>
      <c r="E492" s="104" t="s">
        <v>2666</v>
      </c>
      <c r="F492" s="91"/>
      <c r="G492" s="104" t="s">
        <v>2667</v>
      </c>
      <c r="H492" s="91"/>
      <c r="I492" s="101"/>
      <c r="J492" s="91"/>
      <c r="K492" s="105">
        <v>0.0</v>
      </c>
      <c r="L492" s="91"/>
      <c r="M492" s="105">
        <v>36.0</v>
      </c>
      <c r="N492" s="91"/>
      <c r="O492" s="105">
        <v>4152.777777777777</v>
      </c>
      <c r="P492" s="101"/>
      <c r="Q492" s="104" t="s">
        <v>2668</v>
      </c>
      <c r="S492" s="101"/>
      <c r="T492" s="101"/>
      <c r="U492" s="101"/>
      <c r="V492" s="101"/>
    </row>
    <row r="493">
      <c r="A493" s="91"/>
      <c r="B493" s="104" t="s">
        <v>2669</v>
      </c>
      <c r="C493" s="104" t="s">
        <v>2670</v>
      </c>
      <c r="D493" s="91"/>
      <c r="E493" s="104" t="s">
        <v>2671</v>
      </c>
      <c r="F493" s="91"/>
      <c r="G493" s="104" t="s">
        <v>2672</v>
      </c>
      <c r="H493" s="91"/>
      <c r="I493" s="101"/>
      <c r="J493" s="91"/>
      <c r="K493" s="105">
        <v>0.0</v>
      </c>
      <c r="L493" s="91"/>
      <c r="M493" s="105">
        <v>47.0</v>
      </c>
      <c r="N493" s="91"/>
      <c r="O493" s="105">
        <v>11148.936170212766</v>
      </c>
      <c r="P493" s="101"/>
      <c r="Q493" s="104" t="s">
        <v>2673</v>
      </c>
      <c r="S493" s="101"/>
      <c r="T493" s="101"/>
      <c r="U493" s="101"/>
      <c r="V493" s="101"/>
    </row>
    <row r="494">
      <c r="A494" s="91"/>
      <c r="B494" s="104" t="s">
        <v>2674</v>
      </c>
      <c r="C494" s="104" t="s">
        <v>2675</v>
      </c>
      <c r="D494" s="91"/>
      <c r="E494" s="104" t="s">
        <v>2676</v>
      </c>
      <c r="F494" s="91"/>
      <c r="G494" s="104" t="s">
        <v>2677</v>
      </c>
      <c r="H494" s="91"/>
      <c r="I494" s="101"/>
      <c r="J494" s="91"/>
      <c r="K494" s="105">
        <v>0.0</v>
      </c>
      <c r="L494" s="91"/>
      <c r="M494" s="105">
        <v>29954.0</v>
      </c>
      <c r="N494" s="91"/>
      <c r="O494" s="105">
        <v>8.818521733324431</v>
      </c>
      <c r="P494" s="101"/>
      <c r="Q494" s="104" t="s">
        <v>2678</v>
      </c>
      <c r="S494" s="101"/>
      <c r="T494" s="101"/>
      <c r="U494" s="101"/>
      <c r="V494" s="101"/>
    </row>
    <row r="495">
      <c r="A495" s="91"/>
      <c r="B495" s="104" t="s">
        <v>2679</v>
      </c>
      <c r="C495" s="104" t="s">
        <v>2680</v>
      </c>
      <c r="D495" s="91"/>
      <c r="E495" s="104" t="s">
        <v>2681</v>
      </c>
      <c r="F495" s="91"/>
      <c r="G495" s="104" t="s">
        <v>2682</v>
      </c>
      <c r="H495" s="91"/>
      <c r="I495" s="101"/>
      <c r="J495" s="91"/>
      <c r="K495" s="105">
        <v>0.0</v>
      </c>
      <c r="L495" s="91"/>
      <c r="M495" s="105">
        <v>19129.0</v>
      </c>
      <c r="N495" s="91"/>
      <c r="O495" s="105">
        <v>90.41780213398505</v>
      </c>
      <c r="P495" s="101"/>
      <c r="Q495" s="104" t="s">
        <v>2683</v>
      </c>
      <c r="S495" s="101"/>
      <c r="T495" s="101"/>
      <c r="U495" s="101"/>
      <c r="V495" s="101"/>
    </row>
    <row r="496">
      <c r="A496" s="91"/>
      <c r="B496" s="104" t="s">
        <v>2684</v>
      </c>
      <c r="C496" s="104" t="s">
        <v>2685</v>
      </c>
      <c r="D496" s="91"/>
      <c r="E496" s="104" t="s">
        <v>2686</v>
      </c>
      <c r="F496" s="91"/>
      <c r="G496" s="104" t="s">
        <v>2687</v>
      </c>
      <c r="H496" s="91"/>
      <c r="I496" s="101"/>
      <c r="J496" s="91"/>
      <c r="K496" s="105">
        <v>0.0</v>
      </c>
      <c r="L496" s="91"/>
      <c r="M496" s="105">
        <v>15595.0</v>
      </c>
      <c r="N496" s="91"/>
      <c r="O496" s="105">
        <v>109.85251683231805</v>
      </c>
      <c r="P496" s="101"/>
      <c r="Q496" s="104" t="s">
        <v>2688</v>
      </c>
      <c r="S496" s="101"/>
      <c r="T496" s="101"/>
      <c r="U496" s="101"/>
      <c r="V496" s="101"/>
    </row>
    <row r="497">
      <c r="A497" s="91"/>
      <c r="B497" s="104" t="s">
        <v>2689</v>
      </c>
      <c r="C497" s="104" t="s">
        <v>2690</v>
      </c>
      <c r="D497" s="91"/>
      <c r="E497" s="104" t="s">
        <v>2691</v>
      </c>
      <c r="F497" s="91"/>
      <c r="G497" s="104" t="s">
        <v>2692</v>
      </c>
      <c r="H497" s="91"/>
      <c r="I497" s="101"/>
      <c r="J497" s="91"/>
      <c r="K497" s="105">
        <v>0.0</v>
      </c>
      <c r="L497" s="91"/>
      <c r="M497" s="105">
        <v>16.0</v>
      </c>
      <c r="N497" s="91"/>
      <c r="O497" s="105">
        <v>4500.0</v>
      </c>
      <c r="P497" s="101"/>
      <c r="Q497" s="104" t="s">
        <v>2693</v>
      </c>
      <c r="S497" s="101"/>
      <c r="T497" s="101"/>
      <c r="U497" s="101"/>
      <c r="V497" s="101"/>
    </row>
    <row r="498">
      <c r="A498" s="91"/>
      <c r="B498" s="104" t="s">
        <v>2694</v>
      </c>
      <c r="C498" s="104" t="s">
        <v>2695</v>
      </c>
      <c r="D498" s="91"/>
      <c r="E498" s="104" t="s">
        <v>2696</v>
      </c>
      <c r="F498" s="91"/>
      <c r="G498" s="104" t="s">
        <v>2697</v>
      </c>
      <c r="H498" s="91"/>
      <c r="I498" s="101"/>
      <c r="J498" s="91"/>
      <c r="K498" s="105">
        <v>0.0</v>
      </c>
      <c r="L498" s="91"/>
      <c r="M498" s="105">
        <v>2.0</v>
      </c>
      <c r="N498" s="91"/>
      <c r="O498" s="105">
        <v>6500.0</v>
      </c>
      <c r="P498" s="101"/>
      <c r="Q498" s="104" t="s">
        <v>2698</v>
      </c>
      <c r="S498" s="101"/>
      <c r="T498" s="101"/>
      <c r="U498" s="101"/>
      <c r="V498" s="101"/>
    </row>
    <row r="499">
      <c r="A499" s="91"/>
      <c r="B499" s="104" t="s">
        <v>2699</v>
      </c>
      <c r="C499" s="104" t="s">
        <v>2700</v>
      </c>
      <c r="D499" s="91"/>
      <c r="E499" s="104" t="s">
        <v>2701</v>
      </c>
      <c r="F499" s="91"/>
      <c r="G499" s="104" t="s">
        <v>2702</v>
      </c>
      <c r="H499" s="91"/>
      <c r="I499" s="101"/>
      <c r="J499" s="91"/>
      <c r="K499" s="105">
        <v>0.0</v>
      </c>
      <c r="L499" s="91"/>
      <c r="M499" s="105">
        <v>2.0</v>
      </c>
      <c r="N499" s="91"/>
      <c r="O499" s="105">
        <v>13500.0</v>
      </c>
      <c r="P499" s="101"/>
      <c r="Q499" s="104" t="s">
        <v>2703</v>
      </c>
      <c r="S499" s="101"/>
      <c r="T499" s="101"/>
      <c r="U499" s="101"/>
      <c r="V499" s="101"/>
    </row>
    <row r="500">
      <c r="A500" s="91"/>
      <c r="B500" s="104" t="s">
        <v>2704</v>
      </c>
      <c r="C500" s="104" t="s">
        <v>2705</v>
      </c>
      <c r="D500" s="91"/>
      <c r="E500" s="104" t="s">
        <v>2706</v>
      </c>
      <c r="F500" s="91"/>
      <c r="G500" s="104" t="s">
        <v>2707</v>
      </c>
      <c r="H500" s="91"/>
      <c r="I500" s="101"/>
      <c r="J500" s="91"/>
      <c r="K500" s="105">
        <v>0.0</v>
      </c>
      <c r="L500" s="91"/>
      <c r="M500" s="105">
        <v>3512.0</v>
      </c>
      <c r="N500" s="91"/>
      <c r="O500" s="105">
        <v>48.99772209567198</v>
      </c>
      <c r="P500" s="101"/>
      <c r="Q500" s="104" t="s">
        <v>2708</v>
      </c>
      <c r="S500" s="101"/>
      <c r="T500" s="101"/>
      <c r="U500" s="101"/>
      <c r="V500" s="101"/>
    </row>
    <row r="501">
      <c r="A501" s="91"/>
      <c r="B501" s="104" t="s">
        <v>2709</v>
      </c>
      <c r="C501" s="104" t="s">
        <v>2710</v>
      </c>
      <c r="D501" s="91"/>
      <c r="E501" s="104" t="s">
        <v>2711</v>
      </c>
      <c r="F501" s="91"/>
      <c r="G501" s="104" t="s">
        <v>2712</v>
      </c>
      <c r="H501" s="91"/>
      <c r="I501" s="101"/>
      <c r="J501" s="91"/>
      <c r="K501" s="105">
        <v>0.0</v>
      </c>
      <c r="L501" s="91"/>
      <c r="M501" s="105">
        <v>7824.0</v>
      </c>
      <c r="N501" s="91"/>
      <c r="O501" s="105">
        <v>19.69325153374233</v>
      </c>
      <c r="P501" s="101"/>
      <c r="Q501" s="104" t="s">
        <v>2713</v>
      </c>
      <c r="S501" s="101"/>
      <c r="T501" s="101"/>
      <c r="U501" s="101"/>
      <c r="V501" s="101"/>
    </row>
    <row r="502">
      <c r="A502" s="91"/>
      <c r="B502" s="104" t="s">
        <v>2714</v>
      </c>
      <c r="C502" s="104" t="s">
        <v>2715</v>
      </c>
      <c r="D502" s="91"/>
      <c r="E502" s="104" t="s">
        <v>2716</v>
      </c>
      <c r="F502" s="91"/>
      <c r="G502" s="104" t="s">
        <v>2717</v>
      </c>
      <c r="H502" s="91"/>
      <c r="I502" s="101"/>
      <c r="J502" s="91"/>
      <c r="K502" s="105">
        <v>0.0</v>
      </c>
      <c r="L502" s="91"/>
      <c r="M502" s="105">
        <v>625.0</v>
      </c>
      <c r="N502" s="91"/>
      <c r="O502" s="105">
        <v>0.0</v>
      </c>
      <c r="P502" s="101"/>
      <c r="Q502" s="104" t="s">
        <v>2718</v>
      </c>
      <c r="S502" s="101"/>
      <c r="T502" s="101"/>
      <c r="U502" s="101"/>
      <c r="V502" s="101"/>
    </row>
    <row r="503">
      <c r="A503" s="91"/>
      <c r="B503" s="104" t="s">
        <v>2719</v>
      </c>
      <c r="C503" s="104" t="s">
        <v>2720</v>
      </c>
      <c r="D503" s="91"/>
      <c r="E503" s="104" t="s">
        <v>2721</v>
      </c>
      <c r="F503" s="91"/>
      <c r="G503" s="104" t="s">
        <v>2722</v>
      </c>
      <c r="H503" s="91"/>
      <c r="I503" s="101"/>
      <c r="J503" s="91"/>
      <c r="K503" s="105">
        <v>0.0</v>
      </c>
      <c r="L503" s="91"/>
      <c r="M503" s="105">
        <v>11.0</v>
      </c>
      <c r="N503" s="91"/>
      <c r="O503" s="105">
        <v>1000.0</v>
      </c>
      <c r="P503" s="101"/>
      <c r="Q503" s="104" t="s">
        <v>2723</v>
      </c>
      <c r="S503" s="101"/>
      <c r="T503" s="101"/>
      <c r="U503" s="101"/>
      <c r="V503" s="101"/>
    </row>
    <row r="504">
      <c r="A504" s="91"/>
      <c r="B504" s="104" t="s">
        <v>2724</v>
      </c>
      <c r="C504" s="104" t="s">
        <v>2725</v>
      </c>
      <c r="D504" s="91"/>
      <c r="E504" s="104" t="s">
        <v>2726</v>
      </c>
      <c r="F504" s="91"/>
      <c r="G504" s="104" t="s">
        <v>2727</v>
      </c>
      <c r="H504" s="91"/>
      <c r="I504" s="101"/>
      <c r="J504" s="91"/>
      <c r="K504" s="105">
        <v>0.0</v>
      </c>
      <c r="L504" s="91"/>
      <c r="M504" s="105">
        <v>2.0</v>
      </c>
      <c r="N504" s="91"/>
      <c r="O504" s="105">
        <v>6000.0</v>
      </c>
      <c r="P504" s="101"/>
      <c r="Q504" s="104" t="s">
        <v>2728</v>
      </c>
      <c r="S504" s="101"/>
      <c r="T504" s="101"/>
      <c r="U504" s="101"/>
      <c r="V504" s="101"/>
    </row>
    <row r="505">
      <c r="A505" s="91"/>
      <c r="B505" s="104" t="s">
        <v>2729</v>
      </c>
      <c r="C505" s="104" t="s">
        <v>2730</v>
      </c>
      <c r="D505" s="91"/>
      <c r="E505" s="104" t="s">
        <v>2731</v>
      </c>
      <c r="F505" s="91"/>
      <c r="G505" s="104" t="s">
        <v>2732</v>
      </c>
      <c r="H505" s="91"/>
      <c r="I505" s="101"/>
      <c r="J505" s="91"/>
      <c r="K505" s="105">
        <v>0.0</v>
      </c>
      <c r="L505" s="91"/>
      <c r="M505" s="105">
        <v>1015.0</v>
      </c>
      <c r="N505" s="91"/>
      <c r="O505" s="105">
        <v>228.32512315270935</v>
      </c>
      <c r="P505" s="101"/>
      <c r="Q505" s="104" t="s">
        <v>2733</v>
      </c>
      <c r="S505" s="101"/>
      <c r="T505" s="101"/>
      <c r="U505" s="101"/>
      <c r="V505" s="101"/>
    </row>
    <row r="506">
      <c r="A506" s="91"/>
      <c r="B506" s="104" t="s">
        <v>2734</v>
      </c>
      <c r="C506" s="104" t="s">
        <v>2735</v>
      </c>
      <c r="D506" s="91"/>
      <c r="E506" s="104" t="s">
        <v>2736</v>
      </c>
      <c r="F506" s="91"/>
      <c r="G506" s="104" t="s">
        <v>2737</v>
      </c>
      <c r="H506" s="91"/>
      <c r="I506" s="101"/>
      <c r="J506" s="91"/>
      <c r="K506" s="105">
        <v>0.0</v>
      </c>
      <c r="L506" s="91"/>
      <c r="M506" s="105">
        <v>3730.0</v>
      </c>
      <c r="N506" s="91"/>
      <c r="O506" s="105">
        <v>79.82573726541555</v>
      </c>
      <c r="P506" s="101"/>
      <c r="Q506" s="104" t="s">
        <v>2738</v>
      </c>
      <c r="S506" s="101"/>
      <c r="T506" s="101"/>
      <c r="U506" s="101"/>
      <c r="V506" s="101"/>
    </row>
    <row r="507">
      <c r="A507" s="91"/>
      <c r="B507" s="104" t="s">
        <v>2739</v>
      </c>
      <c r="C507" s="104" t="s">
        <v>2740</v>
      </c>
      <c r="D507" s="91"/>
      <c r="E507" s="104" t="s">
        <v>2741</v>
      </c>
      <c r="F507" s="91"/>
      <c r="G507" s="104" t="s">
        <v>2742</v>
      </c>
      <c r="H507" s="91"/>
      <c r="I507" s="101"/>
      <c r="J507" s="91"/>
      <c r="K507" s="105">
        <v>0.0</v>
      </c>
      <c r="L507" s="91"/>
      <c r="M507" s="105">
        <v>13175.0</v>
      </c>
      <c r="N507" s="91"/>
      <c r="O507" s="105">
        <v>319.2196336737761</v>
      </c>
      <c r="P507" s="101"/>
      <c r="Q507" s="104" t="s">
        <v>2743</v>
      </c>
      <c r="S507" s="101"/>
      <c r="T507" s="101"/>
      <c r="U507" s="101"/>
      <c r="V507" s="101"/>
    </row>
    <row r="508">
      <c r="A508" s="91"/>
      <c r="B508" s="104" t="s">
        <v>2744</v>
      </c>
      <c r="C508" s="104" t="s">
        <v>2745</v>
      </c>
      <c r="D508" s="91"/>
      <c r="E508" s="104" t="s">
        <v>2746</v>
      </c>
      <c r="F508" s="91"/>
      <c r="G508" s="104" t="s">
        <v>2747</v>
      </c>
      <c r="H508" s="91"/>
      <c r="I508" s="101"/>
      <c r="J508" s="91"/>
      <c r="K508" s="105">
        <v>0.0</v>
      </c>
      <c r="L508" s="91"/>
      <c r="M508" s="105">
        <v>51.0</v>
      </c>
      <c r="N508" s="91"/>
      <c r="O508" s="105">
        <v>4790.196078431372</v>
      </c>
      <c r="P508" s="101"/>
      <c r="Q508" s="104" t="s">
        <v>2748</v>
      </c>
      <c r="S508" s="101"/>
      <c r="T508" s="101"/>
      <c r="U508" s="101"/>
      <c r="V508" s="101"/>
    </row>
    <row r="509">
      <c r="A509" s="91"/>
      <c r="B509" s="104" t="s">
        <v>2749</v>
      </c>
      <c r="C509" s="104" t="s">
        <v>2750</v>
      </c>
      <c r="D509" s="91"/>
      <c r="E509" s="104" t="s">
        <v>2751</v>
      </c>
      <c r="F509" s="91"/>
      <c r="G509" s="104" t="s">
        <v>2752</v>
      </c>
      <c r="H509" s="91"/>
      <c r="I509" s="101"/>
      <c r="J509" s="91"/>
      <c r="K509" s="105">
        <v>0.0</v>
      </c>
      <c r="L509" s="91"/>
      <c r="M509" s="105">
        <v>106.0</v>
      </c>
      <c r="N509" s="91"/>
      <c r="O509" s="105">
        <v>6992.264150943396</v>
      </c>
      <c r="P509" s="101"/>
      <c r="Q509" s="104" t="s">
        <v>2753</v>
      </c>
      <c r="S509" s="101"/>
      <c r="T509" s="101"/>
      <c r="U509" s="101"/>
      <c r="V509" s="101"/>
    </row>
    <row r="510">
      <c r="A510" s="91"/>
      <c r="B510" s="104" t="s">
        <v>2754</v>
      </c>
      <c r="C510" s="104" t="s">
        <v>2755</v>
      </c>
      <c r="D510" s="91"/>
      <c r="E510" s="104" t="s">
        <v>2756</v>
      </c>
      <c r="F510" s="91"/>
      <c r="G510" s="104" t="s">
        <v>2757</v>
      </c>
      <c r="H510" s="91"/>
      <c r="I510" s="101"/>
      <c r="J510" s="91"/>
      <c r="K510" s="105">
        <v>0.0</v>
      </c>
      <c r="L510" s="91"/>
      <c r="M510" s="105">
        <v>200.0</v>
      </c>
      <c r="N510" s="91"/>
      <c r="O510" s="105">
        <v>1100.0</v>
      </c>
      <c r="P510" s="101"/>
      <c r="Q510" s="104" t="s">
        <v>2758</v>
      </c>
      <c r="S510" s="101"/>
      <c r="T510" s="101"/>
      <c r="U510" s="101"/>
      <c r="V510" s="101"/>
    </row>
    <row r="511">
      <c r="A511" s="91"/>
      <c r="B511" s="104" t="s">
        <v>2759</v>
      </c>
      <c r="C511" s="104" t="s">
        <v>2760</v>
      </c>
      <c r="D511" s="91"/>
      <c r="E511" s="104" t="s">
        <v>2761</v>
      </c>
      <c r="F511" s="91"/>
      <c r="G511" s="104" t="s">
        <v>2762</v>
      </c>
      <c r="H511" s="91"/>
      <c r="I511" s="101"/>
      <c r="J511" s="91"/>
      <c r="K511" s="105">
        <v>0.0</v>
      </c>
      <c r="L511" s="91"/>
      <c r="M511" s="105">
        <v>13297.7</v>
      </c>
      <c r="N511" s="91"/>
      <c r="O511" s="105">
        <v>17.263887739985112</v>
      </c>
      <c r="P511" s="101"/>
      <c r="Q511" s="104" t="s">
        <v>2763</v>
      </c>
      <c r="S511" s="101"/>
      <c r="T511" s="101"/>
      <c r="U511" s="101"/>
      <c r="V511" s="101"/>
    </row>
    <row r="512">
      <c r="A512" s="91"/>
      <c r="B512" s="104" t="s">
        <v>2764</v>
      </c>
      <c r="C512" s="104" t="s">
        <v>2765</v>
      </c>
      <c r="D512" s="91"/>
      <c r="E512" s="104" t="s">
        <v>2766</v>
      </c>
      <c r="F512" s="91"/>
      <c r="G512" s="104" t="s">
        <v>2767</v>
      </c>
      <c r="H512" s="91"/>
      <c r="I512" s="101"/>
      <c r="J512" s="91"/>
      <c r="K512" s="105">
        <v>0.0</v>
      </c>
      <c r="L512" s="91"/>
      <c r="M512" s="105">
        <v>500.0</v>
      </c>
      <c r="N512" s="91"/>
      <c r="O512" s="105">
        <v>0.0</v>
      </c>
      <c r="P512" s="101"/>
      <c r="Q512" s="104" t="s">
        <v>2768</v>
      </c>
      <c r="S512" s="101"/>
      <c r="T512" s="101"/>
      <c r="U512" s="101"/>
      <c r="V512" s="101"/>
    </row>
    <row r="513">
      <c r="A513" s="91"/>
      <c r="B513" s="104" t="s">
        <v>2769</v>
      </c>
      <c r="C513" s="104" t="s">
        <v>2770</v>
      </c>
      <c r="D513" s="91"/>
      <c r="E513" s="104" t="s">
        <v>2771</v>
      </c>
      <c r="F513" s="91"/>
      <c r="G513" s="104" t="s">
        <v>2772</v>
      </c>
      <c r="H513" s="91"/>
      <c r="I513" s="101"/>
      <c r="J513" s="91"/>
      <c r="K513" s="105">
        <v>0.0</v>
      </c>
      <c r="L513" s="91"/>
      <c r="M513" s="105">
        <v>85.0</v>
      </c>
      <c r="N513" s="91"/>
      <c r="O513" s="105">
        <v>31352.352941176472</v>
      </c>
      <c r="P513" s="101"/>
      <c r="Q513" s="104" t="s">
        <v>2773</v>
      </c>
      <c r="S513" s="101"/>
      <c r="T513" s="101"/>
      <c r="U513" s="101"/>
      <c r="V513" s="101"/>
    </row>
    <row r="514">
      <c r="A514" s="91"/>
      <c r="B514" s="104" t="s">
        <v>2774</v>
      </c>
      <c r="C514" s="104" t="s">
        <v>2775</v>
      </c>
      <c r="D514" s="91"/>
      <c r="E514" s="104" t="s">
        <v>2776</v>
      </c>
      <c r="F514" s="91"/>
      <c r="G514" s="104" t="s">
        <v>2777</v>
      </c>
      <c r="H514" s="91"/>
      <c r="I514" s="101"/>
      <c r="J514" s="91"/>
      <c r="K514" s="105">
        <v>0.0</v>
      </c>
      <c r="L514" s="91"/>
      <c r="M514" s="105">
        <v>929.0</v>
      </c>
      <c r="N514" s="91"/>
      <c r="O514" s="105">
        <v>733.4101184068892</v>
      </c>
      <c r="P514" s="101"/>
      <c r="Q514" s="104" t="s">
        <v>2778</v>
      </c>
      <c r="S514" s="101"/>
      <c r="T514" s="101"/>
      <c r="U514" s="101"/>
      <c r="V514" s="101"/>
    </row>
    <row r="515">
      <c r="A515" s="91"/>
      <c r="B515" s="104" t="s">
        <v>2779</v>
      </c>
      <c r="C515" s="104" t="s">
        <v>2780</v>
      </c>
      <c r="D515" s="91"/>
      <c r="E515" s="104" t="s">
        <v>2781</v>
      </c>
      <c r="F515" s="91"/>
      <c r="G515" s="104" t="s">
        <v>2782</v>
      </c>
      <c r="H515" s="91"/>
      <c r="I515" s="91"/>
      <c r="J515" s="91"/>
      <c r="K515" s="105">
        <v>0.0</v>
      </c>
      <c r="L515" s="91"/>
      <c r="M515" s="105">
        <v>8765.0</v>
      </c>
      <c r="N515" s="91"/>
      <c r="O515" s="105">
        <v>67.30747290359383</v>
      </c>
      <c r="P515" s="91"/>
      <c r="Q515" s="104" t="s">
        <v>2783</v>
      </c>
      <c r="S515" s="91"/>
      <c r="T515" s="91"/>
      <c r="U515" s="91"/>
      <c r="V515" s="91"/>
    </row>
    <row r="516">
      <c r="A516" s="100" t="s">
        <v>2784</v>
      </c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</row>
    <row r="517">
      <c r="A517" s="91"/>
      <c r="B517" s="104" t="s">
        <v>2785</v>
      </c>
      <c r="C517" s="104" t="s">
        <v>2786</v>
      </c>
      <c r="D517" s="91"/>
      <c r="E517" s="104" t="s">
        <v>2787</v>
      </c>
      <c r="F517" s="91"/>
      <c r="G517" s="104" t="s">
        <v>2788</v>
      </c>
      <c r="H517" s="91"/>
      <c r="I517" s="91"/>
      <c r="J517" s="91"/>
      <c r="K517" s="105">
        <v>0.0</v>
      </c>
      <c r="L517" s="91"/>
      <c r="M517" s="105">
        <v>1157.0</v>
      </c>
      <c r="N517" s="91"/>
      <c r="O517" s="105">
        <v>0.0</v>
      </c>
      <c r="P517" s="91"/>
      <c r="Q517" s="104" t="s">
        <v>2789</v>
      </c>
      <c r="S517" s="91"/>
      <c r="T517" s="91"/>
      <c r="U517" s="91"/>
      <c r="V517" s="91"/>
    </row>
    <row r="518">
      <c r="A518" s="91"/>
      <c r="B518" s="104" t="s">
        <v>2790</v>
      </c>
      <c r="C518" s="104" t="s">
        <v>2791</v>
      </c>
      <c r="D518" s="91"/>
      <c r="E518" s="104" t="s">
        <v>2792</v>
      </c>
      <c r="F518" s="91"/>
      <c r="G518" s="104" t="s">
        <v>2793</v>
      </c>
      <c r="H518" s="91"/>
      <c r="I518" s="91"/>
      <c r="J518" s="91"/>
      <c r="K518" s="105">
        <v>0.0</v>
      </c>
      <c r="L518" s="91"/>
      <c r="M518" s="105">
        <v>2.0</v>
      </c>
      <c r="N518" s="91"/>
      <c r="O518" s="105">
        <v>30900.0</v>
      </c>
      <c r="P518" s="91"/>
      <c r="Q518" s="104" t="s">
        <v>2794</v>
      </c>
      <c r="S518" s="91"/>
      <c r="T518" s="91"/>
      <c r="U518" s="91"/>
      <c r="V518" s="91"/>
    </row>
    <row r="519">
      <c r="A519" s="91"/>
      <c r="B519" s="104" t="s">
        <v>2795</v>
      </c>
      <c r="C519" s="104" t="s">
        <v>2796</v>
      </c>
      <c r="D519" s="91"/>
      <c r="E519" s="104" t="s">
        <v>2797</v>
      </c>
      <c r="F519" s="91"/>
      <c r="G519" s="104" t="s">
        <v>2798</v>
      </c>
      <c r="H519" s="91"/>
      <c r="I519" s="91"/>
      <c r="J519" s="91"/>
      <c r="K519" s="105">
        <v>0.0</v>
      </c>
      <c r="L519" s="91"/>
      <c r="M519" s="105">
        <v>24000.0</v>
      </c>
      <c r="N519" s="91"/>
      <c r="O519" s="105">
        <v>36.0</v>
      </c>
      <c r="P519" s="91"/>
      <c r="Q519" s="104" t="s">
        <v>2799</v>
      </c>
      <c r="S519" s="91"/>
      <c r="T519" s="91"/>
      <c r="U519" s="91"/>
      <c r="V519" s="91"/>
    </row>
    <row r="520">
      <c r="A520" s="91"/>
      <c r="B520" s="104" t="s">
        <v>2800</v>
      </c>
      <c r="C520" s="104" t="s">
        <v>2801</v>
      </c>
      <c r="D520" s="91"/>
      <c r="E520" s="104" t="s">
        <v>2802</v>
      </c>
      <c r="F520" s="91"/>
      <c r="G520" s="104" t="s">
        <v>2803</v>
      </c>
      <c r="H520" s="91"/>
      <c r="I520" s="91"/>
      <c r="J520" s="91"/>
      <c r="K520" s="105">
        <v>0.0</v>
      </c>
      <c r="L520" s="91"/>
      <c r="M520" s="105">
        <v>11.3</v>
      </c>
      <c r="N520" s="91"/>
      <c r="O520" s="105">
        <v>40376.10619469026</v>
      </c>
      <c r="P520" s="91"/>
      <c r="Q520" s="104" t="s">
        <v>2804</v>
      </c>
      <c r="S520" s="91"/>
      <c r="T520" s="91"/>
      <c r="U520" s="91"/>
      <c r="V520" s="91"/>
    </row>
    <row r="521">
      <c r="A521" s="91"/>
      <c r="B521" s="104" t="s">
        <v>2805</v>
      </c>
      <c r="C521" s="104" t="s">
        <v>2806</v>
      </c>
      <c r="D521" s="91"/>
      <c r="E521" s="104" t="s">
        <v>2807</v>
      </c>
      <c r="F521" s="91"/>
      <c r="G521" s="104" t="s">
        <v>2808</v>
      </c>
      <c r="H521" s="91"/>
      <c r="I521" s="91"/>
      <c r="J521" s="91"/>
      <c r="K521" s="105">
        <v>0.0</v>
      </c>
      <c r="L521" s="91"/>
      <c r="M521" s="105">
        <v>213.0</v>
      </c>
      <c r="N521" s="91"/>
      <c r="O521" s="105">
        <v>50000.0</v>
      </c>
      <c r="P521" s="91"/>
      <c r="Q521" s="104" t="s">
        <v>2809</v>
      </c>
      <c r="S521" s="91"/>
      <c r="T521" s="91"/>
      <c r="U521" s="91"/>
      <c r="V521" s="91"/>
    </row>
    <row r="522">
      <c r="A522" s="91"/>
      <c r="B522" s="104" t="s">
        <v>2810</v>
      </c>
      <c r="C522" s="104" t="s">
        <v>2811</v>
      </c>
      <c r="D522" s="91"/>
      <c r="E522" s="104" t="s">
        <v>2812</v>
      </c>
      <c r="F522" s="91"/>
      <c r="G522" s="104" t="s">
        <v>2813</v>
      </c>
      <c r="H522" s="91"/>
      <c r="I522" s="91"/>
      <c r="J522" s="91"/>
      <c r="K522" s="105">
        <v>0.0</v>
      </c>
      <c r="L522" s="91"/>
      <c r="M522" s="105">
        <v>3156.0</v>
      </c>
      <c r="N522" s="91"/>
      <c r="O522" s="105">
        <v>56.0297845373891</v>
      </c>
      <c r="P522" s="91"/>
      <c r="Q522" s="104" t="s">
        <v>2814</v>
      </c>
      <c r="S522" s="91"/>
      <c r="T522" s="91"/>
      <c r="U522" s="91"/>
      <c r="V522" s="91"/>
    </row>
    <row r="523">
      <c r="A523" s="91"/>
      <c r="B523" s="104" t="s">
        <v>2815</v>
      </c>
      <c r="C523" s="104" t="s">
        <v>2816</v>
      </c>
      <c r="D523" s="91"/>
      <c r="E523" s="104" t="s">
        <v>2817</v>
      </c>
      <c r="F523" s="91"/>
      <c r="G523" s="104" t="s">
        <v>2818</v>
      </c>
      <c r="H523" s="91"/>
      <c r="I523" s="91"/>
      <c r="J523" s="91"/>
      <c r="K523" s="105">
        <v>0.0</v>
      </c>
      <c r="L523" s="91"/>
      <c r="M523" s="105">
        <v>3845.0</v>
      </c>
      <c r="N523" s="91"/>
      <c r="O523" s="105">
        <v>0.752925877763329</v>
      </c>
      <c r="P523" s="91"/>
      <c r="Q523" s="104" t="s">
        <v>2819</v>
      </c>
      <c r="S523" s="91"/>
      <c r="T523" s="91"/>
      <c r="U523" s="91"/>
      <c r="V523" s="91"/>
    </row>
    <row r="524">
      <c r="A524" s="91"/>
      <c r="B524" s="104" t="s">
        <v>2820</v>
      </c>
      <c r="C524" s="104" t="s">
        <v>2821</v>
      </c>
      <c r="D524" s="91"/>
      <c r="E524" s="104" t="s">
        <v>2822</v>
      </c>
      <c r="F524" s="91"/>
      <c r="G524" s="104" t="s">
        <v>2823</v>
      </c>
      <c r="H524" s="91"/>
      <c r="I524" s="91"/>
      <c r="J524" s="91"/>
      <c r="K524" s="105">
        <v>0.0</v>
      </c>
      <c r="L524" s="91"/>
      <c r="M524" s="105">
        <v>1850.0</v>
      </c>
      <c r="N524" s="91"/>
      <c r="O524" s="105">
        <v>31.269189189189188</v>
      </c>
      <c r="P524" s="91"/>
      <c r="Q524" s="104" t="s">
        <v>2824</v>
      </c>
      <c r="S524" s="91"/>
      <c r="T524" s="91"/>
      <c r="U524" s="91"/>
      <c r="V524" s="91"/>
    </row>
    <row r="525">
      <c r="A525" s="91"/>
      <c r="B525" s="104" t="s">
        <v>2825</v>
      </c>
      <c r="C525" s="104" t="s">
        <v>2826</v>
      </c>
      <c r="D525" s="91"/>
      <c r="E525" s="104" t="s">
        <v>2827</v>
      </c>
      <c r="F525" s="91"/>
      <c r="G525" s="104" t="s">
        <v>2828</v>
      </c>
      <c r="H525" s="91"/>
      <c r="I525" s="101"/>
      <c r="J525" s="91"/>
      <c r="K525" s="105">
        <v>0.0</v>
      </c>
      <c r="L525" s="91"/>
      <c r="M525" s="105">
        <v>5003.0</v>
      </c>
      <c r="N525" s="91"/>
      <c r="O525" s="105">
        <v>70.41055366779932</v>
      </c>
      <c r="P525" s="101"/>
      <c r="Q525" s="104" t="s">
        <v>2829</v>
      </c>
      <c r="S525" s="101"/>
      <c r="T525" s="101"/>
      <c r="U525" s="101"/>
      <c r="V525" s="101"/>
    </row>
    <row r="526">
      <c r="A526" s="91"/>
      <c r="B526" s="104" t="s">
        <v>2830</v>
      </c>
      <c r="C526" s="104" t="s">
        <v>2831</v>
      </c>
      <c r="D526" s="91"/>
      <c r="E526" s="104" t="s">
        <v>2832</v>
      </c>
      <c r="F526" s="91"/>
      <c r="G526" s="104" t="s">
        <v>2833</v>
      </c>
      <c r="H526" s="91"/>
      <c r="I526" s="101"/>
      <c r="J526" s="91"/>
      <c r="K526" s="105">
        <v>0.0</v>
      </c>
      <c r="L526" s="91"/>
      <c r="M526" s="105">
        <v>39.0</v>
      </c>
      <c r="N526" s="91"/>
      <c r="O526" s="105">
        <v>17718.615384615383</v>
      </c>
      <c r="P526" s="101"/>
      <c r="Q526" s="104" t="s">
        <v>2834</v>
      </c>
      <c r="S526" s="101"/>
      <c r="T526" s="101"/>
      <c r="U526" s="101"/>
      <c r="V526" s="101"/>
    </row>
    <row r="527">
      <c r="A527" s="91"/>
      <c r="B527" s="104" t="s">
        <v>2835</v>
      </c>
      <c r="C527" s="104" t="s">
        <v>2836</v>
      </c>
      <c r="D527" s="91"/>
      <c r="E527" s="104" t="s">
        <v>2837</v>
      </c>
      <c r="F527" s="91"/>
      <c r="G527" s="104" t="s">
        <v>2838</v>
      </c>
      <c r="H527" s="91"/>
      <c r="I527" s="101"/>
      <c r="J527" s="91"/>
      <c r="K527" s="105">
        <v>0.0</v>
      </c>
      <c r="L527" s="91"/>
      <c r="M527" s="105">
        <v>19.0</v>
      </c>
      <c r="N527" s="91"/>
      <c r="O527" s="105">
        <v>12476.578947368422</v>
      </c>
      <c r="P527" s="101"/>
      <c r="Q527" s="104" t="s">
        <v>2839</v>
      </c>
      <c r="S527" s="101"/>
      <c r="T527" s="101"/>
      <c r="U527" s="101"/>
      <c r="V527" s="101"/>
    </row>
    <row r="528">
      <c r="A528" s="91"/>
      <c r="B528" s="104" t="s">
        <v>2840</v>
      </c>
      <c r="C528" s="104" t="s">
        <v>2841</v>
      </c>
      <c r="D528" s="91"/>
      <c r="E528" s="104" t="s">
        <v>2842</v>
      </c>
      <c r="F528" s="91"/>
      <c r="G528" s="104" t="s">
        <v>2843</v>
      </c>
      <c r="H528" s="91"/>
      <c r="I528" s="101"/>
      <c r="J528" s="91"/>
      <c r="K528" s="105">
        <v>0.0</v>
      </c>
      <c r="L528" s="91"/>
      <c r="M528" s="105">
        <v>109.0</v>
      </c>
      <c r="N528" s="91"/>
      <c r="O528" s="105">
        <v>6959.0</v>
      </c>
      <c r="P528" s="101"/>
      <c r="Q528" s="104" t="s">
        <v>2844</v>
      </c>
      <c r="S528" s="101"/>
      <c r="T528" s="101"/>
      <c r="U528" s="101"/>
      <c r="V528" s="101"/>
    </row>
    <row r="529">
      <c r="A529" s="91"/>
      <c r="B529" s="104" t="s">
        <v>2845</v>
      </c>
      <c r="C529" s="104" t="s">
        <v>2846</v>
      </c>
      <c r="D529" s="91"/>
      <c r="E529" s="104" t="s">
        <v>2847</v>
      </c>
      <c r="F529" s="91"/>
      <c r="G529" s="104" t="s">
        <v>2848</v>
      </c>
      <c r="H529" s="91"/>
      <c r="I529" s="101"/>
      <c r="J529" s="91"/>
      <c r="K529" s="105">
        <v>0.0</v>
      </c>
      <c r="L529" s="91"/>
      <c r="M529" s="105">
        <v>1.0</v>
      </c>
      <c r="N529" s="91"/>
      <c r="O529" s="105">
        <v>32166.0</v>
      </c>
      <c r="P529" s="101"/>
      <c r="Q529" s="104" t="s">
        <v>2849</v>
      </c>
      <c r="S529" s="101"/>
      <c r="T529" s="101"/>
      <c r="U529" s="101"/>
      <c r="V529" s="101"/>
    </row>
    <row r="530">
      <c r="A530" s="91"/>
      <c r="B530" s="104" t="s">
        <v>2850</v>
      </c>
      <c r="C530" s="104" t="s">
        <v>2851</v>
      </c>
      <c r="D530" s="91"/>
      <c r="E530" s="104" t="s">
        <v>2852</v>
      </c>
      <c r="F530" s="91"/>
      <c r="G530" s="104" t="s">
        <v>2853</v>
      </c>
      <c r="H530" s="91"/>
      <c r="I530" s="101"/>
      <c r="J530" s="91"/>
      <c r="K530" s="105">
        <v>0.0</v>
      </c>
      <c r="L530" s="91"/>
      <c r="M530" s="105">
        <v>37.0</v>
      </c>
      <c r="N530" s="91"/>
      <c r="O530" s="105">
        <v>7470.648648648648</v>
      </c>
      <c r="P530" s="101"/>
      <c r="Q530" s="104" t="s">
        <v>2854</v>
      </c>
      <c r="S530" s="101"/>
      <c r="T530" s="101"/>
      <c r="U530" s="101"/>
      <c r="V530" s="101"/>
    </row>
    <row r="531">
      <c r="A531" s="91"/>
      <c r="B531" s="104" t="s">
        <v>2855</v>
      </c>
      <c r="C531" s="104" t="s">
        <v>2856</v>
      </c>
      <c r="D531" s="91"/>
      <c r="E531" s="104" t="s">
        <v>2857</v>
      </c>
      <c r="F531" s="91"/>
      <c r="G531" s="104" t="s">
        <v>2858</v>
      </c>
      <c r="H531" s="91"/>
      <c r="I531" s="101"/>
      <c r="J531" s="91"/>
      <c r="K531" s="105">
        <v>0.0</v>
      </c>
      <c r="L531" s="91"/>
      <c r="M531" s="105">
        <v>1420.0</v>
      </c>
      <c r="N531" s="91"/>
      <c r="O531" s="105">
        <v>0.0</v>
      </c>
      <c r="P531" s="101"/>
      <c r="Q531" s="104" t="s">
        <v>2859</v>
      </c>
      <c r="S531" s="101"/>
      <c r="T531" s="101"/>
      <c r="U531" s="101"/>
      <c r="V531" s="101"/>
    </row>
    <row r="532">
      <c r="A532" s="91"/>
      <c r="B532" s="104" t="s">
        <v>2860</v>
      </c>
      <c r="C532" s="104" t="s">
        <v>2861</v>
      </c>
      <c r="D532" s="91"/>
      <c r="E532" s="104" t="s">
        <v>2862</v>
      </c>
      <c r="F532" s="91"/>
      <c r="G532" s="104" t="s">
        <v>2863</v>
      </c>
      <c r="H532" s="91"/>
      <c r="I532" s="101"/>
      <c r="J532" s="91"/>
      <c r="K532" s="105">
        <v>0.0</v>
      </c>
      <c r="L532" s="91"/>
      <c r="M532" s="105">
        <v>676.0</v>
      </c>
      <c r="N532" s="91"/>
      <c r="O532" s="105">
        <v>1897.9475674866865</v>
      </c>
      <c r="P532" s="101"/>
      <c r="Q532" s="104" t="s">
        <v>2864</v>
      </c>
      <c r="S532" s="101"/>
      <c r="T532" s="101"/>
      <c r="U532" s="101"/>
      <c r="V532" s="101"/>
    </row>
    <row r="533">
      <c r="A533" s="91"/>
      <c r="B533" s="104" t="s">
        <v>2865</v>
      </c>
      <c r="C533" s="104" t="s">
        <v>2866</v>
      </c>
      <c r="D533" s="91"/>
      <c r="E533" s="104" t="s">
        <v>2867</v>
      </c>
      <c r="F533" s="91"/>
      <c r="G533" s="104" t="s">
        <v>2868</v>
      </c>
      <c r="H533" s="91"/>
      <c r="I533" s="101"/>
      <c r="J533" s="91"/>
      <c r="K533" s="105">
        <v>0.0</v>
      </c>
      <c r="L533" s="91"/>
      <c r="M533" s="105">
        <v>652.0</v>
      </c>
      <c r="N533" s="91"/>
      <c r="O533" s="105">
        <v>1459.2194957239265</v>
      </c>
      <c r="P533" s="101"/>
      <c r="Q533" s="104" t="s">
        <v>2869</v>
      </c>
      <c r="S533" s="101"/>
      <c r="T533" s="101"/>
      <c r="U533" s="101"/>
      <c r="V533" s="101"/>
    </row>
    <row r="534">
      <c r="A534" s="91"/>
      <c r="B534" s="104" t="s">
        <v>2870</v>
      </c>
      <c r="C534" s="104" t="s">
        <v>2871</v>
      </c>
      <c r="D534" s="91"/>
      <c r="E534" s="104" t="s">
        <v>2872</v>
      </c>
      <c r="F534" s="91"/>
      <c r="G534" s="104" t="s">
        <v>2873</v>
      </c>
      <c r="H534" s="91"/>
      <c r="I534" s="101"/>
      <c r="J534" s="91"/>
      <c r="K534" s="105">
        <v>0.0</v>
      </c>
      <c r="L534" s="91"/>
      <c r="M534" s="105">
        <v>40.0</v>
      </c>
      <c r="N534" s="91"/>
      <c r="O534" s="105">
        <v>4200.0</v>
      </c>
      <c r="P534" s="101"/>
      <c r="Q534" s="104" t="s">
        <v>2874</v>
      </c>
      <c r="S534" s="101"/>
      <c r="T534" s="101"/>
      <c r="U534" s="101"/>
      <c r="V534" s="101"/>
    </row>
    <row r="535">
      <c r="A535" s="91"/>
      <c r="B535" s="104" t="s">
        <v>2875</v>
      </c>
      <c r="C535" s="104" t="s">
        <v>2876</v>
      </c>
      <c r="D535" s="91"/>
      <c r="E535" s="104" t="s">
        <v>2877</v>
      </c>
      <c r="F535" s="91"/>
      <c r="G535" s="104" t="s">
        <v>2878</v>
      </c>
      <c r="H535" s="91"/>
      <c r="I535" s="91"/>
      <c r="J535" s="91"/>
      <c r="K535" s="105">
        <v>0.0</v>
      </c>
      <c r="L535" s="91"/>
      <c r="M535" s="105">
        <v>1914.0</v>
      </c>
      <c r="N535" s="91"/>
      <c r="O535" s="105">
        <v>169.06162486938348</v>
      </c>
      <c r="P535" s="101"/>
      <c r="Q535" s="104" t="s">
        <v>2879</v>
      </c>
      <c r="S535" s="101"/>
      <c r="T535" s="101"/>
      <c r="U535" s="101"/>
      <c r="V535" s="101"/>
    </row>
    <row r="536">
      <c r="A536" s="91"/>
      <c r="B536" s="104" t="s">
        <v>2880</v>
      </c>
      <c r="C536" s="104" t="s">
        <v>2881</v>
      </c>
      <c r="D536" s="91"/>
      <c r="E536" s="104" t="s">
        <v>2882</v>
      </c>
      <c r="F536" s="91"/>
      <c r="G536" s="104" t="s">
        <v>2883</v>
      </c>
      <c r="H536" s="91"/>
      <c r="I536" s="101"/>
      <c r="J536" s="91"/>
      <c r="K536" s="105">
        <v>0.0</v>
      </c>
      <c r="L536" s="91"/>
      <c r="M536" s="105">
        <v>1.0</v>
      </c>
      <c r="N536" s="91"/>
      <c r="O536" s="105">
        <v>61000.0</v>
      </c>
      <c r="P536" s="101"/>
      <c r="Q536" s="104" t="s">
        <v>2884</v>
      </c>
      <c r="S536" s="101"/>
      <c r="T536" s="101"/>
      <c r="U536" s="101"/>
      <c r="V536" s="101"/>
    </row>
    <row r="537">
      <c r="A537" s="91"/>
      <c r="B537" s="104" t="s">
        <v>2885</v>
      </c>
      <c r="C537" s="104" t="s">
        <v>2886</v>
      </c>
      <c r="D537" s="91"/>
      <c r="E537" s="104" t="s">
        <v>2887</v>
      </c>
      <c r="F537" s="91"/>
      <c r="G537" s="104" t="s">
        <v>2888</v>
      </c>
      <c r="H537" s="91"/>
      <c r="I537" s="101"/>
      <c r="J537" s="91"/>
      <c r="K537" s="105">
        <v>0.0</v>
      </c>
      <c r="L537" s="91"/>
      <c r="M537" s="105">
        <v>3.0</v>
      </c>
      <c r="N537" s="91"/>
      <c r="O537" s="105">
        <v>81333.33333333333</v>
      </c>
      <c r="P537" s="101"/>
      <c r="Q537" s="104" t="s">
        <v>2889</v>
      </c>
      <c r="S537" s="101"/>
      <c r="T537" s="101"/>
      <c r="U537" s="101"/>
      <c r="V537" s="101"/>
    </row>
    <row r="538">
      <c r="A538" s="91"/>
      <c r="B538" s="104" t="s">
        <v>2890</v>
      </c>
      <c r="C538" s="104" t="s">
        <v>2891</v>
      </c>
      <c r="D538" s="91"/>
      <c r="E538" s="104" t="s">
        <v>2892</v>
      </c>
      <c r="F538" s="91"/>
      <c r="G538" s="104" t="s">
        <v>2893</v>
      </c>
      <c r="H538" s="91"/>
      <c r="I538" s="101"/>
      <c r="J538" s="91"/>
      <c r="K538" s="105">
        <v>0.0</v>
      </c>
      <c r="L538" s="91"/>
      <c r="M538" s="105">
        <v>58.0</v>
      </c>
      <c r="N538" s="91"/>
      <c r="O538" s="105">
        <v>8000.0</v>
      </c>
      <c r="P538" s="101"/>
      <c r="Q538" s="104" t="s">
        <v>2894</v>
      </c>
      <c r="S538" s="101"/>
      <c r="T538" s="101"/>
      <c r="U538" s="101"/>
      <c r="V538" s="101"/>
    </row>
    <row r="539">
      <c r="A539" s="91"/>
      <c r="B539" s="104" t="s">
        <v>2895</v>
      </c>
      <c r="C539" s="104" t="s">
        <v>2896</v>
      </c>
      <c r="D539" s="91"/>
      <c r="E539" s="104" t="s">
        <v>2897</v>
      </c>
      <c r="F539" s="91"/>
      <c r="G539" s="104" t="s">
        <v>2898</v>
      </c>
      <c r="H539" s="91"/>
      <c r="I539" s="101"/>
      <c r="J539" s="91"/>
      <c r="K539" s="105">
        <v>0.0</v>
      </c>
      <c r="L539" s="91"/>
      <c r="M539" s="105">
        <v>7.0</v>
      </c>
      <c r="N539" s="91"/>
      <c r="O539" s="105">
        <v>14000.0</v>
      </c>
      <c r="P539" s="101"/>
      <c r="Q539" s="104" t="s">
        <v>2899</v>
      </c>
      <c r="S539" s="101"/>
      <c r="T539" s="101"/>
      <c r="U539" s="101"/>
      <c r="V539" s="101"/>
    </row>
    <row r="540">
      <c r="A540" s="91"/>
      <c r="B540" s="104" t="s">
        <v>2900</v>
      </c>
      <c r="C540" s="104" t="s">
        <v>2901</v>
      </c>
      <c r="D540" s="91"/>
      <c r="E540" s="104" t="s">
        <v>2902</v>
      </c>
      <c r="F540" s="91"/>
      <c r="G540" s="104" t="s">
        <v>2903</v>
      </c>
      <c r="H540" s="91"/>
      <c r="I540" s="101"/>
      <c r="J540" s="91"/>
      <c r="K540" s="105">
        <v>0.0</v>
      </c>
      <c r="L540" s="91"/>
      <c r="M540" s="105">
        <v>81.0</v>
      </c>
      <c r="N540" s="91"/>
      <c r="O540" s="105">
        <v>5700.740740740741</v>
      </c>
      <c r="P540" s="101"/>
      <c r="Q540" s="104" t="s">
        <v>2904</v>
      </c>
      <c r="S540" s="101"/>
      <c r="T540" s="101"/>
      <c r="U540" s="101"/>
      <c r="V540" s="101"/>
    </row>
    <row r="541">
      <c r="A541" s="91"/>
      <c r="B541" s="104" t="s">
        <v>2905</v>
      </c>
      <c r="C541" s="104" t="s">
        <v>2906</v>
      </c>
      <c r="D541" s="91"/>
      <c r="E541" s="104" t="s">
        <v>2907</v>
      </c>
      <c r="F541" s="91"/>
      <c r="G541" s="104" t="s">
        <v>2908</v>
      </c>
      <c r="H541" s="91"/>
      <c r="I541" s="101"/>
      <c r="J541" s="91"/>
      <c r="K541" s="105">
        <v>0.0</v>
      </c>
      <c r="L541" s="91"/>
      <c r="M541" s="105">
        <v>23301.0</v>
      </c>
      <c r="N541" s="91"/>
      <c r="O541" s="105">
        <v>25.906182</v>
      </c>
      <c r="P541" s="101"/>
      <c r="Q541" s="104" t="s">
        <v>2909</v>
      </c>
      <c r="S541" s="101"/>
      <c r="T541" s="101"/>
      <c r="U541" s="101"/>
      <c r="V541" s="101"/>
    </row>
    <row r="542">
      <c r="A542" s="91"/>
      <c r="B542" s="104" t="s">
        <v>2910</v>
      </c>
      <c r="C542" s="104" t="s">
        <v>2911</v>
      </c>
      <c r="D542" s="91"/>
      <c r="E542" s="104" t="s">
        <v>2912</v>
      </c>
      <c r="F542" s="91"/>
      <c r="G542" s="104" t="s">
        <v>2913</v>
      </c>
      <c r="H542" s="91"/>
      <c r="I542" s="101"/>
      <c r="J542" s="91"/>
      <c r="K542" s="105">
        <v>0.0</v>
      </c>
      <c r="L542" s="91"/>
      <c r="M542" s="105">
        <v>67.0</v>
      </c>
      <c r="N542" s="91"/>
      <c r="O542" s="105">
        <v>12313.432835820895</v>
      </c>
      <c r="P542" s="101"/>
      <c r="Q542" s="104" t="s">
        <v>2914</v>
      </c>
      <c r="S542" s="101"/>
      <c r="T542" s="101"/>
      <c r="U542" s="101"/>
      <c r="V542" s="101"/>
    </row>
    <row r="543">
      <c r="A543" s="91"/>
      <c r="B543" s="104" t="s">
        <v>2915</v>
      </c>
      <c r="C543" s="104" t="s">
        <v>2916</v>
      </c>
      <c r="D543" s="91"/>
      <c r="E543" s="104" t="s">
        <v>2917</v>
      </c>
      <c r="F543" s="91"/>
      <c r="G543" s="104" t="s">
        <v>2918</v>
      </c>
      <c r="H543" s="91"/>
      <c r="I543" s="101"/>
      <c r="J543" s="91"/>
      <c r="K543" s="105">
        <v>0.0</v>
      </c>
      <c r="L543" s="91"/>
      <c r="M543" s="105">
        <v>75.0</v>
      </c>
      <c r="N543" s="91"/>
      <c r="O543" s="105">
        <v>3166.666667</v>
      </c>
      <c r="P543" s="101"/>
      <c r="Q543" s="104" t="s">
        <v>2919</v>
      </c>
      <c r="S543" s="91"/>
      <c r="T543" s="91"/>
      <c r="U543" s="91"/>
      <c r="V543" s="91"/>
    </row>
    <row r="544">
      <c r="A544" s="91"/>
      <c r="B544" s="104" t="s">
        <v>2920</v>
      </c>
      <c r="C544" s="104" t="s">
        <v>2921</v>
      </c>
      <c r="D544" s="91"/>
      <c r="E544" s="104" t="s">
        <v>2922</v>
      </c>
      <c r="F544" s="91"/>
      <c r="G544" s="104" t="s">
        <v>2923</v>
      </c>
      <c r="H544" s="91"/>
      <c r="I544" s="101"/>
      <c r="J544" s="91"/>
      <c r="K544" s="105">
        <v>0.0</v>
      </c>
      <c r="L544" s="91"/>
      <c r="M544" s="105">
        <v>19.0</v>
      </c>
      <c r="N544" s="91"/>
      <c r="O544" s="105">
        <v>18157.894736842107</v>
      </c>
      <c r="P544" s="101"/>
      <c r="Q544" s="104" t="s">
        <v>2924</v>
      </c>
      <c r="S544" s="101"/>
      <c r="T544" s="101"/>
      <c r="U544" s="101"/>
      <c r="V544" s="101"/>
    </row>
    <row r="545">
      <c r="A545" s="91"/>
      <c r="B545" s="104" t="s">
        <v>2925</v>
      </c>
      <c r="C545" s="104" t="s">
        <v>2926</v>
      </c>
      <c r="D545" s="91"/>
      <c r="E545" s="104" t="s">
        <v>2927</v>
      </c>
      <c r="F545" s="91"/>
      <c r="G545" s="104" t="s">
        <v>2928</v>
      </c>
      <c r="H545" s="91"/>
      <c r="I545" s="101"/>
      <c r="J545" s="91"/>
      <c r="K545" s="105">
        <v>0.0</v>
      </c>
      <c r="L545" s="91"/>
      <c r="M545" s="105">
        <v>500.0</v>
      </c>
      <c r="N545" s="91"/>
      <c r="O545" s="105">
        <v>13.45</v>
      </c>
      <c r="P545" s="101"/>
      <c r="Q545" s="104" t="s">
        <v>2929</v>
      </c>
      <c r="S545" s="101"/>
      <c r="T545" s="101"/>
      <c r="U545" s="101"/>
      <c r="V545" s="101"/>
    </row>
    <row r="546">
      <c r="A546" s="91"/>
      <c r="B546" s="104" t="s">
        <v>2930</v>
      </c>
      <c r="C546" s="104" t="s">
        <v>2931</v>
      </c>
      <c r="D546" s="91"/>
      <c r="E546" s="104" t="s">
        <v>2932</v>
      </c>
      <c r="F546" s="91"/>
      <c r="G546" s="104" t="s">
        <v>2933</v>
      </c>
      <c r="H546" s="91"/>
      <c r="I546" s="101"/>
      <c r="J546" s="91"/>
      <c r="K546" s="105">
        <v>0.0</v>
      </c>
      <c r="L546" s="91"/>
      <c r="M546" s="105">
        <v>1000.0</v>
      </c>
      <c r="N546" s="91"/>
      <c r="O546" s="105">
        <v>11.2</v>
      </c>
      <c r="P546" s="101"/>
      <c r="Q546" s="104" t="s">
        <v>2934</v>
      </c>
      <c r="S546" s="101"/>
      <c r="T546" s="101"/>
      <c r="U546" s="101"/>
      <c r="V546" s="101"/>
    </row>
    <row r="547">
      <c r="A547" s="91"/>
      <c r="B547" s="104" t="s">
        <v>2935</v>
      </c>
      <c r="C547" s="104" t="s">
        <v>2936</v>
      </c>
      <c r="D547" s="91"/>
      <c r="E547" s="104" t="s">
        <v>2937</v>
      </c>
      <c r="F547" s="91"/>
      <c r="G547" s="104" t="s">
        <v>2938</v>
      </c>
      <c r="H547" s="91"/>
      <c r="I547" s="101"/>
      <c r="J547" s="91"/>
      <c r="K547" s="105">
        <v>0.0</v>
      </c>
      <c r="L547" s="91"/>
      <c r="M547" s="105">
        <v>1000.0</v>
      </c>
      <c r="N547" s="91"/>
      <c r="O547" s="105">
        <v>10.91</v>
      </c>
      <c r="P547" s="101"/>
      <c r="Q547" s="104" t="s">
        <v>2939</v>
      </c>
      <c r="S547" s="101"/>
      <c r="T547" s="101"/>
      <c r="U547" s="101"/>
      <c r="V547" s="101"/>
    </row>
    <row r="548">
      <c r="A548" s="91"/>
      <c r="B548" s="104" t="s">
        <v>2940</v>
      </c>
      <c r="C548" s="104" t="s">
        <v>2941</v>
      </c>
      <c r="D548" s="91"/>
      <c r="E548" s="104" t="s">
        <v>2942</v>
      </c>
      <c r="F548" s="91"/>
      <c r="G548" s="104" t="s">
        <v>2943</v>
      </c>
      <c r="H548" s="91"/>
      <c r="I548" s="101"/>
      <c r="J548" s="91"/>
      <c r="K548" s="105">
        <v>0.0</v>
      </c>
      <c r="L548" s="91"/>
      <c r="M548" s="105">
        <v>305.0</v>
      </c>
      <c r="N548" s="91"/>
      <c r="O548" s="105">
        <v>4880.327868852459</v>
      </c>
      <c r="P548" s="101"/>
      <c r="Q548" s="104" t="s">
        <v>2944</v>
      </c>
      <c r="S548" s="101"/>
      <c r="T548" s="101"/>
      <c r="U548" s="101"/>
      <c r="V548" s="101"/>
    </row>
    <row r="549">
      <c r="A549" s="91"/>
      <c r="B549" s="104" t="s">
        <v>2945</v>
      </c>
      <c r="C549" s="104" t="s">
        <v>2946</v>
      </c>
      <c r="D549" s="91"/>
      <c r="E549" s="104" t="s">
        <v>2947</v>
      </c>
      <c r="F549" s="91"/>
      <c r="G549" s="104" t="s">
        <v>2948</v>
      </c>
      <c r="H549" s="91"/>
      <c r="I549" s="101"/>
      <c r="J549" s="91"/>
      <c r="K549" s="105">
        <v>0.0</v>
      </c>
      <c r="L549" s="91"/>
      <c r="M549" s="105">
        <v>164.0</v>
      </c>
      <c r="N549" s="91"/>
      <c r="O549" s="105">
        <v>2512.265853658537</v>
      </c>
      <c r="P549" s="101"/>
      <c r="Q549" s="104" t="s">
        <v>2949</v>
      </c>
      <c r="S549" s="101"/>
      <c r="T549" s="101"/>
      <c r="U549" s="101"/>
      <c r="V549" s="101"/>
    </row>
    <row r="550">
      <c r="A550" s="91"/>
      <c r="B550" s="104" t="s">
        <v>2950</v>
      </c>
      <c r="C550" s="104" t="s">
        <v>2951</v>
      </c>
      <c r="D550" s="91"/>
      <c r="E550" s="104" t="s">
        <v>2952</v>
      </c>
      <c r="F550" s="91"/>
      <c r="G550" s="104" t="s">
        <v>2953</v>
      </c>
      <c r="H550" s="91"/>
      <c r="I550" s="91"/>
      <c r="J550" s="91"/>
      <c r="K550" s="105">
        <v>0.0</v>
      </c>
      <c r="L550" s="91"/>
      <c r="M550" s="105">
        <v>6.0</v>
      </c>
      <c r="N550" s="91"/>
      <c r="O550" s="105">
        <v>18000.0</v>
      </c>
      <c r="P550" s="91"/>
      <c r="Q550" s="104" t="s">
        <v>2954</v>
      </c>
      <c r="S550" s="91"/>
      <c r="T550" s="91"/>
      <c r="U550" s="91"/>
      <c r="V550" s="91"/>
    </row>
    <row r="551">
      <c r="A551" s="91"/>
      <c r="B551" s="104" t="s">
        <v>2955</v>
      </c>
      <c r="C551" s="104" t="s">
        <v>2956</v>
      </c>
      <c r="D551" s="91"/>
      <c r="E551" s="104" t="s">
        <v>2957</v>
      </c>
      <c r="F551" s="91"/>
      <c r="G551" s="104" t="s">
        <v>2958</v>
      </c>
      <c r="H551" s="91"/>
      <c r="I551" s="91"/>
      <c r="J551" s="91"/>
      <c r="K551" s="105">
        <v>0.0</v>
      </c>
      <c r="L551" s="91"/>
      <c r="M551" s="105">
        <v>14.0</v>
      </c>
      <c r="N551" s="91"/>
      <c r="O551" s="105">
        <v>0.0</v>
      </c>
      <c r="P551" s="91"/>
      <c r="Q551" s="104" t="s">
        <v>2959</v>
      </c>
      <c r="S551" s="91"/>
      <c r="T551" s="91"/>
      <c r="U551" s="91"/>
      <c r="V551" s="91"/>
    </row>
    <row r="552">
      <c r="A552" s="91"/>
      <c r="B552" s="104" t="s">
        <v>2960</v>
      </c>
      <c r="C552" s="104" t="s">
        <v>2961</v>
      </c>
      <c r="D552" s="91"/>
      <c r="E552" s="104" t="s">
        <v>2962</v>
      </c>
      <c r="F552" s="91"/>
      <c r="G552" s="104" t="s">
        <v>2963</v>
      </c>
      <c r="H552" s="91"/>
      <c r="I552" s="91"/>
      <c r="J552" s="91"/>
      <c r="K552" s="105">
        <v>0.0</v>
      </c>
      <c r="L552" s="91"/>
      <c r="M552" s="105">
        <v>38.0</v>
      </c>
      <c r="N552" s="91"/>
      <c r="O552" s="105">
        <v>3000.0</v>
      </c>
      <c r="P552" s="91"/>
      <c r="Q552" s="104" t="s">
        <v>2964</v>
      </c>
      <c r="S552" s="91"/>
      <c r="T552" s="91"/>
      <c r="U552" s="91"/>
      <c r="V552" s="91"/>
    </row>
    <row r="553">
      <c r="A553" s="91"/>
      <c r="B553" s="104" t="s">
        <v>2965</v>
      </c>
      <c r="C553" s="104" t="s">
        <v>2966</v>
      </c>
      <c r="D553" s="91"/>
      <c r="E553" s="104" t="s">
        <v>2967</v>
      </c>
      <c r="F553" s="91"/>
      <c r="G553" s="104" t="s">
        <v>2968</v>
      </c>
      <c r="H553" s="91"/>
      <c r="I553" s="91"/>
      <c r="J553" s="91"/>
      <c r="K553" s="105">
        <v>0.0</v>
      </c>
      <c r="L553" s="91"/>
      <c r="M553" s="105">
        <v>25.0</v>
      </c>
      <c r="N553" s="91"/>
      <c r="O553" s="105">
        <v>18000.0</v>
      </c>
      <c r="P553" s="91"/>
      <c r="Q553" s="104" t="s">
        <v>2969</v>
      </c>
      <c r="S553" s="91"/>
      <c r="T553" s="91"/>
      <c r="U553" s="91"/>
      <c r="V553" s="91"/>
    </row>
    <row r="554">
      <c r="A554" s="91"/>
      <c r="B554" s="104" t="s">
        <v>2970</v>
      </c>
      <c r="C554" s="104" t="s">
        <v>2971</v>
      </c>
      <c r="D554" s="91"/>
      <c r="E554" s="104" t="s">
        <v>2972</v>
      </c>
      <c r="F554" s="91"/>
      <c r="G554" s="104" t="s">
        <v>2973</v>
      </c>
      <c r="H554" s="91"/>
      <c r="I554" s="91"/>
      <c r="J554" s="91"/>
      <c r="K554" s="105">
        <v>0.0</v>
      </c>
      <c r="L554" s="91"/>
      <c r="M554" s="105">
        <v>17.0</v>
      </c>
      <c r="N554" s="91"/>
      <c r="O554" s="105">
        <v>23000.0</v>
      </c>
      <c r="P554" s="91"/>
      <c r="Q554" s="104" t="s">
        <v>2974</v>
      </c>
      <c r="S554" s="91"/>
      <c r="T554" s="91"/>
      <c r="U554" s="91"/>
      <c r="V554" s="91"/>
    </row>
    <row r="555">
      <c r="A555" s="91"/>
      <c r="B555" s="104" t="s">
        <v>2975</v>
      </c>
      <c r="C555" s="104" t="s">
        <v>2976</v>
      </c>
      <c r="D555" s="91"/>
      <c r="E555" s="104" t="s">
        <v>2977</v>
      </c>
      <c r="F555" s="91"/>
      <c r="G555" s="104" t="s">
        <v>2978</v>
      </c>
      <c r="H555" s="91"/>
      <c r="I555" s="91"/>
      <c r="J555" s="91"/>
      <c r="K555" s="105">
        <v>0.0</v>
      </c>
      <c r="L555" s="91"/>
      <c r="M555" s="105">
        <v>6.0</v>
      </c>
      <c r="N555" s="91"/>
      <c r="O555" s="105">
        <v>15000.0</v>
      </c>
      <c r="P555" s="91"/>
      <c r="Q555" s="104" t="s">
        <v>2980</v>
      </c>
      <c r="S555" s="91"/>
      <c r="T555" s="91"/>
      <c r="U555" s="91"/>
      <c r="V555" s="91"/>
    </row>
    <row r="556">
      <c r="A556" s="91"/>
      <c r="B556" s="104" t="s">
        <v>2981</v>
      </c>
      <c r="C556" s="104" t="s">
        <v>2982</v>
      </c>
      <c r="D556" s="91"/>
      <c r="E556" s="104" t="s">
        <v>2983</v>
      </c>
      <c r="F556" s="91"/>
      <c r="G556" s="104" t="s">
        <v>2984</v>
      </c>
      <c r="H556" s="91"/>
      <c r="I556" s="91"/>
      <c r="J556" s="91"/>
      <c r="K556" s="105">
        <v>0.0</v>
      </c>
      <c r="L556" s="91"/>
      <c r="M556" s="105">
        <v>4176.0</v>
      </c>
      <c r="N556" s="91"/>
      <c r="O556" s="105">
        <v>18.19204969947318</v>
      </c>
      <c r="P556" s="91"/>
      <c r="Q556" s="104" t="s">
        <v>2985</v>
      </c>
      <c r="S556" s="91"/>
      <c r="T556" s="91"/>
      <c r="U556" s="91"/>
      <c r="V556" s="91"/>
    </row>
    <row r="557">
      <c r="A557" s="91"/>
      <c r="B557" s="104" t="s">
        <v>2986</v>
      </c>
      <c r="C557" s="104" t="s">
        <v>2987</v>
      </c>
      <c r="D557" s="91"/>
      <c r="E557" s="104" t="s">
        <v>2988</v>
      </c>
      <c r="F557" s="91"/>
      <c r="G557" s="104" t="s">
        <v>2989</v>
      </c>
      <c r="H557" s="91"/>
      <c r="I557" s="91"/>
      <c r="J557" s="91"/>
      <c r="K557" s="105">
        <v>0.0</v>
      </c>
      <c r="L557" s="91"/>
      <c r="M557" s="105">
        <v>5503.0</v>
      </c>
      <c r="N557" s="91"/>
      <c r="O557" s="105">
        <v>37.1470125386153</v>
      </c>
      <c r="P557" s="91"/>
      <c r="Q557" s="104" t="s">
        <v>2990</v>
      </c>
      <c r="S557" s="91"/>
      <c r="T557" s="91"/>
      <c r="U557" s="91"/>
      <c r="V557" s="91"/>
    </row>
    <row r="558">
      <c r="A558" s="100" t="s">
        <v>2991</v>
      </c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</row>
    <row r="559">
      <c r="A559" s="91"/>
      <c r="B559" s="104" t="s">
        <v>2992</v>
      </c>
      <c r="C559" s="104" t="s">
        <v>2993</v>
      </c>
      <c r="D559" s="91"/>
      <c r="E559" s="104" t="s">
        <v>2994</v>
      </c>
      <c r="F559" s="91"/>
      <c r="G559" s="104" t="s">
        <v>2995</v>
      </c>
      <c r="H559" s="91"/>
      <c r="I559" s="91"/>
      <c r="J559" s="91"/>
      <c r="K559" s="105">
        <v>31900.0</v>
      </c>
      <c r="L559" s="91"/>
      <c r="M559" s="105">
        <v>0.0</v>
      </c>
      <c r="N559" s="91"/>
      <c r="O559" s="105">
        <v>0.0</v>
      </c>
      <c r="P559" s="91"/>
      <c r="Q559" s="104" t="s">
        <v>2996</v>
      </c>
      <c r="S559" s="91"/>
      <c r="T559" s="91"/>
      <c r="U559" s="91"/>
      <c r="V559" s="91"/>
    </row>
    <row r="560">
      <c r="A560" s="91"/>
      <c r="B560" s="104" t="s">
        <v>2997</v>
      </c>
      <c r="C560" s="104" t="s">
        <v>2998</v>
      </c>
      <c r="D560" s="91"/>
      <c r="E560" s="104" t="s">
        <v>2999</v>
      </c>
      <c r="F560" s="91"/>
      <c r="G560" s="104" t="s">
        <v>3000</v>
      </c>
      <c r="H560" s="91"/>
      <c r="I560" s="101"/>
      <c r="J560" s="91"/>
      <c r="K560" s="105">
        <v>10000.0</v>
      </c>
      <c r="L560" s="91"/>
      <c r="M560" s="105">
        <v>0.0</v>
      </c>
      <c r="N560" s="91"/>
      <c r="O560" s="105">
        <v>0.0</v>
      </c>
      <c r="P560" s="101"/>
      <c r="Q560" s="104" t="s">
        <v>3002</v>
      </c>
      <c r="S560" s="101"/>
      <c r="T560" s="101"/>
      <c r="U560" s="101"/>
      <c r="V560" s="101"/>
    </row>
    <row r="561">
      <c r="A561" s="91"/>
      <c r="B561" s="104" t="s">
        <v>3003</v>
      </c>
      <c r="C561" s="104" t="s">
        <v>3004</v>
      </c>
      <c r="D561" s="91"/>
      <c r="E561" s="104" t="s">
        <v>3005</v>
      </c>
      <c r="F561" s="91"/>
      <c r="G561" s="104" t="s">
        <v>3006</v>
      </c>
      <c r="H561" s="91"/>
      <c r="I561" s="101"/>
      <c r="J561" s="91"/>
      <c r="K561" s="146">
        <v>25900.0</v>
      </c>
      <c r="L561" s="91"/>
      <c r="M561" s="105">
        <v>0.0</v>
      </c>
      <c r="N561" s="91"/>
      <c r="O561" s="105">
        <v>0.0</v>
      </c>
      <c r="P561" s="101"/>
      <c r="Q561" s="104" t="s">
        <v>3007</v>
      </c>
      <c r="S561" s="101"/>
      <c r="T561" s="101"/>
      <c r="U561" s="101"/>
      <c r="V561" s="101"/>
    </row>
    <row r="562">
      <c r="A562" s="91"/>
      <c r="B562" s="104" t="s">
        <v>3009</v>
      </c>
      <c r="C562" s="104" t="s">
        <v>3010</v>
      </c>
      <c r="D562" s="91"/>
      <c r="E562" s="104" t="s">
        <v>3011</v>
      </c>
      <c r="F562" s="91"/>
      <c r="G562" s="104" t="s">
        <v>3012</v>
      </c>
      <c r="H562" s="91"/>
      <c r="I562" s="101"/>
      <c r="J562" s="91"/>
      <c r="K562" s="146">
        <v>25900.0</v>
      </c>
      <c r="L562" s="91"/>
      <c r="M562" s="105">
        <v>0.0</v>
      </c>
      <c r="N562" s="91"/>
      <c r="O562" s="105">
        <v>0.0</v>
      </c>
      <c r="P562" s="101"/>
      <c r="Q562" s="104" t="s">
        <v>3013</v>
      </c>
      <c r="S562" s="101"/>
      <c r="T562" s="101"/>
      <c r="U562" s="101"/>
      <c r="V562" s="101"/>
    </row>
    <row r="563">
      <c r="A563" s="91"/>
      <c r="B563" s="104" t="s">
        <v>3014</v>
      </c>
      <c r="C563" s="104" t="s">
        <v>3015</v>
      </c>
      <c r="D563" s="91"/>
      <c r="E563" s="104" t="s">
        <v>3016</v>
      </c>
      <c r="F563" s="91"/>
      <c r="G563" s="104" t="s">
        <v>3017</v>
      </c>
      <c r="H563" s="91"/>
      <c r="I563" s="101"/>
      <c r="J563" s="91"/>
      <c r="K563" s="146">
        <v>25900.0</v>
      </c>
      <c r="L563" s="91"/>
      <c r="M563" s="105">
        <v>0.0</v>
      </c>
      <c r="N563" s="91"/>
      <c r="O563" s="105">
        <v>0.0</v>
      </c>
      <c r="P563" s="101"/>
      <c r="Q563" s="104" t="s">
        <v>3018</v>
      </c>
      <c r="S563" s="101"/>
      <c r="T563" s="101"/>
      <c r="U563" s="101"/>
      <c r="V563" s="101"/>
    </row>
    <row r="564">
      <c r="A564" s="91"/>
      <c r="B564" s="104" t="s">
        <v>3019</v>
      </c>
      <c r="C564" s="104" t="s">
        <v>3020</v>
      </c>
      <c r="D564" s="91"/>
      <c r="E564" s="104" t="s">
        <v>3021</v>
      </c>
      <c r="F564" s="91"/>
      <c r="G564" s="104" t="s">
        <v>3022</v>
      </c>
      <c r="H564" s="91"/>
      <c r="I564" s="101"/>
      <c r="J564" s="91"/>
      <c r="K564" s="146">
        <v>25900.0</v>
      </c>
      <c r="L564" s="91"/>
      <c r="M564" s="105">
        <v>0.0</v>
      </c>
      <c r="N564" s="91"/>
      <c r="O564" s="105">
        <v>0.0</v>
      </c>
      <c r="P564" s="101"/>
      <c r="Q564" s="104" t="s">
        <v>3023</v>
      </c>
      <c r="S564" s="101"/>
      <c r="T564" s="101"/>
      <c r="U564" s="101"/>
      <c r="V564" s="101"/>
    </row>
    <row r="565">
      <c r="A565" s="91"/>
      <c r="B565" s="104" t="s">
        <v>3024</v>
      </c>
      <c r="C565" s="104" t="s">
        <v>3025</v>
      </c>
      <c r="D565" s="91"/>
      <c r="E565" s="104" t="s">
        <v>3026</v>
      </c>
      <c r="F565" s="91"/>
      <c r="G565" s="104" t="s">
        <v>3027</v>
      </c>
      <c r="H565" s="91"/>
      <c r="I565" s="101"/>
      <c r="J565" s="91"/>
      <c r="K565" s="146">
        <v>25900.0</v>
      </c>
      <c r="L565" s="91"/>
      <c r="M565" s="105">
        <v>0.0</v>
      </c>
      <c r="N565" s="91"/>
      <c r="O565" s="105">
        <v>0.0</v>
      </c>
      <c r="P565" s="101"/>
      <c r="Q565" s="104" t="s">
        <v>3028</v>
      </c>
      <c r="S565" s="101"/>
      <c r="T565" s="101"/>
      <c r="U565" s="101"/>
      <c r="V565" s="101"/>
    </row>
    <row r="566">
      <c r="A566" s="91"/>
      <c r="B566" s="104" t="s">
        <v>3029</v>
      </c>
      <c r="C566" s="104" t="s">
        <v>3030</v>
      </c>
      <c r="D566" s="91"/>
      <c r="E566" s="104" t="s">
        <v>3031</v>
      </c>
      <c r="F566" s="91"/>
      <c r="G566" s="104" t="s">
        <v>3032</v>
      </c>
      <c r="H566" s="91"/>
      <c r="I566" s="101"/>
      <c r="J566" s="91"/>
      <c r="K566" s="146">
        <v>25900.0</v>
      </c>
      <c r="L566" s="91"/>
      <c r="M566" s="105">
        <v>0.0</v>
      </c>
      <c r="N566" s="91"/>
      <c r="O566" s="105">
        <v>0.0</v>
      </c>
      <c r="P566" s="101"/>
      <c r="Q566" s="104" t="s">
        <v>3033</v>
      </c>
      <c r="S566" s="101"/>
      <c r="T566" s="101"/>
      <c r="U566" s="101"/>
      <c r="V566" s="101"/>
    </row>
    <row r="567">
      <c r="A567" s="91"/>
      <c r="B567" s="104" t="s">
        <v>3034</v>
      </c>
      <c r="C567" s="104" t="s">
        <v>3035</v>
      </c>
      <c r="D567" s="91"/>
      <c r="E567" s="104" t="s">
        <v>3037</v>
      </c>
      <c r="F567" s="91"/>
      <c r="G567" s="104" t="s">
        <v>3039</v>
      </c>
      <c r="H567" s="91"/>
      <c r="I567" s="101"/>
      <c r="J567" s="91"/>
      <c r="K567" s="146">
        <v>32900.0</v>
      </c>
      <c r="L567" s="91"/>
      <c r="M567" s="105">
        <v>0.0</v>
      </c>
      <c r="N567" s="91"/>
      <c r="O567" s="105">
        <v>0.0</v>
      </c>
      <c r="P567" s="101"/>
      <c r="Q567" s="104" t="s">
        <v>3040</v>
      </c>
      <c r="S567" s="101"/>
      <c r="T567" s="101"/>
      <c r="U567" s="101"/>
      <c r="V567" s="101"/>
    </row>
    <row r="568">
      <c r="A568" s="91"/>
      <c r="B568" s="104" t="s">
        <v>3041</v>
      </c>
      <c r="C568" s="104" t="s">
        <v>3042</v>
      </c>
      <c r="D568" s="91"/>
      <c r="E568" s="104" t="s">
        <v>3043</v>
      </c>
      <c r="F568" s="91"/>
      <c r="G568" s="104" t="s">
        <v>3044</v>
      </c>
      <c r="H568" s="91"/>
      <c r="I568" s="101"/>
      <c r="J568" s="91"/>
      <c r="K568" s="146">
        <v>25900.0</v>
      </c>
      <c r="L568" s="91"/>
      <c r="M568" s="105">
        <v>0.0</v>
      </c>
      <c r="N568" s="91"/>
      <c r="O568" s="105">
        <v>0.0</v>
      </c>
      <c r="P568" s="101"/>
      <c r="Q568" s="104" t="s">
        <v>3045</v>
      </c>
      <c r="S568" s="101"/>
      <c r="T568" s="101"/>
      <c r="U568" s="101"/>
      <c r="V568" s="101"/>
    </row>
    <row r="569">
      <c r="A569" s="91"/>
      <c r="B569" s="104" t="s">
        <v>3046</v>
      </c>
      <c r="C569" s="115" t="s">
        <v>3047</v>
      </c>
      <c r="D569" s="91"/>
      <c r="E569" s="104" t="s">
        <v>3048</v>
      </c>
      <c r="F569" s="91"/>
      <c r="G569" s="104" t="s">
        <v>3049</v>
      </c>
      <c r="H569" s="91"/>
      <c r="I569" s="101"/>
      <c r="J569" s="91"/>
      <c r="K569" s="105">
        <v>9900.0</v>
      </c>
      <c r="L569" s="91"/>
      <c r="M569" s="105">
        <v>0.0</v>
      </c>
      <c r="N569" s="91"/>
      <c r="O569" s="105">
        <v>0.0</v>
      </c>
      <c r="P569" s="101"/>
      <c r="Q569" s="104" t="s">
        <v>3050</v>
      </c>
      <c r="S569" s="101"/>
      <c r="T569" s="101"/>
      <c r="U569" s="101"/>
      <c r="V569" s="101"/>
    </row>
    <row r="570">
      <c r="A570" s="91"/>
      <c r="B570" s="104" t="s">
        <v>3051</v>
      </c>
      <c r="C570" s="104" t="s">
        <v>3052</v>
      </c>
      <c r="D570" s="91"/>
      <c r="E570" s="104" t="s">
        <v>3053</v>
      </c>
      <c r="F570" s="91"/>
      <c r="G570" s="104" t="s">
        <v>3054</v>
      </c>
      <c r="H570" s="91"/>
      <c r="I570" s="101"/>
      <c r="J570" s="91"/>
      <c r="K570" s="146">
        <v>32900.0</v>
      </c>
      <c r="L570" s="91"/>
      <c r="M570" s="105">
        <v>0.0</v>
      </c>
      <c r="N570" s="91"/>
      <c r="O570" s="105">
        <v>0.0</v>
      </c>
      <c r="P570" s="101"/>
      <c r="Q570" s="104" t="s">
        <v>3055</v>
      </c>
      <c r="S570" s="101"/>
      <c r="T570" s="101"/>
      <c r="U570" s="101"/>
      <c r="V570" s="101"/>
    </row>
    <row r="571">
      <c r="A571" s="91"/>
      <c r="B571" s="104" t="s">
        <v>3056</v>
      </c>
      <c r="C571" s="104" t="s">
        <v>3057</v>
      </c>
      <c r="D571" s="91"/>
      <c r="E571" s="104" t="s">
        <v>3058</v>
      </c>
      <c r="F571" s="91"/>
      <c r="G571" s="104" t="s">
        <v>3059</v>
      </c>
      <c r="H571" s="91"/>
      <c r="I571" s="101"/>
      <c r="J571" s="91"/>
      <c r="K571" s="146">
        <v>25900.0</v>
      </c>
      <c r="L571" s="91"/>
      <c r="M571" s="105">
        <v>0.0</v>
      </c>
      <c r="N571" s="91"/>
      <c r="O571" s="105">
        <v>0.0</v>
      </c>
      <c r="P571" s="101"/>
      <c r="Q571" s="104" t="s">
        <v>3060</v>
      </c>
      <c r="S571" s="101"/>
      <c r="T571" s="101"/>
      <c r="U571" s="101"/>
      <c r="V571" s="101"/>
    </row>
    <row r="572">
      <c r="A572" s="91"/>
      <c r="B572" s="104" t="s">
        <v>3061</v>
      </c>
      <c r="C572" s="104" t="s">
        <v>3062</v>
      </c>
      <c r="D572" s="91"/>
      <c r="E572" s="104" t="s">
        <v>3063</v>
      </c>
      <c r="F572" s="91"/>
      <c r="G572" s="104" t="s">
        <v>3064</v>
      </c>
      <c r="H572" s="91"/>
      <c r="I572" s="101"/>
      <c r="J572" s="91"/>
      <c r="K572" s="105">
        <v>9900.0</v>
      </c>
      <c r="L572" s="91"/>
      <c r="M572" s="105">
        <v>0.0</v>
      </c>
      <c r="N572" s="91"/>
      <c r="O572" s="105">
        <v>0.0</v>
      </c>
      <c r="P572" s="101"/>
      <c r="Q572" s="104" t="s">
        <v>3065</v>
      </c>
      <c r="S572" s="101"/>
      <c r="T572" s="101"/>
      <c r="U572" s="101"/>
      <c r="V572" s="101"/>
    </row>
    <row r="573">
      <c r="A573" s="100" t="s">
        <v>3066</v>
      </c>
      <c r="C573" s="91"/>
      <c r="D573" s="91"/>
      <c r="E573" s="91"/>
      <c r="F573" s="91"/>
      <c r="G573" s="91"/>
      <c r="H573" s="91"/>
      <c r="I573" s="101"/>
      <c r="J573" s="91"/>
      <c r="K573" s="101"/>
      <c r="L573" s="91"/>
      <c r="M573" s="101"/>
      <c r="N573" s="91"/>
      <c r="O573" s="101"/>
      <c r="P573" s="101"/>
      <c r="Q573" s="91"/>
      <c r="R573" s="101"/>
      <c r="S573" s="101"/>
      <c r="T573" s="101"/>
      <c r="U573" s="101"/>
      <c r="V573" s="101"/>
    </row>
    <row r="574">
      <c r="A574" s="91"/>
      <c r="B574" s="104" t="s">
        <v>3067</v>
      </c>
      <c r="C574" s="104" t="s">
        <v>3068</v>
      </c>
      <c r="D574" s="91"/>
      <c r="E574" s="104" t="s">
        <v>3069</v>
      </c>
      <c r="F574" s="91"/>
      <c r="G574" s="104" t="s">
        <v>3070</v>
      </c>
      <c r="H574" s="91"/>
      <c r="I574" s="101"/>
      <c r="J574" s="91"/>
      <c r="K574" s="105">
        <v>10990.0</v>
      </c>
      <c r="L574" s="91"/>
      <c r="M574" s="105">
        <v>0.0</v>
      </c>
      <c r="N574" s="91"/>
      <c r="O574" s="105">
        <v>0.0</v>
      </c>
      <c r="P574" s="101"/>
      <c r="Q574" s="104" t="s">
        <v>3071</v>
      </c>
      <c r="S574" s="101"/>
      <c r="T574" s="101"/>
      <c r="U574" s="101"/>
      <c r="V574" s="101"/>
    </row>
    <row r="575">
      <c r="A575" s="91"/>
      <c r="B575" s="104" t="s">
        <v>3072</v>
      </c>
      <c r="C575" s="104" t="s">
        <v>3073</v>
      </c>
      <c r="D575" s="91"/>
      <c r="E575" s="104" t="s">
        <v>3074</v>
      </c>
      <c r="F575" s="91"/>
      <c r="G575" s="104" t="s">
        <v>3075</v>
      </c>
      <c r="H575" s="91"/>
      <c r="I575" s="91"/>
      <c r="J575" s="91"/>
      <c r="K575" s="105">
        <v>12900.0</v>
      </c>
      <c r="L575" s="91"/>
      <c r="M575" s="105">
        <v>0.0</v>
      </c>
      <c r="N575" s="91"/>
      <c r="O575" s="105">
        <v>0.0</v>
      </c>
      <c r="P575" s="101"/>
      <c r="Q575" s="104" t="s">
        <v>3076</v>
      </c>
      <c r="S575" s="101"/>
      <c r="T575" s="101"/>
      <c r="U575" s="101"/>
      <c r="V575" s="101"/>
    </row>
    <row r="576">
      <c r="A576" s="91"/>
      <c r="B576" s="104" t="s">
        <v>3077</v>
      </c>
      <c r="C576" s="104" t="s">
        <v>3078</v>
      </c>
      <c r="D576" s="91"/>
      <c r="E576" s="104" t="s">
        <v>3079</v>
      </c>
      <c r="F576" s="91"/>
      <c r="G576" s="104" t="s">
        <v>3080</v>
      </c>
      <c r="H576" s="91"/>
      <c r="I576" s="101"/>
      <c r="J576" s="91"/>
      <c r="K576" s="105">
        <v>11700.0</v>
      </c>
      <c r="L576" s="91"/>
      <c r="M576" s="105">
        <v>0.0</v>
      </c>
      <c r="N576" s="91"/>
      <c r="O576" s="105">
        <v>0.0</v>
      </c>
      <c r="P576" s="101"/>
      <c r="Q576" s="104" t="s">
        <v>3081</v>
      </c>
      <c r="S576" s="101"/>
      <c r="T576" s="101"/>
      <c r="U576" s="101"/>
      <c r="V576" s="101"/>
    </row>
    <row r="577">
      <c r="A577" s="91"/>
      <c r="B577" s="104" t="s">
        <v>3082</v>
      </c>
      <c r="C577" s="104" t="s">
        <v>3083</v>
      </c>
      <c r="D577" s="91"/>
      <c r="E577" s="104" t="s">
        <v>3084</v>
      </c>
      <c r="F577" s="91"/>
      <c r="G577" s="104" t="s">
        <v>3085</v>
      </c>
      <c r="H577" s="91"/>
      <c r="I577" s="101"/>
      <c r="J577" s="91"/>
      <c r="K577" s="105">
        <v>12900.0</v>
      </c>
      <c r="L577" s="91"/>
      <c r="M577" s="105">
        <v>0.0</v>
      </c>
      <c r="N577" s="91"/>
      <c r="O577" s="105">
        <v>0.0</v>
      </c>
      <c r="P577" s="101"/>
      <c r="Q577" s="104" t="s">
        <v>3086</v>
      </c>
      <c r="S577" s="101"/>
      <c r="T577" s="101"/>
      <c r="U577" s="101"/>
      <c r="V577" s="101"/>
    </row>
    <row r="578">
      <c r="A578" s="91"/>
      <c r="B578" s="104" t="s">
        <v>3087</v>
      </c>
      <c r="C578" s="104" t="s">
        <v>3088</v>
      </c>
      <c r="D578" s="91"/>
      <c r="E578" s="104" t="s">
        <v>3089</v>
      </c>
      <c r="F578" s="91"/>
      <c r="G578" s="104" t="s">
        <v>3090</v>
      </c>
      <c r="H578" s="91"/>
      <c r="I578" s="101"/>
      <c r="J578" s="91"/>
      <c r="K578" s="105">
        <v>10990.0</v>
      </c>
      <c r="L578" s="91"/>
      <c r="M578" s="105">
        <v>0.0</v>
      </c>
      <c r="N578" s="91"/>
      <c r="O578" s="105">
        <v>0.0</v>
      </c>
      <c r="P578" s="101"/>
      <c r="Q578" s="104" t="s">
        <v>3091</v>
      </c>
      <c r="S578" s="101"/>
      <c r="T578" s="101"/>
      <c r="U578" s="101"/>
      <c r="V578" s="101"/>
    </row>
    <row r="579">
      <c r="A579" s="91"/>
      <c r="B579" s="104" t="s">
        <v>3092</v>
      </c>
      <c r="C579" s="104" t="s">
        <v>3093</v>
      </c>
      <c r="D579" s="91"/>
      <c r="E579" s="104" t="s">
        <v>3094</v>
      </c>
      <c r="F579" s="91"/>
      <c r="G579" s="104" t="s">
        <v>3095</v>
      </c>
      <c r="H579" s="91"/>
      <c r="I579" s="101"/>
      <c r="J579" s="91"/>
      <c r="K579" s="105">
        <v>12800.0</v>
      </c>
      <c r="L579" s="91"/>
      <c r="M579" s="105">
        <v>0.0</v>
      </c>
      <c r="N579" s="91"/>
      <c r="O579" s="105">
        <v>0.0</v>
      </c>
      <c r="P579" s="101"/>
      <c r="Q579" s="104" t="s">
        <v>3096</v>
      </c>
      <c r="S579" s="101"/>
      <c r="T579" s="101"/>
      <c r="U579" s="101"/>
      <c r="V579" s="101"/>
    </row>
    <row r="580">
      <c r="A580" s="91"/>
      <c r="B580" s="104" t="s">
        <v>3097</v>
      </c>
      <c r="C580" s="104" t="s">
        <v>3098</v>
      </c>
      <c r="D580" s="91"/>
      <c r="E580" s="104" t="s">
        <v>3099</v>
      </c>
      <c r="F580" s="91"/>
      <c r="G580" s="104" t="s">
        <v>3100</v>
      </c>
      <c r="H580" s="91"/>
      <c r="I580" s="101"/>
      <c r="J580" s="91"/>
      <c r="K580" s="105">
        <v>12900.0</v>
      </c>
      <c r="L580" s="91"/>
      <c r="M580" s="105">
        <v>0.0</v>
      </c>
      <c r="N580" s="91"/>
      <c r="O580" s="105">
        <v>0.0</v>
      </c>
      <c r="P580" s="101"/>
      <c r="Q580" s="104" t="s">
        <v>3101</v>
      </c>
      <c r="S580" s="101"/>
      <c r="T580" s="101"/>
      <c r="U580" s="101"/>
      <c r="V580" s="101"/>
    </row>
    <row r="581">
      <c r="A581" s="91"/>
      <c r="B581" s="104" t="s">
        <v>3102</v>
      </c>
      <c r="C581" s="104" t="s">
        <v>3103</v>
      </c>
      <c r="D581" s="91"/>
      <c r="E581" s="104" t="s">
        <v>3104</v>
      </c>
      <c r="F581" s="91"/>
      <c r="G581" s="104" t="s">
        <v>3105</v>
      </c>
      <c r="H581" s="91"/>
      <c r="I581" s="101"/>
      <c r="J581" s="91"/>
      <c r="K581" s="105">
        <v>14600.0</v>
      </c>
      <c r="L581" s="91"/>
      <c r="M581" s="105">
        <v>0.0</v>
      </c>
      <c r="N581" s="91"/>
      <c r="O581" s="105">
        <v>0.0</v>
      </c>
      <c r="P581" s="101"/>
      <c r="Q581" s="104" t="s">
        <v>3106</v>
      </c>
      <c r="S581" s="101"/>
      <c r="T581" s="101"/>
      <c r="U581" s="101"/>
      <c r="V581" s="101"/>
    </row>
    <row r="582">
      <c r="A582" s="91"/>
      <c r="B582" s="104" t="s">
        <v>3107</v>
      </c>
      <c r="C582" s="104" t="s">
        <v>3108</v>
      </c>
      <c r="D582" s="91"/>
      <c r="E582" s="104" t="s">
        <v>3109</v>
      </c>
      <c r="F582" s="91"/>
      <c r="G582" s="104" t="s">
        <v>3110</v>
      </c>
      <c r="H582" s="91"/>
      <c r="I582" s="101"/>
      <c r="J582" s="91"/>
      <c r="K582" s="105">
        <v>9900.0</v>
      </c>
      <c r="L582" s="91"/>
      <c r="M582" s="105">
        <v>0.0</v>
      </c>
      <c r="N582" s="91"/>
      <c r="O582" s="105">
        <v>0.0</v>
      </c>
      <c r="P582" s="101"/>
      <c r="Q582" s="104" t="s">
        <v>3111</v>
      </c>
      <c r="S582" s="101"/>
      <c r="T582" s="101"/>
      <c r="U582" s="101"/>
      <c r="V582" s="101"/>
    </row>
    <row r="583">
      <c r="A583" s="91"/>
      <c r="B583" s="104" t="s">
        <v>3112</v>
      </c>
      <c r="C583" s="104" t="s">
        <v>3113</v>
      </c>
      <c r="D583" s="91"/>
      <c r="E583" s="104" t="s">
        <v>3114</v>
      </c>
      <c r="F583" s="91"/>
      <c r="G583" s="104" t="s">
        <v>3115</v>
      </c>
      <c r="H583" s="91"/>
      <c r="I583" s="101"/>
      <c r="J583" s="91"/>
      <c r="K583" s="105">
        <v>14600.0</v>
      </c>
      <c r="L583" s="91"/>
      <c r="M583" s="105">
        <v>0.0</v>
      </c>
      <c r="N583" s="91"/>
      <c r="O583" s="105">
        <v>0.0</v>
      </c>
      <c r="P583" s="101"/>
      <c r="Q583" s="104" t="s">
        <v>3116</v>
      </c>
      <c r="S583" s="91"/>
      <c r="T583" s="91"/>
      <c r="U583" s="91"/>
      <c r="V583" s="91"/>
    </row>
    <row r="584">
      <c r="A584" s="91"/>
      <c r="B584" s="104" t="s">
        <v>3117</v>
      </c>
      <c r="C584" s="104" t="s">
        <v>3118</v>
      </c>
      <c r="D584" s="91"/>
      <c r="E584" s="104" t="s">
        <v>3120</v>
      </c>
      <c r="F584" s="91"/>
      <c r="G584" s="104" t="s">
        <v>3121</v>
      </c>
      <c r="H584" s="91"/>
      <c r="I584" s="101"/>
      <c r="J584" s="91"/>
      <c r="K584" s="105">
        <v>11700.0</v>
      </c>
      <c r="L584" s="91"/>
      <c r="M584" s="105">
        <v>0.0</v>
      </c>
      <c r="N584" s="91"/>
      <c r="O584" s="105">
        <v>0.0</v>
      </c>
      <c r="P584" s="101"/>
      <c r="Q584" s="104" t="s">
        <v>3122</v>
      </c>
      <c r="S584" s="101"/>
      <c r="T584" s="101"/>
      <c r="U584" s="101"/>
      <c r="V584" s="101"/>
    </row>
    <row r="585">
      <c r="A585" s="91"/>
      <c r="B585" s="104" t="s">
        <v>3123</v>
      </c>
      <c r="C585" s="104" t="s">
        <v>3124</v>
      </c>
      <c r="D585" s="91"/>
      <c r="E585" s="104" t="s">
        <v>3125</v>
      </c>
      <c r="F585" s="91"/>
      <c r="G585" s="104" t="s">
        <v>3126</v>
      </c>
      <c r="H585" s="91"/>
      <c r="I585" s="91"/>
      <c r="J585" s="91"/>
      <c r="K585" s="105">
        <v>9100.0</v>
      </c>
      <c r="L585" s="91"/>
      <c r="M585" s="105">
        <v>0.0</v>
      </c>
      <c r="N585" s="91"/>
      <c r="O585" s="105">
        <v>0.0</v>
      </c>
      <c r="P585" s="91"/>
      <c r="Q585" s="104" t="s">
        <v>3127</v>
      </c>
      <c r="S585" s="91"/>
      <c r="T585" s="91"/>
      <c r="U585" s="91"/>
      <c r="V585" s="91"/>
    </row>
    <row r="586">
      <c r="A586" s="91"/>
      <c r="B586" s="104" t="s">
        <v>3128</v>
      </c>
      <c r="C586" s="104" t="s">
        <v>3129</v>
      </c>
      <c r="D586" s="91"/>
      <c r="E586" s="104" t="s">
        <v>3130</v>
      </c>
      <c r="F586" s="91"/>
      <c r="G586" s="104" t="s">
        <v>3131</v>
      </c>
      <c r="H586" s="91"/>
      <c r="I586" s="91"/>
      <c r="J586" s="91"/>
      <c r="K586" s="105">
        <v>10990.0</v>
      </c>
      <c r="L586" s="91"/>
      <c r="M586" s="105">
        <v>0.0</v>
      </c>
      <c r="N586" s="91"/>
      <c r="O586" s="105">
        <v>0.0</v>
      </c>
      <c r="P586" s="91"/>
      <c r="Q586" s="104" t="s">
        <v>3132</v>
      </c>
      <c r="S586" s="91"/>
      <c r="T586" s="91"/>
      <c r="U586" s="91"/>
      <c r="V586" s="91"/>
    </row>
    <row r="587">
      <c r="A587" s="91"/>
      <c r="B587" s="104" t="s">
        <v>3133</v>
      </c>
      <c r="C587" s="104" t="s">
        <v>3134</v>
      </c>
      <c r="D587" s="91"/>
      <c r="E587" s="104" t="s">
        <v>3135</v>
      </c>
      <c r="F587" s="91"/>
      <c r="G587" s="104" t="s">
        <v>3136</v>
      </c>
      <c r="H587" s="91"/>
      <c r="I587" s="91"/>
      <c r="J587" s="91"/>
      <c r="K587" s="105">
        <v>10990.0</v>
      </c>
      <c r="L587" s="91"/>
      <c r="M587" s="105">
        <v>0.0</v>
      </c>
      <c r="N587" s="91"/>
      <c r="O587" s="105">
        <v>0.0</v>
      </c>
      <c r="P587" s="91"/>
      <c r="Q587" s="104" t="s">
        <v>3137</v>
      </c>
      <c r="S587" s="91"/>
      <c r="T587" s="91"/>
      <c r="U587" s="91"/>
      <c r="V587" s="91"/>
    </row>
    <row r="588">
      <c r="A588" s="91"/>
      <c r="B588" s="104" t="s">
        <v>3138</v>
      </c>
      <c r="C588" s="104" t="s">
        <v>3139</v>
      </c>
      <c r="D588" s="91"/>
      <c r="E588" s="104" t="s">
        <v>3140</v>
      </c>
      <c r="F588" s="91"/>
      <c r="G588" s="104" t="s">
        <v>3141</v>
      </c>
      <c r="H588" s="91"/>
      <c r="I588" s="91"/>
      <c r="J588" s="91"/>
      <c r="K588" s="105">
        <v>14600.0</v>
      </c>
      <c r="L588" s="91"/>
      <c r="M588" s="105">
        <v>0.0</v>
      </c>
      <c r="N588" s="91"/>
      <c r="O588" s="105">
        <v>0.0</v>
      </c>
      <c r="P588" s="91"/>
      <c r="Q588" s="104" t="s">
        <v>3142</v>
      </c>
      <c r="S588" s="91"/>
      <c r="T588" s="91"/>
      <c r="U588" s="91"/>
      <c r="V588" s="91"/>
    </row>
    <row r="589">
      <c r="A589" s="91"/>
      <c r="B589" s="104" t="s">
        <v>3143</v>
      </c>
      <c r="C589" s="104" t="s">
        <v>3144</v>
      </c>
      <c r="D589" s="91"/>
      <c r="E589" s="104" t="s">
        <v>3145</v>
      </c>
      <c r="F589" s="91"/>
      <c r="G589" s="104" t="s">
        <v>3146</v>
      </c>
      <c r="H589" s="91"/>
      <c r="I589" s="91"/>
      <c r="J589" s="91"/>
      <c r="K589" s="105">
        <v>9100.0</v>
      </c>
      <c r="L589" s="91"/>
      <c r="M589" s="105">
        <v>0.0</v>
      </c>
      <c r="N589" s="91"/>
      <c r="O589" s="105">
        <v>0.0</v>
      </c>
      <c r="P589" s="91"/>
      <c r="Q589" s="104" t="s">
        <v>3147</v>
      </c>
      <c r="S589" s="91"/>
      <c r="T589" s="91"/>
      <c r="U589" s="91"/>
      <c r="V589" s="91"/>
    </row>
    <row r="590">
      <c r="A590" s="91"/>
      <c r="B590" s="104" t="s">
        <v>3148</v>
      </c>
      <c r="C590" s="104" t="s">
        <v>3149</v>
      </c>
      <c r="D590" s="91"/>
      <c r="E590" s="104" t="s">
        <v>3150</v>
      </c>
      <c r="F590" s="91"/>
      <c r="G590" s="104" t="s">
        <v>3151</v>
      </c>
      <c r="H590" s="91"/>
      <c r="I590" s="91"/>
      <c r="J590" s="91"/>
      <c r="K590" s="105">
        <v>11700.0</v>
      </c>
      <c r="L590" s="91"/>
      <c r="M590" s="105">
        <v>0.0</v>
      </c>
      <c r="N590" s="91"/>
      <c r="O590" s="105">
        <v>0.0</v>
      </c>
      <c r="P590" s="91"/>
      <c r="Q590" s="104" t="s">
        <v>3152</v>
      </c>
      <c r="S590" s="91"/>
      <c r="T590" s="91"/>
      <c r="U590" s="91"/>
      <c r="V590" s="91"/>
    </row>
    <row r="591">
      <c r="A591" s="91"/>
      <c r="B591" s="104" t="s">
        <v>3153</v>
      </c>
      <c r="C591" s="104" t="s">
        <v>3154</v>
      </c>
      <c r="D591" s="91"/>
      <c r="E591" s="104" t="s">
        <v>3155</v>
      </c>
      <c r="F591" s="91"/>
      <c r="G591" s="104" t="s">
        <v>3156</v>
      </c>
      <c r="H591" s="91"/>
      <c r="I591" s="91"/>
      <c r="J591" s="91"/>
      <c r="K591" s="105">
        <v>9900.0</v>
      </c>
      <c r="L591" s="91"/>
      <c r="M591" s="105">
        <v>0.0</v>
      </c>
      <c r="N591" s="91"/>
      <c r="O591" s="105">
        <v>0.0</v>
      </c>
      <c r="P591" s="91"/>
      <c r="Q591" s="104" t="s">
        <v>3157</v>
      </c>
      <c r="S591" s="91"/>
      <c r="T591" s="91"/>
      <c r="U591" s="91"/>
      <c r="V591" s="91"/>
    </row>
    <row r="592">
      <c r="A592" s="91"/>
      <c r="B592" s="104" t="s">
        <v>3158</v>
      </c>
      <c r="C592" s="104" t="s">
        <v>3159</v>
      </c>
      <c r="D592" s="91"/>
      <c r="E592" s="104" t="s">
        <v>3160</v>
      </c>
      <c r="F592" s="91"/>
      <c r="G592" s="104" t="s">
        <v>3161</v>
      </c>
      <c r="H592" s="91"/>
      <c r="I592" s="91"/>
      <c r="J592" s="91"/>
      <c r="K592" s="105">
        <v>10990.0</v>
      </c>
      <c r="L592" s="91"/>
      <c r="M592" s="105">
        <v>0.0</v>
      </c>
      <c r="N592" s="91"/>
      <c r="O592" s="105">
        <v>0.0</v>
      </c>
      <c r="P592" s="91"/>
      <c r="Q592" s="104" t="s">
        <v>3162</v>
      </c>
      <c r="S592" s="91"/>
      <c r="T592" s="91"/>
      <c r="U592" s="91"/>
      <c r="V592" s="91"/>
    </row>
    <row r="593">
      <c r="A593" s="91"/>
      <c r="B593" s="104" t="s">
        <v>3163</v>
      </c>
      <c r="C593" s="104" t="s">
        <v>3164</v>
      </c>
      <c r="D593" s="91"/>
      <c r="E593" s="104" t="s">
        <v>3165</v>
      </c>
      <c r="F593" s="91"/>
      <c r="G593" s="104" t="s">
        <v>3166</v>
      </c>
      <c r="H593" s="91"/>
      <c r="I593" s="91"/>
      <c r="J593" s="91"/>
      <c r="K593" s="105">
        <v>9100.0</v>
      </c>
      <c r="L593" s="91"/>
      <c r="M593" s="105">
        <v>0.0</v>
      </c>
      <c r="N593" s="91"/>
      <c r="O593" s="105">
        <v>0.0</v>
      </c>
      <c r="P593" s="91"/>
      <c r="Q593" s="104" t="s">
        <v>3167</v>
      </c>
      <c r="S593" s="91"/>
      <c r="T593" s="91"/>
      <c r="U593" s="91"/>
      <c r="V593" s="91"/>
    </row>
    <row r="594">
      <c r="A594" s="100" t="s">
        <v>3168</v>
      </c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102"/>
      <c r="N594" s="91"/>
      <c r="O594" s="91"/>
      <c r="P594" s="91"/>
      <c r="Q594" s="91"/>
      <c r="R594" s="91"/>
      <c r="S594" s="91"/>
      <c r="T594" s="91"/>
      <c r="U594" s="91"/>
      <c r="V594" s="91"/>
    </row>
    <row r="595">
      <c r="A595" s="91"/>
      <c r="B595" s="104" t="s">
        <v>3169</v>
      </c>
      <c r="C595" s="104" t="s">
        <v>3170</v>
      </c>
      <c r="D595" s="91"/>
      <c r="E595" s="104" t="s">
        <v>3171</v>
      </c>
      <c r="F595" s="91"/>
      <c r="G595" s="104" t="s">
        <v>3172</v>
      </c>
      <c r="H595" s="91"/>
      <c r="I595" s="101"/>
      <c r="J595" s="91"/>
      <c r="K595" s="105">
        <v>10800.0</v>
      </c>
      <c r="L595" s="91"/>
      <c r="M595" s="105">
        <v>0.0</v>
      </c>
      <c r="N595" s="91"/>
      <c r="O595" s="105">
        <v>0.0</v>
      </c>
      <c r="P595" s="101"/>
      <c r="Q595" s="104" t="s">
        <v>3173</v>
      </c>
      <c r="S595" s="101"/>
      <c r="T595" s="101"/>
      <c r="U595" s="101"/>
      <c r="V595" s="101"/>
    </row>
    <row r="596">
      <c r="A596" s="91"/>
      <c r="B596" s="104" t="s">
        <v>3174</v>
      </c>
      <c r="C596" s="104" t="s">
        <v>3175</v>
      </c>
      <c r="D596" s="91"/>
      <c r="E596" s="104" t="s">
        <v>3176</v>
      </c>
      <c r="F596" s="91"/>
      <c r="G596" s="104" t="s">
        <v>3177</v>
      </c>
      <c r="H596" s="91"/>
      <c r="I596" s="101"/>
      <c r="J596" s="91"/>
      <c r="K596" s="105">
        <v>5400.0</v>
      </c>
      <c r="L596" s="91"/>
      <c r="M596" s="105">
        <v>0.0</v>
      </c>
      <c r="N596" s="91"/>
      <c r="O596" s="105">
        <v>0.0</v>
      </c>
      <c r="P596" s="101"/>
      <c r="Q596" s="104" t="s">
        <v>3180</v>
      </c>
      <c r="S596" s="101"/>
      <c r="T596" s="101"/>
      <c r="U596" s="101"/>
      <c r="V596" s="101"/>
    </row>
    <row r="597">
      <c r="A597" s="91"/>
      <c r="B597" s="104" t="s">
        <v>3181</v>
      </c>
      <c r="C597" s="104" t="s">
        <v>3182</v>
      </c>
      <c r="D597" s="91"/>
      <c r="E597" s="104" t="s">
        <v>3183</v>
      </c>
      <c r="F597" s="91"/>
      <c r="G597" s="104" t="s">
        <v>3184</v>
      </c>
      <c r="H597" s="91"/>
      <c r="I597" s="101"/>
      <c r="J597" s="91"/>
      <c r="K597" s="105">
        <v>10800.0</v>
      </c>
      <c r="L597" s="91"/>
      <c r="M597" s="105">
        <v>0.0</v>
      </c>
      <c r="N597" s="91"/>
      <c r="O597" s="105">
        <v>0.0</v>
      </c>
      <c r="P597" s="101"/>
      <c r="Q597" s="104" t="s">
        <v>3185</v>
      </c>
      <c r="S597" s="101"/>
      <c r="T597" s="101"/>
      <c r="U597" s="101"/>
      <c r="V597" s="101"/>
    </row>
    <row r="598">
      <c r="A598" s="91"/>
      <c r="B598" s="104" t="s">
        <v>3186</v>
      </c>
      <c r="C598" s="104" t="s">
        <v>3187</v>
      </c>
      <c r="D598" s="91"/>
      <c r="E598" s="104" t="s">
        <v>3188</v>
      </c>
      <c r="F598" s="91"/>
      <c r="G598" s="104" t="s">
        <v>3189</v>
      </c>
      <c r="H598" s="91"/>
      <c r="I598" s="101"/>
      <c r="J598" s="91"/>
      <c r="K598" s="105">
        <v>10800.0</v>
      </c>
      <c r="L598" s="91"/>
      <c r="M598" s="105">
        <v>0.0</v>
      </c>
      <c r="N598" s="91"/>
      <c r="O598" s="105">
        <v>0.0</v>
      </c>
      <c r="P598" s="101"/>
      <c r="Q598" s="104" t="s">
        <v>3190</v>
      </c>
      <c r="S598" s="101"/>
      <c r="T598" s="101"/>
      <c r="U598" s="101"/>
      <c r="V598" s="101"/>
    </row>
    <row r="599">
      <c r="A599" s="91"/>
      <c r="B599" s="104" t="s">
        <v>3191</v>
      </c>
      <c r="C599" s="104" t="s">
        <v>3192</v>
      </c>
      <c r="D599" s="91"/>
      <c r="E599" s="104" t="s">
        <v>3193</v>
      </c>
      <c r="F599" s="91"/>
      <c r="G599" s="104" t="s">
        <v>3194</v>
      </c>
      <c r="H599" s="91"/>
      <c r="I599" s="101"/>
      <c r="J599" s="91"/>
      <c r="K599" s="105">
        <v>5400.0</v>
      </c>
      <c r="L599" s="91"/>
      <c r="M599" s="105">
        <v>0.0</v>
      </c>
      <c r="N599" s="91"/>
      <c r="O599" s="105">
        <v>0.0</v>
      </c>
      <c r="P599" s="101"/>
      <c r="Q599" s="104" t="s">
        <v>3195</v>
      </c>
      <c r="S599" s="101"/>
      <c r="T599" s="101"/>
      <c r="U599" s="101"/>
      <c r="V599" s="101"/>
    </row>
    <row r="600">
      <c r="A600" s="91"/>
      <c r="B600" s="104" t="s">
        <v>3196</v>
      </c>
      <c r="C600" s="104" t="s">
        <v>3197</v>
      </c>
      <c r="D600" s="91"/>
      <c r="E600" s="104" t="s">
        <v>3198</v>
      </c>
      <c r="F600" s="91"/>
      <c r="G600" s="104" t="s">
        <v>3199</v>
      </c>
      <c r="H600" s="91"/>
      <c r="I600" s="101"/>
      <c r="J600" s="91"/>
      <c r="K600" s="105">
        <v>7900.0</v>
      </c>
      <c r="L600" s="91"/>
      <c r="M600" s="105">
        <v>0.0</v>
      </c>
      <c r="N600" s="91"/>
      <c r="O600" s="105">
        <v>0.0</v>
      </c>
      <c r="P600" s="101"/>
      <c r="Q600" s="104" t="s">
        <v>3200</v>
      </c>
      <c r="S600" s="101"/>
      <c r="T600" s="101"/>
      <c r="U600" s="101"/>
      <c r="V600" s="101"/>
    </row>
    <row r="601">
      <c r="A601" s="91"/>
      <c r="B601" s="104" t="s">
        <v>3201</v>
      </c>
      <c r="C601" s="104" t="s">
        <v>3202</v>
      </c>
      <c r="D601" s="91"/>
      <c r="E601" s="104" t="s">
        <v>3203</v>
      </c>
      <c r="F601" s="91"/>
      <c r="G601" s="104" t="s">
        <v>3204</v>
      </c>
      <c r="H601" s="91"/>
      <c r="I601" s="101"/>
      <c r="J601" s="91"/>
      <c r="K601" s="105">
        <v>5400.0</v>
      </c>
      <c r="L601" s="91"/>
      <c r="M601" s="105">
        <v>0.0</v>
      </c>
      <c r="N601" s="91"/>
      <c r="O601" s="105">
        <v>0.0</v>
      </c>
      <c r="P601" s="101"/>
      <c r="Q601" s="104" t="s">
        <v>3205</v>
      </c>
      <c r="S601" s="101"/>
      <c r="T601" s="101"/>
      <c r="U601" s="101"/>
      <c r="V601" s="101"/>
    </row>
    <row r="602">
      <c r="A602" s="91"/>
      <c r="B602" s="104" t="s">
        <v>3206</v>
      </c>
      <c r="C602" s="104" t="s">
        <v>3207</v>
      </c>
      <c r="D602" s="91"/>
      <c r="E602" s="104" t="s">
        <v>3208</v>
      </c>
      <c r="F602" s="91"/>
      <c r="G602" s="104" t="s">
        <v>3209</v>
      </c>
      <c r="H602" s="91"/>
      <c r="I602" s="101"/>
      <c r="J602" s="91"/>
      <c r="K602" s="105">
        <v>5400.0</v>
      </c>
      <c r="L602" s="91"/>
      <c r="M602" s="105">
        <v>0.0</v>
      </c>
      <c r="N602" s="91"/>
      <c r="O602" s="105">
        <v>0.0</v>
      </c>
      <c r="P602" s="101"/>
      <c r="Q602" s="104" t="s">
        <v>3210</v>
      </c>
      <c r="S602" s="101"/>
      <c r="T602" s="101"/>
      <c r="U602" s="101"/>
      <c r="V602" s="101"/>
    </row>
    <row r="603">
      <c r="A603" s="91"/>
      <c r="B603" s="104" t="s">
        <v>3211</v>
      </c>
      <c r="C603" s="104" t="s">
        <v>3212</v>
      </c>
      <c r="D603" s="91"/>
      <c r="E603" s="104" t="s">
        <v>3213</v>
      </c>
      <c r="F603" s="91"/>
      <c r="G603" s="104" t="s">
        <v>3214</v>
      </c>
      <c r="H603" s="91"/>
      <c r="I603" s="101"/>
      <c r="J603" s="91"/>
      <c r="K603" s="105">
        <v>10800.0</v>
      </c>
      <c r="L603" s="91"/>
      <c r="M603" s="105">
        <v>0.0</v>
      </c>
      <c r="N603" s="91"/>
      <c r="O603" s="105">
        <v>0.0</v>
      </c>
      <c r="P603" s="101"/>
      <c r="Q603" s="104" t="s">
        <v>3215</v>
      </c>
      <c r="S603" s="101"/>
      <c r="T603" s="101"/>
      <c r="U603" s="101"/>
      <c r="V603" s="101"/>
    </row>
    <row r="604">
      <c r="A604" s="91"/>
      <c r="B604" s="104" t="s">
        <v>3216</v>
      </c>
      <c r="C604" s="104" t="s">
        <v>3217</v>
      </c>
      <c r="D604" s="91"/>
      <c r="E604" s="104" t="s">
        <v>3218</v>
      </c>
      <c r="F604" s="91"/>
      <c r="G604" s="104" t="s">
        <v>3219</v>
      </c>
      <c r="H604" s="91"/>
      <c r="I604" s="101"/>
      <c r="J604" s="91"/>
      <c r="K604" s="105">
        <v>5400.0</v>
      </c>
      <c r="L604" s="91"/>
      <c r="M604" s="105">
        <v>0.0</v>
      </c>
      <c r="N604" s="91"/>
      <c r="O604" s="105">
        <v>0.0</v>
      </c>
      <c r="P604" s="101"/>
      <c r="Q604" s="104" t="s">
        <v>3220</v>
      </c>
      <c r="S604" s="101"/>
      <c r="T604" s="101"/>
      <c r="U604" s="101"/>
      <c r="V604" s="101"/>
    </row>
    <row r="605">
      <c r="A605" s="91"/>
      <c r="B605" s="104" t="s">
        <v>3221</v>
      </c>
      <c r="C605" s="104" t="s">
        <v>3222</v>
      </c>
      <c r="D605" s="91"/>
      <c r="E605" s="104" t="s">
        <v>3223</v>
      </c>
      <c r="F605" s="91"/>
      <c r="G605" s="104" t="s">
        <v>3224</v>
      </c>
      <c r="H605" s="91"/>
      <c r="I605" s="101"/>
      <c r="J605" s="91"/>
      <c r="K605" s="105">
        <v>5400.0</v>
      </c>
      <c r="L605" s="91"/>
      <c r="M605" s="105">
        <v>0.0</v>
      </c>
      <c r="N605" s="91"/>
      <c r="O605" s="105">
        <v>0.0</v>
      </c>
      <c r="P605" s="101"/>
      <c r="Q605" s="104" t="s">
        <v>3225</v>
      </c>
      <c r="S605" s="101"/>
      <c r="T605" s="101"/>
      <c r="U605" s="101"/>
      <c r="V605" s="101"/>
    </row>
    <row r="606">
      <c r="A606" s="91"/>
      <c r="B606" s="104" t="s">
        <v>3226</v>
      </c>
      <c r="C606" s="104" t="s">
        <v>3227</v>
      </c>
      <c r="D606" s="91"/>
      <c r="E606" s="104" t="s">
        <v>3228</v>
      </c>
      <c r="F606" s="91"/>
      <c r="G606" s="104" t="s">
        <v>3229</v>
      </c>
      <c r="H606" s="91"/>
      <c r="I606" s="101"/>
      <c r="J606" s="91"/>
      <c r="K606" s="105">
        <v>10800.0</v>
      </c>
      <c r="L606" s="91"/>
      <c r="M606" s="105">
        <v>0.0</v>
      </c>
      <c r="N606" s="91"/>
      <c r="O606" s="105">
        <v>0.0</v>
      </c>
      <c r="P606" s="101"/>
      <c r="Q606" s="104" t="s">
        <v>3232</v>
      </c>
      <c r="S606" s="101"/>
      <c r="T606" s="101"/>
      <c r="U606" s="101"/>
      <c r="V606" s="101"/>
    </row>
    <row r="607">
      <c r="A607" s="91"/>
      <c r="B607" s="104" t="s">
        <v>3233</v>
      </c>
      <c r="C607" s="104" t="s">
        <v>3234</v>
      </c>
      <c r="D607" s="91"/>
      <c r="E607" s="104" t="s">
        <v>3235</v>
      </c>
      <c r="F607" s="91"/>
      <c r="G607" s="104" t="s">
        <v>3236</v>
      </c>
      <c r="H607" s="91"/>
      <c r="I607" s="101"/>
      <c r="J607" s="91"/>
      <c r="K607" s="105">
        <v>10800.0</v>
      </c>
      <c r="L607" s="91"/>
      <c r="M607" s="105">
        <v>0.0</v>
      </c>
      <c r="N607" s="91"/>
      <c r="O607" s="105">
        <v>0.0</v>
      </c>
      <c r="P607" s="101"/>
      <c r="Q607" s="104" t="s">
        <v>3237</v>
      </c>
      <c r="S607" s="101"/>
      <c r="T607" s="101"/>
      <c r="U607" s="101"/>
      <c r="V607" s="101"/>
    </row>
    <row r="608">
      <c r="A608" s="91"/>
      <c r="B608" s="104" t="s">
        <v>3238</v>
      </c>
      <c r="C608" s="104" t="s">
        <v>3239</v>
      </c>
      <c r="D608" s="91"/>
      <c r="E608" s="104" t="s">
        <v>3240</v>
      </c>
      <c r="F608" s="91"/>
      <c r="G608" s="104" t="s">
        <v>3241</v>
      </c>
      <c r="H608" s="91"/>
      <c r="I608" s="101"/>
      <c r="J608" s="91"/>
      <c r="K608" s="105">
        <v>10800.0</v>
      </c>
      <c r="L608" s="91"/>
      <c r="M608" s="105">
        <v>0.0</v>
      </c>
      <c r="N608" s="91"/>
      <c r="O608" s="105">
        <v>0.0</v>
      </c>
      <c r="P608" s="101"/>
      <c r="Q608" s="104" t="s">
        <v>3242</v>
      </c>
      <c r="S608" s="101"/>
      <c r="T608" s="101"/>
      <c r="U608" s="101"/>
      <c r="V608" s="101"/>
    </row>
    <row r="609">
      <c r="A609" s="91"/>
      <c r="B609" s="104" t="s">
        <v>3243</v>
      </c>
      <c r="C609" s="104" t="s">
        <v>3244</v>
      </c>
      <c r="D609" s="91"/>
      <c r="E609" s="104" t="s">
        <v>3245</v>
      </c>
      <c r="F609" s="91"/>
      <c r="G609" s="104" t="s">
        <v>3246</v>
      </c>
      <c r="H609" s="91"/>
      <c r="I609" s="101"/>
      <c r="J609" s="91"/>
      <c r="K609" s="105">
        <v>10800.0</v>
      </c>
      <c r="L609" s="91"/>
      <c r="M609" s="105">
        <v>0.0</v>
      </c>
      <c r="N609" s="91"/>
      <c r="O609" s="105">
        <v>0.0</v>
      </c>
      <c r="P609" s="101"/>
      <c r="Q609" s="104" t="s">
        <v>3247</v>
      </c>
      <c r="S609" s="101"/>
      <c r="T609" s="101"/>
      <c r="U609" s="101"/>
      <c r="V609" s="101"/>
    </row>
    <row r="610">
      <c r="A610" s="91"/>
      <c r="B610" s="104" t="s">
        <v>3248</v>
      </c>
      <c r="C610" s="104" t="s">
        <v>3249</v>
      </c>
      <c r="D610" s="91"/>
      <c r="E610" s="104" t="s">
        <v>3250</v>
      </c>
      <c r="F610" s="91"/>
      <c r="G610" s="104" t="s">
        <v>3251</v>
      </c>
      <c r="H610" s="91"/>
      <c r="I610" s="101"/>
      <c r="J610" s="91"/>
      <c r="K610" s="105">
        <v>5400.0</v>
      </c>
      <c r="L610" s="91"/>
      <c r="M610" s="105">
        <v>0.0</v>
      </c>
      <c r="N610" s="91"/>
      <c r="O610" s="105">
        <v>0.0</v>
      </c>
      <c r="P610" s="101"/>
      <c r="Q610" s="104" t="s">
        <v>3252</v>
      </c>
      <c r="S610" s="101"/>
      <c r="T610" s="101"/>
      <c r="U610" s="101"/>
      <c r="V610" s="101"/>
    </row>
    <row r="611">
      <c r="A611" s="100" t="s">
        <v>3253</v>
      </c>
      <c r="C611" s="91"/>
      <c r="D611" s="91"/>
      <c r="E611" s="91"/>
      <c r="F611" s="91"/>
      <c r="G611" s="91"/>
      <c r="H611" s="91"/>
      <c r="I611" s="101"/>
      <c r="J611" s="91"/>
      <c r="K611" s="101"/>
      <c r="L611" s="91"/>
      <c r="M611" s="101"/>
      <c r="N611" s="91"/>
      <c r="O611" s="101"/>
      <c r="P611" s="101"/>
      <c r="Q611" s="91"/>
      <c r="R611" s="101"/>
      <c r="S611" s="101"/>
      <c r="T611" s="101"/>
      <c r="U611" s="101"/>
      <c r="V611" s="101"/>
    </row>
    <row r="612">
      <c r="A612" s="91"/>
      <c r="B612" s="104" t="s">
        <v>3254</v>
      </c>
      <c r="C612" s="104" t="s">
        <v>3255</v>
      </c>
      <c r="D612" s="91"/>
      <c r="E612" s="104" t="s">
        <v>3256</v>
      </c>
      <c r="F612" s="91"/>
      <c r="G612" s="104" t="s">
        <v>3257</v>
      </c>
      <c r="H612" s="91"/>
      <c r="I612" s="101"/>
      <c r="J612" s="91"/>
      <c r="K612" s="105">
        <v>9900.0</v>
      </c>
      <c r="L612" s="91"/>
      <c r="M612" s="105">
        <v>0.0</v>
      </c>
      <c r="N612" s="91"/>
      <c r="O612" s="105">
        <v>0.0</v>
      </c>
      <c r="P612" s="101"/>
      <c r="Q612" s="104" t="s">
        <v>3258</v>
      </c>
      <c r="S612" s="101"/>
      <c r="T612" s="101"/>
      <c r="U612" s="101"/>
      <c r="V612" s="101"/>
    </row>
    <row r="613">
      <c r="A613" s="91"/>
      <c r="B613" s="104" t="s">
        <v>3259</v>
      </c>
      <c r="C613" s="104" t="s">
        <v>3260</v>
      </c>
      <c r="D613" s="91"/>
      <c r="E613" s="104" t="s">
        <v>3261</v>
      </c>
      <c r="F613" s="91"/>
      <c r="G613" s="104" t="s">
        <v>3262</v>
      </c>
      <c r="H613" s="91"/>
      <c r="I613" s="101"/>
      <c r="J613" s="91"/>
      <c r="K613" s="105">
        <v>0.0</v>
      </c>
      <c r="L613" s="91"/>
      <c r="M613" s="105">
        <v>0.0</v>
      </c>
      <c r="N613" s="91"/>
      <c r="O613" s="105">
        <v>0.0</v>
      </c>
      <c r="P613" s="101"/>
      <c r="Q613" s="104" t="s">
        <v>3263</v>
      </c>
      <c r="S613" s="101"/>
      <c r="T613" s="101"/>
      <c r="U613" s="101"/>
      <c r="V613" s="101"/>
    </row>
    <row r="614">
      <c r="A614" s="91"/>
      <c r="B614" s="104" t="s">
        <v>3264</v>
      </c>
      <c r="C614" s="104" t="s">
        <v>3265</v>
      </c>
      <c r="D614" s="91"/>
      <c r="E614" s="104" t="s">
        <v>3266</v>
      </c>
      <c r="F614" s="91"/>
      <c r="G614" s="104" t="s">
        <v>3267</v>
      </c>
      <c r="H614" s="91"/>
      <c r="I614" s="101"/>
      <c r="J614" s="91"/>
      <c r="K614" s="105">
        <v>11000.0</v>
      </c>
      <c r="L614" s="91"/>
      <c r="M614" s="105">
        <v>0.0</v>
      </c>
      <c r="N614" s="91"/>
      <c r="O614" s="105">
        <v>0.0</v>
      </c>
      <c r="P614" s="101"/>
      <c r="Q614" s="104" t="s">
        <v>3268</v>
      </c>
      <c r="S614" s="101"/>
      <c r="T614" s="101"/>
      <c r="U614" s="101"/>
      <c r="V614" s="101"/>
    </row>
    <row r="615">
      <c r="A615" s="91"/>
      <c r="B615" s="104" t="s">
        <v>3269</v>
      </c>
      <c r="C615" s="104" t="s">
        <v>3270</v>
      </c>
      <c r="D615" s="91"/>
      <c r="E615" s="104" t="s">
        <v>3271</v>
      </c>
      <c r="F615" s="91"/>
      <c r="G615" s="104" t="s">
        <v>3272</v>
      </c>
      <c r="H615" s="91"/>
      <c r="I615" s="101"/>
      <c r="J615" s="91"/>
      <c r="K615" s="105">
        <v>9900.0</v>
      </c>
      <c r="L615" s="91"/>
      <c r="M615" s="105">
        <v>0.0</v>
      </c>
      <c r="N615" s="91"/>
      <c r="O615" s="105">
        <v>0.0</v>
      </c>
      <c r="P615" s="101"/>
      <c r="Q615" s="104" t="s">
        <v>3273</v>
      </c>
      <c r="S615" s="101"/>
      <c r="T615" s="101"/>
      <c r="U615" s="101"/>
      <c r="V615" s="101"/>
    </row>
    <row r="616">
      <c r="A616" s="91"/>
      <c r="B616" s="104" t="s">
        <v>3274</v>
      </c>
      <c r="C616" s="104" t="s">
        <v>3275</v>
      </c>
      <c r="D616" s="91"/>
      <c r="E616" s="104" t="s">
        <v>3276</v>
      </c>
      <c r="F616" s="91"/>
      <c r="G616" s="104" t="s">
        <v>3277</v>
      </c>
      <c r="H616" s="91"/>
      <c r="I616" s="101"/>
      <c r="J616" s="91"/>
      <c r="K616" s="105">
        <v>9900.0</v>
      </c>
      <c r="L616" s="91"/>
      <c r="M616" s="105">
        <v>0.0</v>
      </c>
      <c r="N616" s="91"/>
      <c r="O616" s="105">
        <v>0.0</v>
      </c>
      <c r="P616" s="101"/>
      <c r="Q616" s="104" t="s">
        <v>3278</v>
      </c>
      <c r="S616" s="101"/>
      <c r="T616" s="101"/>
      <c r="U616" s="101"/>
      <c r="V616" s="101"/>
    </row>
    <row r="617">
      <c r="A617" s="91"/>
      <c r="B617" s="104" t="s">
        <v>3279</v>
      </c>
      <c r="C617" s="104" t="s">
        <v>3280</v>
      </c>
      <c r="D617" s="91"/>
      <c r="E617" s="104" t="s">
        <v>3281</v>
      </c>
      <c r="F617" s="91"/>
      <c r="G617" s="104" t="s">
        <v>3282</v>
      </c>
      <c r="H617" s="91"/>
      <c r="I617" s="101"/>
      <c r="J617" s="91"/>
      <c r="K617" s="105">
        <v>0.0</v>
      </c>
      <c r="L617" s="91"/>
      <c r="M617" s="105">
        <v>0.0</v>
      </c>
      <c r="N617" s="91"/>
      <c r="O617" s="105">
        <v>0.0</v>
      </c>
      <c r="P617" s="101"/>
      <c r="Q617" s="104" t="s">
        <v>3283</v>
      </c>
      <c r="S617" s="101"/>
      <c r="T617" s="101"/>
      <c r="U617" s="101"/>
      <c r="V617" s="101"/>
    </row>
    <row r="618">
      <c r="A618" s="91"/>
      <c r="B618" s="104" t="s">
        <v>3284</v>
      </c>
      <c r="C618" s="104" t="s">
        <v>3285</v>
      </c>
      <c r="D618" s="91"/>
      <c r="E618" s="104" t="s">
        <v>3286</v>
      </c>
      <c r="F618" s="91"/>
      <c r="G618" s="104" t="s">
        <v>3287</v>
      </c>
      <c r="H618" s="91"/>
      <c r="I618" s="101"/>
      <c r="J618" s="91"/>
      <c r="K618" s="105">
        <v>9900.0</v>
      </c>
      <c r="L618" s="91"/>
      <c r="M618" s="105">
        <v>0.0</v>
      </c>
      <c r="N618" s="91"/>
      <c r="O618" s="105">
        <v>0.0</v>
      </c>
      <c r="P618" s="101"/>
      <c r="Q618" s="104" t="s">
        <v>3288</v>
      </c>
      <c r="S618" s="101"/>
      <c r="T618" s="101"/>
      <c r="U618" s="101"/>
      <c r="V618" s="101"/>
    </row>
    <row r="619">
      <c r="A619" s="91"/>
      <c r="B619" s="104" t="s">
        <v>3289</v>
      </c>
      <c r="C619" s="104" t="s">
        <v>3290</v>
      </c>
      <c r="D619" s="91"/>
      <c r="E619" s="104" t="s">
        <v>3291</v>
      </c>
      <c r="F619" s="91"/>
      <c r="G619" s="104" t="s">
        <v>3292</v>
      </c>
      <c r="H619" s="91"/>
      <c r="I619" s="101"/>
      <c r="J619" s="91"/>
      <c r="K619" s="105">
        <v>9000.0</v>
      </c>
      <c r="L619" s="91"/>
      <c r="M619" s="105">
        <v>0.0</v>
      </c>
      <c r="N619" s="91"/>
      <c r="O619" s="105">
        <v>0.0</v>
      </c>
      <c r="P619" s="101"/>
      <c r="Q619" s="104" t="s">
        <v>3293</v>
      </c>
      <c r="S619" s="101"/>
      <c r="T619" s="101"/>
      <c r="U619" s="101"/>
      <c r="V619" s="101"/>
    </row>
    <row r="620">
      <c r="A620" s="91"/>
      <c r="B620" s="104" t="s">
        <v>3294</v>
      </c>
      <c r="C620" s="104" t="s">
        <v>3295</v>
      </c>
      <c r="D620" s="91"/>
      <c r="E620" s="104" t="s">
        <v>3296</v>
      </c>
      <c r="F620" s="91"/>
      <c r="G620" s="104" t="s">
        <v>3297</v>
      </c>
      <c r="H620" s="91"/>
      <c r="I620" s="91"/>
      <c r="J620" s="91"/>
      <c r="K620" s="105">
        <v>9900.0</v>
      </c>
      <c r="L620" s="91"/>
      <c r="M620" s="105">
        <v>0.0</v>
      </c>
      <c r="N620" s="91"/>
      <c r="O620" s="105">
        <v>0.0</v>
      </c>
      <c r="P620" s="91"/>
      <c r="Q620" s="104" t="s">
        <v>3298</v>
      </c>
      <c r="S620" s="91"/>
      <c r="T620" s="91"/>
      <c r="U620" s="91"/>
      <c r="V620" s="91"/>
    </row>
    <row r="621">
      <c r="A621" s="91"/>
      <c r="B621" s="104" t="s">
        <v>3299</v>
      </c>
      <c r="C621" s="104" t="s">
        <v>3300</v>
      </c>
      <c r="D621" s="91"/>
      <c r="E621" s="104" t="s">
        <v>3301</v>
      </c>
      <c r="F621" s="91"/>
      <c r="G621" s="104" t="s">
        <v>3302</v>
      </c>
      <c r="H621" s="91"/>
      <c r="I621" s="91"/>
      <c r="J621" s="91"/>
      <c r="K621" s="105">
        <v>13000.0</v>
      </c>
      <c r="L621" s="91"/>
      <c r="M621" s="105">
        <v>0.0</v>
      </c>
      <c r="N621" s="91"/>
      <c r="O621" s="105">
        <v>0.0</v>
      </c>
      <c r="P621" s="91"/>
      <c r="Q621" s="104" t="s">
        <v>3303</v>
      </c>
      <c r="S621" s="91"/>
      <c r="T621" s="91"/>
      <c r="U621" s="91"/>
      <c r="V621" s="91"/>
    </row>
    <row r="622">
      <c r="A622" s="91"/>
      <c r="B622" s="104" t="s">
        <v>3304</v>
      </c>
      <c r="C622" s="104" t="s">
        <v>3305</v>
      </c>
      <c r="D622" s="91"/>
      <c r="E622" s="104" t="s">
        <v>3306</v>
      </c>
      <c r="F622" s="91"/>
      <c r="G622" s="104" t="s">
        <v>3307</v>
      </c>
      <c r="H622" s="91"/>
      <c r="I622" s="91"/>
      <c r="J622" s="91"/>
      <c r="K622" s="105">
        <v>9900.0</v>
      </c>
      <c r="L622" s="91"/>
      <c r="M622" s="105">
        <v>0.0</v>
      </c>
      <c r="N622" s="91"/>
      <c r="O622" s="105">
        <v>0.0</v>
      </c>
      <c r="P622" s="91"/>
      <c r="Q622" s="104" t="s">
        <v>3308</v>
      </c>
      <c r="S622" s="91"/>
      <c r="T622" s="91"/>
      <c r="U622" s="91"/>
      <c r="V622" s="91"/>
    </row>
    <row r="623">
      <c r="A623" s="91"/>
      <c r="B623" s="104" t="s">
        <v>3309</v>
      </c>
      <c r="C623" s="104" t="s">
        <v>3310</v>
      </c>
      <c r="D623" s="91"/>
      <c r="E623" s="104" t="s">
        <v>3311</v>
      </c>
      <c r="F623" s="91"/>
      <c r="G623" s="104" t="s">
        <v>3312</v>
      </c>
      <c r="H623" s="91"/>
      <c r="I623" s="91"/>
      <c r="J623" s="91"/>
      <c r="K623" s="105">
        <v>13000.0</v>
      </c>
      <c r="L623" s="91"/>
      <c r="M623" s="105">
        <v>0.0</v>
      </c>
      <c r="N623" s="91"/>
      <c r="O623" s="105">
        <v>0.0</v>
      </c>
      <c r="P623" s="91"/>
      <c r="Q623" s="104" t="s">
        <v>3313</v>
      </c>
      <c r="S623" s="91"/>
      <c r="T623" s="91"/>
      <c r="U623" s="91"/>
      <c r="V623" s="91"/>
    </row>
    <row r="624">
      <c r="A624" s="91"/>
      <c r="B624" s="104" t="s">
        <v>3314</v>
      </c>
      <c r="C624" s="104" t="s">
        <v>3315</v>
      </c>
      <c r="D624" s="91"/>
      <c r="E624" s="104" t="s">
        <v>3316</v>
      </c>
      <c r="F624" s="91"/>
      <c r="G624" s="104" t="s">
        <v>3317</v>
      </c>
      <c r="H624" s="91"/>
      <c r="I624" s="91"/>
      <c r="J624" s="91"/>
      <c r="K624" s="105">
        <v>13000.0</v>
      </c>
      <c r="L624" s="91"/>
      <c r="M624" s="105">
        <v>0.0</v>
      </c>
      <c r="N624" s="91"/>
      <c r="O624" s="105">
        <v>0.0</v>
      </c>
      <c r="P624" s="91"/>
      <c r="Q624" s="104" t="s">
        <v>3318</v>
      </c>
      <c r="S624" s="91"/>
      <c r="T624" s="91"/>
      <c r="U624" s="91"/>
      <c r="V624" s="91"/>
    </row>
    <row r="625">
      <c r="A625" s="91"/>
      <c r="B625" s="104" t="s">
        <v>3319</v>
      </c>
      <c r="C625" s="104" t="s">
        <v>3320</v>
      </c>
      <c r="D625" s="91"/>
      <c r="E625" s="104" t="s">
        <v>3321</v>
      </c>
      <c r="F625" s="91"/>
      <c r="G625" s="104" t="s">
        <v>3322</v>
      </c>
      <c r="H625" s="91"/>
      <c r="I625" s="91"/>
      <c r="J625" s="91"/>
      <c r="K625" s="105">
        <v>0.0</v>
      </c>
      <c r="L625" s="91"/>
      <c r="M625" s="105">
        <v>0.0</v>
      </c>
      <c r="N625" s="91"/>
      <c r="O625" s="105">
        <v>0.0</v>
      </c>
      <c r="P625" s="91"/>
      <c r="Q625" s="104" t="s">
        <v>3323</v>
      </c>
      <c r="S625" s="91"/>
      <c r="T625" s="91"/>
      <c r="U625" s="91"/>
      <c r="V625" s="91"/>
    </row>
    <row r="626">
      <c r="A626" s="100" t="s">
        <v>3324</v>
      </c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</row>
    <row r="627">
      <c r="A627" s="91"/>
      <c r="B627" s="104" t="s">
        <v>3325</v>
      </c>
      <c r="C627" s="104" t="s">
        <v>3326</v>
      </c>
      <c r="D627" s="91"/>
      <c r="E627" s="104" t="s">
        <v>3327</v>
      </c>
      <c r="F627" s="91"/>
      <c r="G627" s="104" t="s">
        <v>3328</v>
      </c>
      <c r="H627" s="91"/>
      <c r="I627" s="91"/>
      <c r="J627" s="91"/>
      <c r="K627" s="105">
        <v>135900.0</v>
      </c>
      <c r="L627" s="91"/>
      <c r="M627" s="105">
        <v>0.0</v>
      </c>
      <c r="N627" s="91"/>
      <c r="O627" s="105">
        <v>0.0</v>
      </c>
      <c r="P627" s="91"/>
      <c r="Q627" s="104" t="s">
        <v>3329</v>
      </c>
      <c r="S627" s="91"/>
      <c r="T627" s="91"/>
      <c r="U627" s="91"/>
      <c r="V627" s="91"/>
    </row>
    <row r="628">
      <c r="A628" s="91"/>
      <c r="B628" s="104" t="s">
        <v>3330</v>
      </c>
      <c r="C628" s="104" t="s">
        <v>3331</v>
      </c>
      <c r="D628" s="91"/>
      <c r="E628" s="104" t="s">
        <v>3332</v>
      </c>
      <c r="F628" s="91"/>
      <c r="G628" s="104" t="s">
        <v>3333</v>
      </c>
      <c r="H628" s="91"/>
      <c r="I628" s="91"/>
      <c r="J628" s="91"/>
      <c r="K628" s="105">
        <v>160000.0</v>
      </c>
      <c r="L628" s="91"/>
      <c r="M628" s="105">
        <v>0.0</v>
      </c>
      <c r="N628" s="91"/>
      <c r="O628" s="105">
        <v>0.0</v>
      </c>
      <c r="P628" s="91"/>
      <c r="Q628" s="104" t="s">
        <v>3334</v>
      </c>
      <c r="S628" s="91"/>
      <c r="T628" s="91"/>
      <c r="U628" s="91"/>
      <c r="V628" s="91"/>
    </row>
    <row r="629">
      <c r="A629" s="91"/>
      <c r="B629" s="104" t="s">
        <v>3335</v>
      </c>
      <c r="C629" s="104" t="s">
        <v>3336</v>
      </c>
      <c r="D629" s="91"/>
      <c r="E629" s="104" t="s">
        <v>3337</v>
      </c>
      <c r="F629" s="91"/>
      <c r="G629" s="104" t="s">
        <v>3338</v>
      </c>
      <c r="H629" s="91"/>
      <c r="I629" s="91"/>
      <c r="J629" s="91"/>
      <c r="K629" s="105">
        <v>19900.0</v>
      </c>
      <c r="L629" s="91"/>
      <c r="M629" s="105">
        <v>0.0</v>
      </c>
      <c r="N629" s="91"/>
      <c r="O629" s="105">
        <v>0.0</v>
      </c>
      <c r="P629" s="91"/>
      <c r="Q629" s="104" t="s">
        <v>3339</v>
      </c>
      <c r="S629" s="91"/>
      <c r="T629" s="91"/>
      <c r="U629" s="91"/>
      <c r="V629" s="91"/>
    </row>
    <row r="630">
      <c r="A630" s="91"/>
      <c r="B630" s="104" t="s">
        <v>3340</v>
      </c>
      <c r="C630" s="104" t="s">
        <v>3341</v>
      </c>
      <c r="D630" s="91"/>
      <c r="E630" s="104" t="s">
        <v>3342</v>
      </c>
      <c r="F630" s="91"/>
      <c r="G630" s="104" t="s">
        <v>3343</v>
      </c>
      <c r="H630" s="91"/>
      <c r="I630" s="101"/>
      <c r="J630" s="91"/>
      <c r="K630" s="105">
        <v>450000.0</v>
      </c>
      <c r="L630" s="91"/>
      <c r="M630" s="105">
        <v>0.0</v>
      </c>
      <c r="N630" s="91"/>
      <c r="O630" s="105">
        <v>0.0</v>
      </c>
      <c r="P630" s="101"/>
      <c r="Q630" s="104" t="s">
        <v>3344</v>
      </c>
      <c r="S630" s="101"/>
      <c r="T630" s="101"/>
      <c r="U630" s="101"/>
      <c r="V630" s="101"/>
    </row>
    <row r="631">
      <c r="A631" s="91"/>
      <c r="B631" s="104" t="s">
        <v>3345</v>
      </c>
      <c r="C631" s="104" t="s">
        <v>3346</v>
      </c>
      <c r="D631" s="91"/>
      <c r="E631" s="104" t="s">
        <v>3347</v>
      </c>
      <c r="F631" s="91"/>
      <c r="G631" s="104" t="s">
        <v>3348</v>
      </c>
      <c r="H631" s="91"/>
      <c r="I631" s="101"/>
      <c r="J631" s="91"/>
      <c r="K631" s="105">
        <v>2000.0</v>
      </c>
      <c r="L631" s="91"/>
      <c r="M631" s="105">
        <v>0.0</v>
      </c>
      <c r="N631" s="91"/>
      <c r="O631" s="105">
        <v>0.0</v>
      </c>
      <c r="P631" s="101"/>
      <c r="Q631" s="104" t="s">
        <v>3349</v>
      </c>
      <c r="S631" s="101"/>
      <c r="T631" s="101"/>
      <c r="U631" s="101"/>
      <c r="V631" s="101"/>
    </row>
    <row r="632">
      <c r="A632" s="91"/>
      <c r="B632" s="104" t="s">
        <v>3350</v>
      </c>
      <c r="C632" s="104" t="s">
        <v>3351</v>
      </c>
      <c r="D632" s="91"/>
      <c r="E632" s="104" t="s">
        <v>3352</v>
      </c>
      <c r="F632" s="91"/>
      <c r="G632" s="104" t="s">
        <v>3353</v>
      </c>
      <c r="H632" s="91"/>
      <c r="I632" s="101"/>
      <c r="J632" s="91"/>
      <c r="K632" s="105">
        <v>37000.0</v>
      </c>
      <c r="L632" s="91"/>
      <c r="M632" s="105">
        <v>0.0</v>
      </c>
      <c r="N632" s="91"/>
      <c r="O632" s="105">
        <v>0.0</v>
      </c>
      <c r="P632" s="101"/>
      <c r="Q632" s="104" t="s">
        <v>3354</v>
      </c>
      <c r="S632" s="101"/>
      <c r="T632" s="101"/>
      <c r="U632" s="101"/>
      <c r="V632" s="101"/>
    </row>
    <row r="633">
      <c r="A633" s="91"/>
      <c r="B633" s="104" t="s">
        <v>3355</v>
      </c>
      <c r="C633" s="104" t="s">
        <v>3356</v>
      </c>
      <c r="D633" s="91"/>
      <c r="E633" s="104" t="s">
        <v>3357</v>
      </c>
      <c r="F633" s="91"/>
      <c r="G633" s="104" t="s">
        <v>3358</v>
      </c>
      <c r="H633" s="91"/>
      <c r="I633" s="101"/>
      <c r="J633" s="91"/>
      <c r="K633" s="105">
        <v>71900.0</v>
      </c>
      <c r="L633" s="91"/>
      <c r="M633" s="105">
        <v>0.0</v>
      </c>
      <c r="N633" s="91"/>
      <c r="O633" s="105">
        <v>0.0</v>
      </c>
      <c r="P633" s="101"/>
      <c r="Q633" s="104" t="s">
        <v>3359</v>
      </c>
      <c r="S633" s="101"/>
      <c r="T633" s="101"/>
      <c r="U633" s="101"/>
      <c r="V633" s="101"/>
    </row>
    <row r="634">
      <c r="A634" s="100" t="s">
        <v>3360</v>
      </c>
      <c r="C634" s="91"/>
      <c r="D634" s="91"/>
      <c r="E634" s="91"/>
      <c r="F634" s="91"/>
      <c r="G634" s="91"/>
      <c r="H634" s="91"/>
      <c r="I634" s="101"/>
      <c r="J634" s="91"/>
      <c r="K634" s="101"/>
      <c r="L634" s="91"/>
      <c r="M634" s="101"/>
      <c r="N634" s="91"/>
      <c r="O634" s="101"/>
      <c r="P634" s="101"/>
      <c r="Q634" s="91"/>
      <c r="R634" s="101"/>
      <c r="S634" s="101"/>
      <c r="T634" s="101"/>
      <c r="U634" s="101"/>
      <c r="V634" s="101"/>
    </row>
    <row r="635">
      <c r="A635" s="91"/>
      <c r="B635" s="104" t="s">
        <v>3361</v>
      </c>
      <c r="C635" s="104" t="s">
        <v>3362</v>
      </c>
      <c r="D635" s="91"/>
      <c r="E635" s="104" t="s">
        <v>3363</v>
      </c>
      <c r="F635" s="91"/>
      <c r="G635" s="104" t="s">
        <v>3364</v>
      </c>
      <c r="H635" s="91"/>
      <c r="I635" s="101"/>
      <c r="J635" s="91"/>
      <c r="K635" s="105">
        <v>3900.0</v>
      </c>
      <c r="L635" s="91"/>
      <c r="M635" s="105">
        <v>0.0</v>
      </c>
      <c r="N635" s="91"/>
      <c r="O635" s="105">
        <v>0.0</v>
      </c>
      <c r="P635" s="101"/>
      <c r="Q635" s="104" t="s">
        <v>3365</v>
      </c>
      <c r="S635" s="101"/>
      <c r="T635" s="101"/>
      <c r="U635" s="101"/>
      <c r="V635" s="101"/>
    </row>
    <row r="636">
      <c r="A636" s="100" t="s">
        <v>3366</v>
      </c>
      <c r="C636" s="91"/>
      <c r="D636" s="91"/>
      <c r="E636" s="91"/>
      <c r="F636" s="91"/>
      <c r="G636" s="91"/>
      <c r="H636" s="91"/>
      <c r="I636" s="101"/>
      <c r="J636" s="91"/>
      <c r="K636" s="101"/>
      <c r="L636" s="91"/>
      <c r="M636" s="101"/>
      <c r="N636" s="91"/>
      <c r="O636" s="101"/>
      <c r="P636" s="101"/>
      <c r="Q636" s="91"/>
      <c r="R636" s="101"/>
      <c r="S636" s="101"/>
      <c r="T636" s="101"/>
      <c r="U636" s="101"/>
      <c r="V636" s="101"/>
    </row>
    <row r="637">
      <c r="A637" s="91"/>
      <c r="B637" s="104" t="s">
        <v>3367</v>
      </c>
      <c r="C637" s="104" t="s">
        <v>3368</v>
      </c>
      <c r="D637" s="91"/>
      <c r="E637" s="104" t="s">
        <v>3369</v>
      </c>
      <c r="F637" s="91"/>
      <c r="G637" s="104" t="s">
        <v>3370</v>
      </c>
      <c r="H637" s="91"/>
      <c r="I637" s="101"/>
      <c r="J637" s="91"/>
      <c r="K637" s="105">
        <v>22000.0</v>
      </c>
      <c r="L637" s="91"/>
      <c r="M637" s="105">
        <v>0.0</v>
      </c>
      <c r="N637" s="91"/>
      <c r="O637" s="105">
        <v>0.0</v>
      </c>
      <c r="P637" s="101"/>
      <c r="Q637" s="104" t="s">
        <v>3371</v>
      </c>
      <c r="S637" s="101"/>
      <c r="T637" s="101"/>
      <c r="U637" s="101"/>
      <c r="V637" s="101"/>
    </row>
    <row r="638">
      <c r="A638" s="91"/>
      <c r="B638" s="104" t="s">
        <v>3372</v>
      </c>
      <c r="C638" s="104" t="s">
        <v>3373</v>
      </c>
      <c r="D638" s="91"/>
      <c r="E638" s="104" t="s">
        <v>3374</v>
      </c>
      <c r="F638" s="91"/>
      <c r="G638" s="104" t="s">
        <v>3375</v>
      </c>
      <c r="H638" s="91"/>
      <c r="I638" s="101"/>
      <c r="J638" s="91"/>
      <c r="K638" s="105">
        <v>28500.0</v>
      </c>
      <c r="L638" s="91"/>
      <c r="M638" s="105">
        <v>0.0</v>
      </c>
      <c r="N638" s="91"/>
      <c r="O638" s="105">
        <v>0.0</v>
      </c>
      <c r="P638" s="101"/>
      <c r="Q638" s="104" t="s">
        <v>3376</v>
      </c>
      <c r="S638" s="101"/>
      <c r="T638" s="101"/>
      <c r="U638" s="101"/>
      <c r="V638" s="101"/>
    </row>
    <row r="639">
      <c r="A639" s="91"/>
      <c r="B639" s="104" t="s">
        <v>3377</v>
      </c>
      <c r="C639" s="104" t="s">
        <v>3378</v>
      </c>
      <c r="D639" s="91"/>
      <c r="E639" s="104" t="s">
        <v>3379</v>
      </c>
      <c r="F639" s="91"/>
      <c r="G639" s="104" t="s">
        <v>3380</v>
      </c>
      <c r="H639" s="91"/>
      <c r="I639" s="101"/>
      <c r="J639" s="91"/>
      <c r="K639" s="105">
        <v>28000.0</v>
      </c>
      <c r="L639" s="91"/>
      <c r="M639" s="105">
        <v>0.0</v>
      </c>
      <c r="N639" s="91"/>
      <c r="O639" s="105">
        <v>0.0</v>
      </c>
      <c r="P639" s="101"/>
      <c r="Q639" s="104" t="s">
        <v>3381</v>
      </c>
      <c r="S639" s="101"/>
      <c r="T639" s="101"/>
      <c r="U639" s="101"/>
      <c r="V639" s="101"/>
    </row>
    <row r="640">
      <c r="A640" s="91"/>
      <c r="B640" s="104" t="s">
        <v>3382</v>
      </c>
      <c r="C640" s="104" t="s">
        <v>3383</v>
      </c>
      <c r="D640" s="91"/>
      <c r="E640" s="104" t="s">
        <v>3384</v>
      </c>
      <c r="F640" s="91"/>
      <c r="G640" s="104" t="s">
        <v>3385</v>
      </c>
      <c r="H640" s="91"/>
      <c r="I640" s="101"/>
      <c r="J640" s="91"/>
      <c r="K640" s="105">
        <v>24500.0</v>
      </c>
      <c r="L640" s="91"/>
      <c r="M640" s="105">
        <v>0.0</v>
      </c>
      <c r="N640" s="91"/>
      <c r="O640" s="105">
        <v>0.0</v>
      </c>
      <c r="P640" s="101"/>
      <c r="Q640" s="104" t="s">
        <v>3386</v>
      </c>
      <c r="S640" s="101"/>
      <c r="T640" s="101"/>
      <c r="U640" s="101"/>
      <c r="V640" s="101"/>
    </row>
    <row r="641">
      <c r="A641" s="91"/>
      <c r="B641" s="104" t="s">
        <v>3387</v>
      </c>
      <c r="C641" s="104" t="s">
        <v>3388</v>
      </c>
      <c r="D641" s="91"/>
      <c r="E641" s="104" t="s">
        <v>3389</v>
      </c>
      <c r="F641" s="91"/>
      <c r="G641" s="104" t="s">
        <v>3390</v>
      </c>
      <c r="H641" s="91"/>
      <c r="I641" s="101"/>
      <c r="J641" s="91"/>
      <c r="K641" s="105">
        <v>26000.0</v>
      </c>
      <c r="L641" s="91"/>
      <c r="M641" s="105">
        <v>0.0</v>
      </c>
      <c r="N641" s="91"/>
      <c r="O641" s="105">
        <v>0.0</v>
      </c>
      <c r="P641" s="101"/>
      <c r="Q641" s="104" t="s">
        <v>3391</v>
      </c>
      <c r="S641" s="101"/>
      <c r="T641" s="101"/>
      <c r="U641" s="101"/>
      <c r="V641" s="101"/>
    </row>
    <row r="642">
      <c r="A642" s="91"/>
      <c r="B642" s="104" t="s">
        <v>3392</v>
      </c>
      <c r="C642" s="104" t="s">
        <v>3393</v>
      </c>
      <c r="D642" s="91"/>
      <c r="E642" s="104" t="s">
        <v>3394</v>
      </c>
      <c r="F642" s="91"/>
      <c r="G642" s="104" t="s">
        <v>3395</v>
      </c>
      <c r="H642" s="91"/>
      <c r="I642" s="101"/>
      <c r="J642" s="91"/>
      <c r="K642" s="105">
        <v>12000.0</v>
      </c>
      <c r="L642" s="91"/>
      <c r="M642" s="105">
        <v>0.0</v>
      </c>
      <c r="N642" s="91"/>
      <c r="O642" s="105">
        <v>0.0</v>
      </c>
      <c r="P642" s="101"/>
      <c r="Q642" s="104" t="s">
        <v>3396</v>
      </c>
      <c r="S642" s="101"/>
      <c r="T642" s="101"/>
      <c r="U642" s="101"/>
      <c r="V642" s="101"/>
    </row>
    <row r="643">
      <c r="A643" s="91"/>
      <c r="B643" s="104" t="s">
        <v>3397</v>
      </c>
      <c r="C643" s="104" t="s">
        <v>3398</v>
      </c>
      <c r="D643" s="91"/>
      <c r="E643" s="104" t="s">
        <v>3399</v>
      </c>
      <c r="F643" s="91"/>
      <c r="G643" s="104" t="s">
        <v>3400</v>
      </c>
      <c r="H643" s="91"/>
      <c r="I643" s="101"/>
      <c r="J643" s="91"/>
      <c r="K643" s="105">
        <v>12000.0</v>
      </c>
      <c r="L643" s="91"/>
      <c r="M643" s="105">
        <v>0.0</v>
      </c>
      <c r="N643" s="91"/>
      <c r="O643" s="105">
        <v>0.0</v>
      </c>
      <c r="P643" s="101"/>
      <c r="Q643" s="104" t="s">
        <v>3401</v>
      </c>
      <c r="S643" s="101"/>
      <c r="T643" s="101"/>
      <c r="U643" s="101"/>
      <c r="V643" s="101"/>
    </row>
    <row r="644">
      <c r="A644" s="91"/>
      <c r="B644" s="104" t="s">
        <v>3402</v>
      </c>
      <c r="C644" s="104" t="s">
        <v>3403</v>
      </c>
      <c r="D644" s="91"/>
      <c r="E644" s="104" t="s">
        <v>3404</v>
      </c>
      <c r="F644" s="91"/>
      <c r="G644" s="104" t="s">
        <v>3405</v>
      </c>
      <c r="H644" s="91"/>
      <c r="I644" s="101"/>
      <c r="J644" s="91"/>
      <c r="K644" s="105">
        <v>22500.0</v>
      </c>
      <c r="L644" s="91"/>
      <c r="M644" s="105">
        <v>0.0</v>
      </c>
      <c r="N644" s="91"/>
      <c r="O644" s="105">
        <v>0.0</v>
      </c>
      <c r="P644" s="101"/>
      <c r="Q644" s="104" t="s">
        <v>3406</v>
      </c>
      <c r="S644" s="101"/>
      <c r="T644" s="101"/>
      <c r="U644" s="101"/>
      <c r="V644" s="101"/>
    </row>
    <row r="645">
      <c r="A645" s="100" t="s">
        <v>3407</v>
      </c>
      <c r="C645" s="91"/>
      <c r="D645" s="91"/>
      <c r="E645" s="91"/>
      <c r="F645" s="91"/>
      <c r="G645" s="91"/>
      <c r="H645" s="91"/>
      <c r="I645" s="101"/>
      <c r="J645" s="91"/>
      <c r="K645" s="101"/>
      <c r="L645" s="91"/>
      <c r="M645" s="101"/>
      <c r="N645" s="91"/>
      <c r="O645" s="101"/>
      <c r="P645" s="101"/>
      <c r="Q645" s="91"/>
      <c r="R645" s="101"/>
      <c r="S645" s="101"/>
      <c r="T645" s="101"/>
      <c r="U645" s="101"/>
      <c r="V645" s="101"/>
    </row>
    <row r="646">
      <c r="A646" s="91"/>
      <c r="B646" s="104" t="s">
        <v>3408</v>
      </c>
      <c r="C646" s="104" t="s">
        <v>3409</v>
      </c>
      <c r="D646" s="91"/>
      <c r="E646" s="104" t="s">
        <v>3410</v>
      </c>
      <c r="F646" s="91"/>
      <c r="G646" s="104" t="s">
        <v>3411</v>
      </c>
      <c r="H646" s="91"/>
      <c r="I646" s="101"/>
      <c r="J646" s="91"/>
      <c r="K646" s="105">
        <v>12800.0</v>
      </c>
      <c r="L646" s="91"/>
      <c r="M646" s="105">
        <v>0.0</v>
      </c>
      <c r="N646" s="91"/>
      <c r="O646" s="105">
        <v>0.0</v>
      </c>
      <c r="P646" s="101"/>
      <c r="Q646" s="104" t="s">
        <v>3412</v>
      </c>
      <c r="S646" s="101"/>
      <c r="T646" s="101"/>
      <c r="U646" s="101"/>
      <c r="V646" s="101"/>
    </row>
    <row r="647">
      <c r="A647" s="91"/>
      <c r="B647" s="104" t="s">
        <v>3413</v>
      </c>
      <c r="C647" s="104" t="s">
        <v>3414</v>
      </c>
      <c r="D647" s="91"/>
      <c r="E647" s="104" t="s">
        <v>3415</v>
      </c>
      <c r="F647" s="91"/>
      <c r="G647" s="104" t="s">
        <v>3416</v>
      </c>
      <c r="H647" s="91"/>
      <c r="I647" s="101"/>
      <c r="J647" s="91"/>
      <c r="K647" s="105">
        <v>12800.0</v>
      </c>
      <c r="L647" s="91"/>
      <c r="M647" s="105">
        <v>0.0</v>
      </c>
      <c r="N647" s="91"/>
      <c r="O647" s="105">
        <v>0.0</v>
      </c>
      <c r="P647" s="101"/>
      <c r="Q647" s="104" t="s">
        <v>3417</v>
      </c>
      <c r="S647" s="101"/>
      <c r="T647" s="101"/>
      <c r="U647" s="101"/>
      <c r="V647" s="101"/>
    </row>
    <row r="648">
      <c r="A648" s="91"/>
      <c r="B648" s="104" t="s">
        <v>3418</v>
      </c>
      <c r="C648" s="104" t="s">
        <v>3419</v>
      </c>
      <c r="D648" s="91"/>
      <c r="E648" s="104" t="s">
        <v>3420</v>
      </c>
      <c r="F648" s="91"/>
      <c r="G648" s="104" t="s">
        <v>3421</v>
      </c>
      <c r="H648" s="91"/>
      <c r="I648" s="101"/>
      <c r="J648" s="91"/>
      <c r="K648" s="105">
        <v>12800.0</v>
      </c>
      <c r="L648" s="91"/>
      <c r="M648" s="105">
        <v>0.0</v>
      </c>
      <c r="N648" s="91"/>
      <c r="O648" s="105">
        <v>0.0</v>
      </c>
      <c r="P648" s="101"/>
      <c r="Q648" s="104" t="s">
        <v>3422</v>
      </c>
      <c r="S648" s="101"/>
      <c r="T648" s="101"/>
      <c r="U648" s="101"/>
      <c r="V648" s="101"/>
    </row>
    <row r="649">
      <c r="A649" s="91"/>
      <c r="B649" s="104" t="s">
        <v>3423</v>
      </c>
      <c r="C649" s="104" t="s">
        <v>3424</v>
      </c>
      <c r="D649" s="91"/>
      <c r="E649" s="104" t="s">
        <v>3425</v>
      </c>
      <c r="F649" s="91"/>
      <c r="G649" s="104" t="s">
        <v>3426</v>
      </c>
      <c r="H649" s="91"/>
      <c r="I649" s="101"/>
      <c r="J649" s="91"/>
      <c r="K649" s="105">
        <v>9100.0</v>
      </c>
      <c r="L649" s="91"/>
      <c r="M649" s="105">
        <v>0.0</v>
      </c>
      <c r="N649" s="91"/>
      <c r="O649" s="105">
        <v>0.0</v>
      </c>
      <c r="P649" s="101"/>
      <c r="Q649" s="104" t="s">
        <v>3427</v>
      </c>
      <c r="S649" s="101"/>
      <c r="T649" s="101"/>
      <c r="U649" s="101"/>
      <c r="V649" s="101"/>
    </row>
    <row r="650">
      <c r="A650" s="91"/>
      <c r="B650" s="104" t="s">
        <v>3428</v>
      </c>
      <c r="C650" s="104" t="s">
        <v>3429</v>
      </c>
      <c r="D650" s="91"/>
      <c r="E650" s="104" t="s">
        <v>3430</v>
      </c>
      <c r="F650" s="91"/>
      <c r="G650" s="104" t="s">
        <v>3431</v>
      </c>
      <c r="H650" s="91"/>
      <c r="I650" s="101"/>
      <c r="J650" s="91"/>
      <c r="K650" s="105">
        <v>7300.0</v>
      </c>
      <c r="L650" s="91"/>
      <c r="M650" s="105">
        <v>0.0</v>
      </c>
      <c r="N650" s="91"/>
      <c r="O650" s="105">
        <v>0.0</v>
      </c>
      <c r="P650" s="101"/>
      <c r="Q650" s="104" t="s">
        <v>3432</v>
      </c>
      <c r="S650" s="101"/>
      <c r="T650" s="101"/>
      <c r="U650" s="101"/>
      <c r="V650" s="101"/>
    </row>
    <row r="651">
      <c r="A651" s="91"/>
      <c r="B651" s="104" t="s">
        <v>3433</v>
      </c>
      <c r="C651" s="104" t="s">
        <v>3434</v>
      </c>
      <c r="D651" s="91"/>
      <c r="E651" s="104" t="s">
        <v>3435</v>
      </c>
      <c r="F651" s="91"/>
      <c r="G651" s="104" t="s">
        <v>3436</v>
      </c>
      <c r="H651" s="91"/>
      <c r="I651" s="101"/>
      <c r="J651" s="91"/>
      <c r="K651" s="105">
        <v>14500.0</v>
      </c>
      <c r="L651" s="91"/>
      <c r="M651" s="105">
        <v>0.0</v>
      </c>
      <c r="N651" s="91"/>
      <c r="O651" s="105">
        <v>0.0</v>
      </c>
      <c r="P651" s="101"/>
      <c r="Q651" s="104" t="s">
        <v>3437</v>
      </c>
      <c r="S651" s="101"/>
      <c r="T651" s="101"/>
      <c r="U651" s="101"/>
      <c r="V651" s="101"/>
    </row>
    <row r="652">
      <c r="A652" s="100" t="s">
        <v>3438</v>
      </c>
      <c r="C652" s="91"/>
      <c r="D652" s="91"/>
      <c r="E652" s="91"/>
      <c r="F652" s="91"/>
      <c r="G652" s="91"/>
      <c r="H652" s="91"/>
      <c r="I652" s="101"/>
      <c r="J652" s="91"/>
      <c r="K652" s="101"/>
      <c r="L652" s="91"/>
      <c r="M652" s="101"/>
      <c r="N652" s="91"/>
      <c r="O652" s="101"/>
      <c r="P652" s="101"/>
      <c r="Q652" s="91"/>
      <c r="R652" s="101"/>
      <c r="S652" s="101"/>
      <c r="T652" s="101"/>
      <c r="U652" s="101"/>
      <c r="V652" s="101"/>
    </row>
    <row r="653">
      <c r="A653" s="91"/>
      <c r="B653" s="104" t="s">
        <v>3439</v>
      </c>
      <c r="C653" s="245" t="s">
        <v>25</v>
      </c>
      <c r="E653" s="245" t="s">
        <v>26</v>
      </c>
      <c r="F653" s="91"/>
      <c r="G653" s="104" t="s">
        <v>3440</v>
      </c>
      <c r="H653" s="91"/>
      <c r="I653" s="101"/>
      <c r="J653" s="91"/>
      <c r="K653" s="105">
        <v>0.0</v>
      </c>
      <c r="L653" s="91"/>
      <c r="M653" s="105">
        <v>2.0</v>
      </c>
      <c r="N653" s="91"/>
      <c r="O653" s="146">
        <v>3000.0</v>
      </c>
      <c r="P653" s="101"/>
      <c r="Q653" s="104" t="s">
        <v>3441</v>
      </c>
      <c r="S653" s="101"/>
      <c r="T653" s="101"/>
      <c r="U653" s="101"/>
      <c r="V653" s="101"/>
    </row>
    <row r="654">
      <c r="A654" s="91"/>
      <c r="B654" s="104" t="s">
        <v>3442</v>
      </c>
      <c r="C654" s="245" t="s">
        <v>3443</v>
      </c>
      <c r="E654" s="245" t="s">
        <v>3444</v>
      </c>
      <c r="F654" s="91"/>
      <c r="G654" s="104" t="s">
        <v>3445</v>
      </c>
      <c r="H654" s="91"/>
      <c r="I654" s="101"/>
      <c r="J654" s="91"/>
      <c r="K654" s="105">
        <v>0.0</v>
      </c>
      <c r="L654" s="91"/>
      <c r="M654" s="146">
        <v>3000.0</v>
      </c>
      <c r="N654" s="91"/>
      <c r="O654" s="146">
        <v>3000.0</v>
      </c>
      <c r="P654" s="101"/>
      <c r="Q654" s="104" t="s">
        <v>3446</v>
      </c>
      <c r="S654" s="101"/>
      <c r="T654" s="101"/>
      <c r="U654" s="101"/>
      <c r="V654" s="101"/>
    </row>
    <row r="655">
      <c r="A655" s="91"/>
      <c r="B655" s="104" t="s">
        <v>3447</v>
      </c>
      <c r="C655" s="104" t="s">
        <v>3448</v>
      </c>
      <c r="D655" s="91"/>
      <c r="E655" s="104" t="s">
        <v>3449</v>
      </c>
      <c r="F655" s="91"/>
      <c r="G655" s="104" t="s">
        <v>3450</v>
      </c>
      <c r="H655" s="91"/>
      <c r="I655" s="91"/>
      <c r="J655" s="91"/>
      <c r="K655" s="105">
        <v>9000.0</v>
      </c>
      <c r="L655" s="91"/>
      <c r="M655" s="105">
        <v>1.0</v>
      </c>
      <c r="N655" s="91"/>
      <c r="O655" s="105">
        <v>9888.0</v>
      </c>
      <c r="P655" s="91"/>
      <c r="Q655" s="104" t="s">
        <v>3451</v>
      </c>
      <c r="S655" s="91"/>
      <c r="T655" s="91"/>
      <c r="U655" s="91"/>
      <c r="V655" s="91"/>
    </row>
    <row r="656">
      <c r="A656" s="91"/>
      <c r="B656" s="104" t="s">
        <v>3452</v>
      </c>
      <c r="C656" s="104" t="s">
        <v>3453</v>
      </c>
      <c r="D656" s="91"/>
      <c r="E656" s="104" t="s">
        <v>3454</v>
      </c>
      <c r="F656" s="91"/>
      <c r="G656" s="104" t="s">
        <v>3455</v>
      </c>
      <c r="H656" s="91"/>
      <c r="I656" s="91"/>
      <c r="J656" s="91"/>
      <c r="K656" s="105">
        <v>0.0</v>
      </c>
      <c r="L656" s="91"/>
      <c r="M656" s="105">
        <v>0.0</v>
      </c>
      <c r="N656" s="91"/>
      <c r="O656" s="105">
        <v>0.0</v>
      </c>
      <c r="P656" s="91"/>
      <c r="Q656" s="104" t="s">
        <v>3456</v>
      </c>
      <c r="S656" s="91"/>
      <c r="T656" s="91"/>
      <c r="U656" s="91"/>
      <c r="V656" s="91"/>
    </row>
    <row r="657">
      <c r="A657" s="91"/>
      <c r="B657" s="104" t="s">
        <v>3457</v>
      </c>
      <c r="C657" s="104" t="s">
        <v>3458</v>
      </c>
      <c r="D657" s="91"/>
      <c r="E657" s="104" t="s">
        <v>3459</v>
      </c>
      <c r="F657" s="91"/>
      <c r="G657" s="104" t="s">
        <v>3460</v>
      </c>
      <c r="H657" s="91"/>
      <c r="I657" s="91"/>
      <c r="J657" s="91"/>
      <c r="K657" s="105">
        <v>0.0</v>
      </c>
      <c r="L657" s="91"/>
      <c r="M657" s="105">
        <v>0.0</v>
      </c>
      <c r="N657" s="91"/>
      <c r="O657" s="105">
        <v>0.0</v>
      </c>
      <c r="P657" s="91"/>
      <c r="Q657" s="90"/>
      <c r="S657" s="91"/>
      <c r="T657" s="91"/>
      <c r="U657" s="91"/>
      <c r="V657" s="91"/>
    </row>
    <row r="658">
      <c r="A658" s="91"/>
      <c r="B658" s="104" t="s">
        <v>3461</v>
      </c>
      <c r="C658" s="104" t="s">
        <v>3462</v>
      </c>
      <c r="D658" s="91"/>
      <c r="E658" s="104" t="s">
        <v>3463</v>
      </c>
      <c r="F658" s="91"/>
      <c r="G658" s="104" t="s">
        <v>3464</v>
      </c>
      <c r="H658" s="91"/>
      <c r="I658" s="91"/>
      <c r="J658" s="91"/>
      <c r="K658" s="105">
        <v>9900.0</v>
      </c>
      <c r="L658" s="91"/>
      <c r="M658" s="105">
        <v>0.0</v>
      </c>
      <c r="N658" s="91"/>
      <c r="O658" s="105">
        <v>0.0</v>
      </c>
      <c r="P658" s="91"/>
      <c r="Q658" s="104" t="s">
        <v>3465</v>
      </c>
      <c r="S658" s="91"/>
      <c r="T658" s="91"/>
      <c r="U658" s="91"/>
      <c r="V658" s="91"/>
    </row>
    <row r="659">
      <c r="A659" s="91"/>
      <c r="B659" s="104" t="s">
        <v>3466</v>
      </c>
      <c r="C659" s="104" t="s">
        <v>3467</v>
      </c>
      <c r="D659" s="91"/>
      <c r="E659" s="104" t="s">
        <v>3468</v>
      </c>
      <c r="F659" s="91"/>
      <c r="G659" s="104" t="s">
        <v>3469</v>
      </c>
      <c r="H659" s="91"/>
      <c r="I659" s="91"/>
      <c r="J659" s="91"/>
      <c r="K659" s="105">
        <v>0.0</v>
      </c>
      <c r="L659" s="91"/>
      <c r="M659" s="105">
        <v>0.0</v>
      </c>
      <c r="N659" s="91"/>
      <c r="O659" s="105">
        <v>0.0</v>
      </c>
      <c r="P659" s="91"/>
      <c r="Q659" s="90"/>
      <c r="S659" s="91"/>
      <c r="T659" s="91"/>
      <c r="U659" s="91"/>
      <c r="V659" s="91"/>
    </row>
    <row r="660">
      <c r="A660" s="247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9"/>
      <c r="T660" s="91"/>
      <c r="U660" s="91"/>
      <c r="V660" s="91"/>
    </row>
    <row r="661">
      <c r="A661" s="90"/>
      <c r="T661" s="91"/>
      <c r="U661" s="91"/>
      <c r="V661" s="91"/>
    </row>
    <row r="662">
      <c r="A662" s="90"/>
      <c r="T662" s="91"/>
      <c r="U662" s="91"/>
      <c r="V662" s="91"/>
    </row>
    <row r="663">
      <c r="A663" s="90"/>
      <c r="T663" s="91"/>
      <c r="U663" s="91"/>
      <c r="V663" s="91"/>
    </row>
    <row r="664">
      <c r="A664" s="90"/>
      <c r="R664" s="251" t="s">
        <v>3470</v>
      </c>
      <c r="T664" s="91"/>
      <c r="U664" s="91"/>
      <c r="V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101"/>
      <c r="J665" s="91"/>
      <c r="K665" s="101"/>
      <c r="L665" s="91"/>
      <c r="M665" s="101"/>
      <c r="N665" s="91"/>
      <c r="O665" s="101"/>
      <c r="P665" s="101"/>
      <c r="Q665" s="91"/>
      <c r="R665" s="101"/>
      <c r="S665" s="101"/>
      <c r="T665" s="101"/>
      <c r="U665" s="101"/>
      <c r="V665" s="10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101"/>
      <c r="L666" s="91"/>
      <c r="M666" s="101"/>
      <c r="N666" s="91"/>
      <c r="O666" s="101"/>
      <c r="P666" s="101"/>
      <c r="Q666" s="91"/>
      <c r="R666" s="101"/>
      <c r="S666" s="101"/>
      <c r="T666" s="101"/>
      <c r="U666" s="101"/>
      <c r="V666" s="101"/>
    </row>
    <row r="667">
      <c r="A667" s="91"/>
      <c r="B667" s="91"/>
      <c r="C667" s="91"/>
      <c r="D667" s="91"/>
      <c r="E667" s="91"/>
      <c r="F667" s="91"/>
      <c r="G667" s="91"/>
      <c r="H667" s="91"/>
      <c r="I667" s="101"/>
      <c r="J667" s="91"/>
      <c r="K667" s="101"/>
      <c r="L667" s="91"/>
      <c r="M667" s="101"/>
      <c r="N667" s="91"/>
      <c r="O667" s="101"/>
      <c r="P667" s="101"/>
      <c r="Q667" s="91"/>
      <c r="R667" s="101"/>
      <c r="S667" s="101"/>
      <c r="T667" s="101"/>
      <c r="U667" s="101"/>
      <c r="V667" s="101"/>
    </row>
    <row r="668">
      <c r="A668" s="91"/>
      <c r="B668" s="91"/>
      <c r="C668" s="91"/>
      <c r="D668" s="91"/>
      <c r="E668" s="91"/>
      <c r="F668" s="91"/>
      <c r="G668" s="91"/>
      <c r="H668" s="91"/>
      <c r="I668" s="101"/>
      <c r="J668" s="91"/>
      <c r="K668" s="101"/>
      <c r="L668" s="91"/>
      <c r="M668" s="101"/>
      <c r="N668" s="91"/>
      <c r="O668" s="101"/>
      <c r="P668" s="101"/>
      <c r="Q668" s="91"/>
      <c r="R668" s="101"/>
      <c r="S668" s="101"/>
      <c r="T668" s="101"/>
      <c r="U668" s="101"/>
      <c r="V668" s="101"/>
    </row>
    <row r="669">
      <c r="A669" s="91"/>
      <c r="B669" s="91"/>
      <c r="C669" s="91"/>
      <c r="D669" s="91"/>
      <c r="E669" s="91"/>
      <c r="F669" s="91"/>
      <c r="G669" s="91"/>
      <c r="H669" s="91"/>
      <c r="I669" s="101"/>
      <c r="J669" s="91"/>
      <c r="K669" s="101"/>
      <c r="L669" s="91"/>
      <c r="M669" s="101"/>
      <c r="N669" s="91"/>
      <c r="O669" s="101"/>
      <c r="P669" s="101"/>
      <c r="Q669" s="91"/>
      <c r="R669" s="101"/>
      <c r="S669" s="101"/>
      <c r="T669" s="101"/>
      <c r="U669" s="101"/>
      <c r="V669" s="101"/>
    </row>
    <row r="670">
      <c r="A670" s="91"/>
      <c r="B670" s="91"/>
      <c r="C670" s="91"/>
      <c r="D670" s="91"/>
      <c r="E670" s="91"/>
      <c r="F670" s="91"/>
      <c r="G670" s="91"/>
      <c r="H670" s="91"/>
      <c r="I670" s="101"/>
      <c r="J670" s="91"/>
      <c r="K670" s="101"/>
      <c r="L670" s="91"/>
      <c r="M670" s="101"/>
      <c r="N670" s="91"/>
      <c r="O670" s="101"/>
      <c r="P670" s="101"/>
      <c r="Q670" s="91"/>
      <c r="R670" s="101"/>
      <c r="S670" s="101"/>
      <c r="T670" s="101"/>
      <c r="U670" s="101"/>
      <c r="V670" s="101"/>
    </row>
    <row r="671">
      <c r="A671" s="91"/>
      <c r="B671" s="91"/>
      <c r="C671" s="91"/>
      <c r="D671" s="91"/>
      <c r="E671" s="91"/>
      <c r="F671" s="91"/>
      <c r="G671" s="91"/>
      <c r="H671" s="91"/>
      <c r="I671" s="101"/>
      <c r="J671" s="91"/>
      <c r="K671" s="101"/>
      <c r="L671" s="91"/>
      <c r="M671" s="101"/>
      <c r="N671" s="91"/>
      <c r="O671" s="101"/>
      <c r="P671" s="101"/>
      <c r="Q671" s="91"/>
      <c r="R671" s="101"/>
      <c r="S671" s="101"/>
      <c r="T671" s="101"/>
      <c r="U671" s="101"/>
      <c r="V671" s="101"/>
    </row>
    <row r="672">
      <c r="A672" s="91"/>
      <c r="B672" s="91"/>
      <c r="C672" s="91"/>
      <c r="D672" s="91"/>
      <c r="E672" s="91"/>
      <c r="F672" s="91"/>
      <c r="G672" s="91"/>
      <c r="H672" s="91"/>
      <c r="I672" s="101"/>
      <c r="J672" s="91"/>
      <c r="K672" s="101"/>
      <c r="L672" s="91"/>
      <c r="M672" s="101"/>
      <c r="N672" s="91"/>
      <c r="O672" s="101"/>
      <c r="P672" s="101"/>
      <c r="Q672" s="91"/>
      <c r="R672" s="101"/>
      <c r="S672" s="101"/>
      <c r="T672" s="101"/>
      <c r="U672" s="101"/>
      <c r="V672" s="101"/>
    </row>
    <row r="673">
      <c r="A673" s="91"/>
      <c r="B673" s="91"/>
      <c r="C673" s="91"/>
      <c r="D673" s="91"/>
      <c r="E673" s="91"/>
      <c r="F673" s="91"/>
      <c r="G673" s="91"/>
      <c r="H673" s="91"/>
      <c r="I673" s="101"/>
      <c r="J673" s="91"/>
      <c r="K673" s="101"/>
      <c r="L673" s="91"/>
      <c r="M673" s="101"/>
      <c r="N673" s="91"/>
      <c r="O673" s="101"/>
      <c r="P673" s="101"/>
      <c r="Q673" s="91"/>
      <c r="R673" s="101"/>
      <c r="S673" s="101"/>
      <c r="T673" s="101"/>
      <c r="U673" s="101"/>
      <c r="V673" s="101"/>
    </row>
    <row r="674">
      <c r="A674" s="91"/>
      <c r="B674" s="91"/>
      <c r="C674" s="91"/>
      <c r="D674" s="91"/>
      <c r="E674" s="91"/>
      <c r="F674" s="91"/>
      <c r="G674" s="91"/>
      <c r="H674" s="91"/>
      <c r="I674" s="101"/>
      <c r="J674" s="91"/>
      <c r="K674" s="101"/>
      <c r="L674" s="91"/>
      <c r="M674" s="102"/>
      <c r="N674" s="91"/>
      <c r="O674" s="101"/>
      <c r="P674" s="101"/>
      <c r="Q674" s="91"/>
      <c r="R674" s="91"/>
      <c r="S674" s="91"/>
      <c r="T674" s="91"/>
      <c r="U674" s="91"/>
      <c r="V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101"/>
      <c r="J675" s="91"/>
      <c r="K675" s="101"/>
      <c r="L675" s="91"/>
      <c r="M675" s="101"/>
      <c r="N675" s="91"/>
      <c r="O675" s="101"/>
      <c r="P675" s="101"/>
      <c r="Q675" s="91"/>
      <c r="R675" s="101"/>
      <c r="S675" s="101"/>
      <c r="T675" s="101"/>
      <c r="U675" s="101"/>
      <c r="V675" s="101"/>
    </row>
    <row r="676">
      <c r="A676" s="91"/>
      <c r="B676" s="91"/>
      <c r="C676" s="91"/>
      <c r="D676" s="91"/>
      <c r="E676" s="91"/>
      <c r="F676" s="91"/>
      <c r="G676" s="91"/>
      <c r="H676" s="91"/>
      <c r="I676" s="101"/>
      <c r="J676" s="91"/>
      <c r="K676" s="101"/>
      <c r="L676" s="91"/>
      <c r="M676" s="101"/>
      <c r="N676" s="91"/>
      <c r="O676" s="101"/>
      <c r="P676" s="101"/>
      <c r="Q676" s="91"/>
      <c r="R676" s="101"/>
      <c r="S676" s="101"/>
      <c r="T676" s="101"/>
      <c r="U676" s="101"/>
      <c r="V676" s="101"/>
    </row>
    <row r="677">
      <c r="A677" s="91"/>
      <c r="B677" s="91"/>
      <c r="C677" s="91"/>
      <c r="D677" s="91"/>
      <c r="E677" s="91"/>
      <c r="F677" s="91"/>
      <c r="G677" s="91"/>
      <c r="H677" s="91"/>
      <c r="I677" s="101"/>
      <c r="J677" s="91"/>
      <c r="K677" s="101"/>
      <c r="L677" s="91"/>
      <c r="M677" s="101"/>
      <c r="N677" s="91"/>
      <c r="O677" s="101"/>
      <c r="P677" s="101"/>
      <c r="Q677" s="91"/>
      <c r="R677" s="101"/>
      <c r="S677" s="101"/>
      <c r="T677" s="101"/>
      <c r="U677" s="101"/>
      <c r="V677" s="101"/>
    </row>
    <row r="678">
      <c r="A678" s="91"/>
      <c r="B678" s="91"/>
      <c r="C678" s="91"/>
      <c r="D678" s="91"/>
      <c r="E678" s="91"/>
      <c r="F678" s="91"/>
      <c r="G678" s="91"/>
      <c r="H678" s="91"/>
      <c r="I678" s="101"/>
      <c r="J678" s="91"/>
      <c r="K678" s="101"/>
      <c r="L678" s="91"/>
      <c r="M678" s="101"/>
      <c r="N678" s="91"/>
      <c r="O678" s="101"/>
      <c r="P678" s="101"/>
      <c r="Q678" s="91"/>
      <c r="R678" s="101"/>
      <c r="S678" s="101"/>
      <c r="T678" s="101"/>
      <c r="U678" s="101"/>
      <c r="V678" s="101"/>
    </row>
    <row r="679">
      <c r="A679" s="91"/>
      <c r="B679" s="91"/>
      <c r="C679" s="91"/>
      <c r="D679" s="91"/>
      <c r="E679" s="91"/>
      <c r="F679" s="91"/>
      <c r="G679" s="91"/>
      <c r="H679" s="91"/>
      <c r="I679" s="101"/>
      <c r="J679" s="91"/>
      <c r="K679" s="101"/>
      <c r="L679" s="91"/>
      <c r="M679" s="101"/>
      <c r="N679" s="91"/>
      <c r="O679" s="101"/>
      <c r="P679" s="101"/>
      <c r="Q679" s="91"/>
      <c r="R679" s="101"/>
      <c r="S679" s="101"/>
      <c r="T679" s="101"/>
      <c r="U679" s="101"/>
      <c r="V679" s="101"/>
    </row>
    <row r="680">
      <c r="A680" s="91"/>
      <c r="B680" s="91"/>
      <c r="C680" s="91"/>
      <c r="D680" s="91"/>
      <c r="E680" s="91"/>
      <c r="F680" s="91"/>
      <c r="G680" s="91"/>
      <c r="H680" s="91"/>
      <c r="I680" s="101"/>
      <c r="J680" s="91"/>
      <c r="K680" s="101"/>
      <c r="L680" s="91"/>
      <c r="M680" s="101"/>
      <c r="N680" s="91"/>
      <c r="O680" s="101"/>
      <c r="P680" s="101"/>
      <c r="Q680" s="91"/>
      <c r="R680" s="101"/>
      <c r="S680" s="101"/>
      <c r="T680" s="101"/>
      <c r="U680" s="101"/>
      <c r="V680" s="101"/>
    </row>
    <row r="681">
      <c r="A681" s="91"/>
      <c r="B681" s="91"/>
      <c r="C681" s="91"/>
      <c r="D681" s="91"/>
      <c r="E681" s="91"/>
      <c r="F681" s="91"/>
      <c r="G681" s="91"/>
      <c r="H681" s="91"/>
      <c r="I681" s="101"/>
      <c r="J681" s="91"/>
      <c r="K681" s="101"/>
      <c r="L681" s="91"/>
      <c r="M681" s="101"/>
      <c r="N681" s="91"/>
      <c r="O681" s="101"/>
      <c r="P681" s="101"/>
      <c r="Q681" s="91"/>
      <c r="R681" s="101"/>
      <c r="S681" s="101"/>
      <c r="T681" s="101"/>
      <c r="U681" s="101"/>
      <c r="V681" s="101"/>
    </row>
    <row r="682">
      <c r="A682" s="91"/>
      <c r="B682" s="91"/>
      <c r="C682" s="91"/>
      <c r="D682" s="91"/>
      <c r="E682" s="91"/>
      <c r="F682" s="91"/>
      <c r="G682" s="91"/>
      <c r="H682" s="91"/>
      <c r="I682" s="101"/>
      <c r="J682" s="91"/>
      <c r="K682" s="101"/>
      <c r="L682" s="91"/>
      <c r="M682" s="101"/>
      <c r="N682" s="91"/>
      <c r="O682" s="101"/>
      <c r="P682" s="101"/>
      <c r="Q682" s="91"/>
      <c r="R682" s="101"/>
      <c r="S682" s="101"/>
      <c r="T682" s="101"/>
      <c r="U682" s="101"/>
      <c r="V682" s="101"/>
    </row>
    <row r="683">
      <c r="A683" s="91"/>
      <c r="B683" s="91"/>
      <c r="C683" s="91"/>
      <c r="D683" s="91"/>
      <c r="E683" s="91"/>
      <c r="F683" s="91"/>
      <c r="G683" s="91"/>
      <c r="H683" s="91"/>
      <c r="I683" s="101"/>
      <c r="J683" s="91"/>
      <c r="K683" s="101"/>
      <c r="L683" s="91"/>
      <c r="M683" s="101"/>
      <c r="N683" s="91"/>
      <c r="O683" s="101"/>
      <c r="P683" s="101"/>
      <c r="Q683" s="91"/>
      <c r="R683" s="101"/>
      <c r="S683" s="101"/>
      <c r="T683" s="101"/>
      <c r="U683" s="101"/>
      <c r="V683" s="101"/>
    </row>
    <row r="684">
      <c r="A684" s="91"/>
      <c r="B684" s="91"/>
      <c r="C684" s="91"/>
      <c r="D684" s="91"/>
      <c r="E684" s="91"/>
      <c r="F684" s="91"/>
      <c r="G684" s="91"/>
      <c r="H684" s="91"/>
      <c r="I684" s="101"/>
      <c r="J684" s="91"/>
      <c r="K684" s="101"/>
      <c r="L684" s="91"/>
      <c r="M684" s="101"/>
      <c r="N684" s="91"/>
      <c r="O684" s="101"/>
      <c r="P684" s="101"/>
      <c r="Q684" s="91"/>
      <c r="R684" s="101"/>
      <c r="S684" s="101"/>
      <c r="T684" s="101"/>
      <c r="U684" s="101"/>
      <c r="V684" s="101"/>
    </row>
    <row r="685">
      <c r="A685" s="91"/>
      <c r="B685" s="91"/>
      <c r="C685" s="91"/>
      <c r="D685" s="91"/>
      <c r="E685" s="91"/>
      <c r="F685" s="91"/>
      <c r="G685" s="91"/>
      <c r="H685" s="91"/>
      <c r="I685" s="101"/>
      <c r="J685" s="91"/>
      <c r="K685" s="101"/>
      <c r="L685" s="91"/>
      <c r="M685" s="101"/>
      <c r="N685" s="91"/>
      <c r="O685" s="101"/>
      <c r="P685" s="101"/>
      <c r="Q685" s="91"/>
      <c r="R685" s="101"/>
      <c r="S685" s="101"/>
      <c r="T685" s="101"/>
      <c r="U685" s="101"/>
      <c r="V685" s="101"/>
    </row>
    <row r="686">
      <c r="A686" s="91"/>
      <c r="B686" s="91"/>
      <c r="C686" s="91"/>
      <c r="D686" s="91"/>
      <c r="E686" s="91"/>
      <c r="F686" s="91"/>
      <c r="G686" s="91"/>
      <c r="H686" s="91"/>
      <c r="I686" s="101"/>
      <c r="J686" s="91"/>
      <c r="K686" s="101"/>
      <c r="L686" s="91"/>
      <c r="M686" s="101"/>
      <c r="N686" s="91"/>
      <c r="O686" s="101"/>
      <c r="P686" s="101"/>
      <c r="Q686" s="91"/>
      <c r="R686" s="101"/>
      <c r="S686" s="101"/>
      <c r="T686" s="101"/>
      <c r="U686" s="101"/>
      <c r="V686" s="101"/>
    </row>
    <row r="687">
      <c r="A687" s="91"/>
      <c r="B687" s="91"/>
      <c r="C687" s="91"/>
      <c r="D687" s="91"/>
      <c r="E687" s="91"/>
      <c r="F687" s="91"/>
      <c r="G687" s="91"/>
      <c r="H687" s="91"/>
      <c r="I687" s="101"/>
      <c r="J687" s="91"/>
      <c r="K687" s="101"/>
      <c r="L687" s="91"/>
      <c r="M687" s="101"/>
      <c r="N687" s="91"/>
      <c r="O687" s="101"/>
      <c r="P687" s="101"/>
      <c r="Q687" s="91"/>
      <c r="R687" s="101"/>
      <c r="S687" s="101"/>
      <c r="T687" s="101"/>
      <c r="U687" s="101"/>
      <c r="V687" s="101"/>
    </row>
    <row r="688">
      <c r="A688" s="91"/>
      <c r="B688" s="91"/>
      <c r="C688" s="91"/>
      <c r="D688" s="91"/>
      <c r="E688" s="91"/>
      <c r="F688" s="91"/>
      <c r="G688" s="91"/>
      <c r="H688" s="91"/>
      <c r="I688" s="101"/>
      <c r="J688" s="91"/>
      <c r="K688" s="101"/>
      <c r="L688" s="91"/>
      <c r="M688" s="101"/>
      <c r="N688" s="91"/>
      <c r="O688" s="101"/>
      <c r="P688" s="101"/>
      <c r="Q688" s="91"/>
      <c r="R688" s="101"/>
      <c r="S688" s="101"/>
      <c r="T688" s="101"/>
      <c r="U688" s="101"/>
      <c r="V688" s="101"/>
    </row>
    <row r="689">
      <c r="A689" s="91"/>
      <c r="B689" s="91"/>
      <c r="C689" s="91"/>
      <c r="D689" s="91"/>
      <c r="E689" s="91"/>
      <c r="F689" s="91"/>
      <c r="G689" s="91"/>
      <c r="H689" s="91"/>
      <c r="I689" s="101"/>
      <c r="J689" s="91"/>
      <c r="K689" s="101"/>
      <c r="L689" s="91"/>
      <c r="M689" s="101"/>
      <c r="N689" s="91"/>
      <c r="O689" s="101"/>
      <c r="P689" s="101"/>
      <c r="Q689" s="91"/>
      <c r="R689" s="101"/>
      <c r="S689" s="101"/>
      <c r="T689" s="101"/>
      <c r="U689" s="101"/>
      <c r="V689" s="10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102"/>
      <c r="N699" s="91"/>
      <c r="O699" s="91"/>
      <c r="P699" s="91"/>
      <c r="Q699" s="91"/>
      <c r="R699" s="91"/>
      <c r="S699" s="91"/>
      <c r="T699" s="91"/>
      <c r="U699" s="91"/>
      <c r="V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101"/>
      <c r="J700" s="91"/>
      <c r="K700" s="101"/>
      <c r="L700" s="91"/>
      <c r="M700" s="101"/>
      <c r="N700" s="91"/>
      <c r="O700" s="101"/>
      <c r="P700" s="101"/>
      <c r="Q700" s="91"/>
      <c r="R700" s="101"/>
      <c r="S700" s="101"/>
      <c r="T700" s="101"/>
      <c r="U700" s="101"/>
      <c r="V700" s="101"/>
    </row>
    <row r="701">
      <c r="A701" s="91"/>
      <c r="B701" s="91"/>
      <c r="C701" s="91"/>
      <c r="D701" s="91"/>
      <c r="E701" s="91"/>
      <c r="F701" s="91"/>
      <c r="G701" s="91"/>
      <c r="H701" s="91"/>
      <c r="I701" s="101"/>
      <c r="J701" s="91"/>
      <c r="K701" s="101"/>
      <c r="L701" s="91"/>
      <c r="M701" s="101"/>
      <c r="N701" s="91"/>
      <c r="O701" s="101"/>
      <c r="P701" s="101"/>
      <c r="Q701" s="91"/>
      <c r="R701" s="101"/>
      <c r="S701" s="101"/>
      <c r="T701" s="101"/>
      <c r="U701" s="101"/>
      <c r="V701" s="101"/>
    </row>
    <row r="702">
      <c r="A702" s="91"/>
      <c r="B702" s="91"/>
      <c r="C702" s="91"/>
      <c r="D702" s="91"/>
      <c r="E702" s="91"/>
      <c r="F702" s="91"/>
      <c r="G702" s="91"/>
      <c r="H702" s="91"/>
      <c r="I702" s="101"/>
      <c r="J702" s="91"/>
      <c r="K702" s="101"/>
      <c r="L702" s="91"/>
      <c r="M702" s="101"/>
      <c r="N702" s="91"/>
      <c r="O702" s="101"/>
      <c r="P702" s="101"/>
      <c r="Q702" s="91"/>
      <c r="R702" s="101"/>
      <c r="S702" s="101"/>
      <c r="T702" s="101"/>
      <c r="U702" s="101"/>
      <c r="V702" s="101"/>
    </row>
    <row r="703">
      <c r="A703" s="91"/>
      <c r="B703" s="91"/>
      <c r="C703" s="91"/>
      <c r="D703" s="91"/>
      <c r="E703" s="91"/>
      <c r="F703" s="91"/>
      <c r="G703" s="91"/>
      <c r="H703" s="91"/>
      <c r="I703" s="101"/>
      <c r="J703" s="91"/>
      <c r="K703" s="101"/>
      <c r="L703" s="91"/>
      <c r="M703" s="101"/>
      <c r="N703" s="91"/>
      <c r="O703" s="101"/>
      <c r="P703" s="101"/>
      <c r="Q703" s="91"/>
      <c r="R703" s="101"/>
      <c r="S703" s="101"/>
      <c r="T703" s="101"/>
      <c r="U703" s="101"/>
      <c r="V703" s="101"/>
    </row>
    <row r="704">
      <c r="A704" s="91"/>
      <c r="B704" s="91"/>
      <c r="C704" s="91"/>
      <c r="D704" s="91"/>
      <c r="E704" s="91"/>
      <c r="F704" s="91"/>
      <c r="G704" s="91"/>
      <c r="H704" s="91"/>
      <c r="I704" s="101"/>
      <c r="J704" s="91"/>
      <c r="K704" s="101"/>
      <c r="L704" s="91"/>
      <c r="M704" s="101"/>
      <c r="N704" s="91"/>
      <c r="O704" s="101"/>
      <c r="P704" s="101"/>
      <c r="Q704" s="91"/>
      <c r="R704" s="101"/>
      <c r="S704" s="101"/>
      <c r="T704" s="101"/>
      <c r="U704" s="101"/>
      <c r="V704" s="101"/>
    </row>
    <row r="705">
      <c r="A705" s="91"/>
      <c r="B705" s="91"/>
      <c r="C705" s="91"/>
      <c r="D705" s="91"/>
      <c r="E705" s="91"/>
      <c r="F705" s="91"/>
      <c r="G705" s="91"/>
      <c r="H705" s="91"/>
      <c r="I705" s="101"/>
      <c r="J705" s="91"/>
      <c r="K705" s="101"/>
      <c r="L705" s="91"/>
      <c r="M705" s="101"/>
      <c r="N705" s="91"/>
      <c r="O705" s="101"/>
      <c r="P705" s="101"/>
      <c r="Q705" s="91"/>
      <c r="R705" s="101"/>
      <c r="S705" s="101"/>
      <c r="T705" s="101"/>
      <c r="U705" s="101"/>
      <c r="V705" s="101"/>
    </row>
    <row r="706">
      <c r="A706" s="91"/>
      <c r="B706" s="91"/>
      <c r="C706" s="91"/>
      <c r="D706" s="91"/>
      <c r="E706" s="91"/>
      <c r="F706" s="91"/>
      <c r="G706" s="91"/>
      <c r="H706" s="91"/>
      <c r="I706" s="101"/>
      <c r="J706" s="91"/>
      <c r="K706" s="101"/>
      <c r="L706" s="91"/>
      <c r="M706" s="101"/>
      <c r="N706" s="91"/>
      <c r="O706" s="101"/>
      <c r="P706" s="101"/>
      <c r="Q706" s="91"/>
      <c r="R706" s="101"/>
      <c r="S706" s="101"/>
      <c r="T706" s="101"/>
      <c r="U706" s="101"/>
      <c r="V706" s="10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101"/>
      <c r="L707" s="91"/>
      <c r="M707" s="101"/>
      <c r="N707" s="91"/>
      <c r="O707" s="101"/>
      <c r="P707" s="101"/>
      <c r="Q707" s="91"/>
      <c r="R707" s="101"/>
      <c r="S707" s="101"/>
      <c r="T707" s="101"/>
      <c r="U707" s="101"/>
      <c r="V707" s="101"/>
    </row>
    <row r="708">
      <c r="A708" s="91"/>
      <c r="B708" s="91"/>
      <c r="C708" s="91"/>
      <c r="D708" s="91"/>
      <c r="E708" s="91"/>
      <c r="F708" s="91"/>
      <c r="G708" s="91"/>
      <c r="H708" s="91"/>
      <c r="I708" s="101"/>
      <c r="J708" s="91"/>
      <c r="K708" s="101"/>
      <c r="L708" s="91"/>
      <c r="M708" s="101"/>
      <c r="N708" s="91"/>
      <c r="O708" s="101"/>
      <c r="P708" s="101"/>
      <c r="Q708" s="91"/>
      <c r="R708" s="101"/>
      <c r="S708" s="101"/>
      <c r="T708" s="101"/>
      <c r="U708" s="101"/>
      <c r="V708" s="101"/>
    </row>
    <row r="709">
      <c r="A709" s="91"/>
      <c r="B709" s="91"/>
      <c r="C709" s="91"/>
      <c r="D709" s="91"/>
      <c r="E709" s="91"/>
      <c r="F709" s="91"/>
      <c r="G709" s="91"/>
      <c r="H709" s="91"/>
      <c r="I709" s="101"/>
      <c r="J709" s="91"/>
      <c r="K709" s="101"/>
      <c r="L709" s="91"/>
      <c r="M709" s="101"/>
      <c r="N709" s="91"/>
      <c r="O709" s="101"/>
      <c r="P709" s="101"/>
      <c r="Q709" s="91"/>
      <c r="R709" s="101"/>
      <c r="S709" s="101"/>
      <c r="T709" s="101"/>
      <c r="U709" s="101"/>
      <c r="V709" s="101"/>
    </row>
    <row r="710">
      <c r="A710" s="91"/>
      <c r="B710" s="91"/>
      <c r="C710" s="91"/>
      <c r="D710" s="91"/>
      <c r="E710" s="91"/>
      <c r="F710" s="91"/>
      <c r="G710" s="91"/>
      <c r="H710" s="91"/>
      <c r="I710" s="101"/>
      <c r="J710" s="91"/>
      <c r="K710" s="101"/>
      <c r="L710" s="91"/>
      <c r="M710" s="101"/>
      <c r="N710" s="91"/>
      <c r="O710" s="101"/>
      <c r="P710" s="101"/>
      <c r="Q710" s="91"/>
      <c r="R710" s="101"/>
      <c r="S710" s="101"/>
      <c r="T710" s="101"/>
      <c r="U710" s="101"/>
      <c r="V710" s="101"/>
    </row>
    <row r="711">
      <c r="A711" s="91"/>
      <c r="B711" s="91"/>
      <c r="C711" s="91"/>
      <c r="D711" s="91"/>
      <c r="E711" s="91"/>
      <c r="F711" s="91"/>
      <c r="G711" s="91"/>
      <c r="H711" s="91"/>
      <c r="I711" s="101"/>
      <c r="J711" s="91"/>
      <c r="K711" s="101"/>
      <c r="L711" s="91"/>
      <c r="M711" s="101"/>
      <c r="N711" s="91"/>
      <c r="O711" s="101"/>
      <c r="P711" s="101"/>
      <c r="Q711" s="91"/>
      <c r="R711" s="101"/>
      <c r="S711" s="101"/>
      <c r="T711" s="101"/>
      <c r="U711" s="101"/>
      <c r="V711" s="101"/>
    </row>
    <row r="712">
      <c r="A712" s="91"/>
      <c r="B712" s="91"/>
      <c r="C712" s="91"/>
      <c r="D712" s="91"/>
      <c r="E712" s="91"/>
      <c r="F712" s="91"/>
      <c r="G712" s="91"/>
      <c r="H712" s="91"/>
      <c r="I712" s="101"/>
      <c r="J712" s="91"/>
      <c r="K712" s="101"/>
      <c r="L712" s="91"/>
      <c r="M712" s="101"/>
      <c r="N712" s="91"/>
      <c r="O712" s="101"/>
      <c r="P712" s="101"/>
      <c r="Q712" s="91"/>
      <c r="R712" s="101"/>
      <c r="S712" s="101"/>
      <c r="T712" s="101"/>
      <c r="U712" s="101"/>
      <c r="V712" s="101"/>
    </row>
    <row r="713">
      <c r="A713" s="91"/>
      <c r="B713" s="91"/>
      <c r="C713" s="91"/>
      <c r="D713" s="91"/>
      <c r="E713" s="91"/>
      <c r="F713" s="91"/>
      <c r="G713" s="91"/>
      <c r="H713" s="91"/>
      <c r="I713" s="101"/>
      <c r="J713" s="91"/>
      <c r="K713" s="101"/>
      <c r="L713" s="91"/>
      <c r="M713" s="101"/>
      <c r="N713" s="91"/>
      <c r="O713" s="101"/>
      <c r="P713" s="101"/>
      <c r="Q713" s="91"/>
      <c r="R713" s="101"/>
      <c r="S713" s="101"/>
      <c r="T713" s="101"/>
      <c r="U713" s="101"/>
      <c r="V713" s="101"/>
    </row>
    <row r="714">
      <c r="A714" s="91"/>
      <c r="B714" s="91"/>
      <c r="C714" s="91"/>
      <c r="D714" s="91"/>
      <c r="E714" s="91"/>
      <c r="F714" s="91"/>
      <c r="G714" s="91"/>
      <c r="H714" s="91"/>
      <c r="I714" s="101"/>
      <c r="J714" s="91"/>
      <c r="K714" s="101"/>
      <c r="L714" s="91"/>
      <c r="M714" s="101"/>
      <c r="N714" s="91"/>
      <c r="O714" s="101"/>
      <c r="P714" s="101"/>
      <c r="Q714" s="91"/>
      <c r="R714" s="101"/>
      <c r="S714" s="101"/>
      <c r="T714" s="101"/>
      <c r="U714" s="101"/>
      <c r="V714" s="101"/>
    </row>
    <row r="715">
      <c r="A715" s="91"/>
      <c r="B715" s="91"/>
      <c r="C715" s="91"/>
      <c r="D715" s="91"/>
      <c r="E715" s="91"/>
      <c r="F715" s="91"/>
      <c r="G715" s="91"/>
      <c r="H715" s="91"/>
      <c r="I715" s="101"/>
      <c r="J715" s="91"/>
      <c r="K715" s="101"/>
      <c r="L715" s="91"/>
      <c r="M715" s="102"/>
      <c r="N715" s="91"/>
      <c r="O715" s="101"/>
      <c r="P715" s="101"/>
      <c r="Q715" s="91"/>
      <c r="R715" s="91"/>
      <c r="S715" s="91"/>
      <c r="T715" s="91"/>
      <c r="U715" s="91"/>
      <c r="V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101"/>
      <c r="J716" s="91"/>
      <c r="K716" s="101"/>
      <c r="L716" s="91"/>
      <c r="M716" s="101"/>
      <c r="N716" s="91"/>
      <c r="O716" s="101"/>
      <c r="P716" s="101"/>
      <c r="Q716" s="91"/>
      <c r="R716" s="101"/>
      <c r="S716" s="101"/>
      <c r="T716" s="101"/>
      <c r="U716" s="101"/>
      <c r="V716" s="101"/>
    </row>
    <row r="717">
      <c r="A717" s="91"/>
      <c r="B717" s="91"/>
      <c r="C717" s="91"/>
      <c r="D717" s="91"/>
      <c r="E717" s="91"/>
      <c r="F717" s="91"/>
      <c r="G717" s="91"/>
      <c r="H717" s="91"/>
      <c r="I717" s="101"/>
      <c r="J717" s="91"/>
      <c r="K717" s="101"/>
      <c r="L717" s="91"/>
      <c r="M717" s="101"/>
      <c r="N717" s="91"/>
      <c r="O717" s="101"/>
      <c r="P717" s="101"/>
      <c r="Q717" s="91"/>
      <c r="R717" s="101"/>
      <c r="S717" s="101"/>
      <c r="T717" s="101"/>
      <c r="U717" s="101"/>
      <c r="V717" s="101"/>
    </row>
    <row r="718">
      <c r="A718" s="91"/>
      <c r="B718" s="91"/>
      <c r="C718" s="91"/>
      <c r="D718" s="91"/>
      <c r="E718" s="91"/>
      <c r="F718" s="91"/>
      <c r="G718" s="91"/>
      <c r="H718" s="91"/>
      <c r="I718" s="101"/>
      <c r="J718" s="91"/>
      <c r="K718" s="101"/>
      <c r="L718" s="91"/>
      <c r="M718" s="101"/>
      <c r="N718" s="91"/>
      <c r="O718" s="101"/>
      <c r="P718" s="101"/>
      <c r="Q718" s="91"/>
      <c r="R718" s="101"/>
      <c r="S718" s="101"/>
      <c r="T718" s="101"/>
      <c r="U718" s="101"/>
      <c r="V718" s="101"/>
    </row>
    <row r="719">
      <c r="A719" s="91"/>
      <c r="B719" s="91"/>
      <c r="C719" s="91"/>
      <c r="D719" s="91"/>
      <c r="E719" s="91"/>
      <c r="F719" s="91"/>
      <c r="G719" s="91"/>
      <c r="H719" s="91"/>
      <c r="I719" s="101"/>
      <c r="J719" s="91"/>
      <c r="K719" s="101"/>
      <c r="L719" s="91"/>
      <c r="M719" s="101"/>
      <c r="N719" s="91"/>
      <c r="O719" s="101"/>
      <c r="P719" s="101"/>
      <c r="Q719" s="91"/>
      <c r="R719" s="101"/>
      <c r="S719" s="101"/>
      <c r="T719" s="101"/>
      <c r="U719" s="101"/>
      <c r="V719" s="101"/>
    </row>
    <row r="720">
      <c r="A720" s="91"/>
      <c r="B720" s="91"/>
      <c r="C720" s="91"/>
      <c r="D720" s="91"/>
      <c r="E720" s="91"/>
      <c r="F720" s="91"/>
      <c r="G720" s="91"/>
      <c r="H720" s="91"/>
      <c r="I720" s="101"/>
      <c r="J720" s="91"/>
      <c r="K720" s="101"/>
      <c r="L720" s="91"/>
      <c r="M720" s="101"/>
      <c r="N720" s="91"/>
      <c r="O720" s="101"/>
      <c r="P720" s="101"/>
      <c r="Q720" s="91"/>
      <c r="R720" s="101"/>
      <c r="S720" s="101"/>
      <c r="T720" s="101"/>
      <c r="U720" s="101"/>
      <c r="V720" s="101"/>
    </row>
    <row r="721">
      <c r="A721" s="91"/>
      <c r="B721" s="91"/>
      <c r="C721" s="91"/>
      <c r="D721" s="91"/>
      <c r="E721" s="91"/>
      <c r="F721" s="91"/>
      <c r="G721" s="91"/>
      <c r="H721" s="91"/>
      <c r="I721" s="101"/>
      <c r="J721" s="91"/>
      <c r="K721" s="101"/>
      <c r="L721" s="91"/>
      <c r="M721" s="101"/>
      <c r="N721" s="91"/>
      <c r="O721" s="101"/>
      <c r="P721" s="101"/>
      <c r="Q721" s="91"/>
      <c r="R721" s="101"/>
      <c r="S721" s="101"/>
      <c r="T721" s="101"/>
      <c r="U721" s="101"/>
      <c r="V721" s="101"/>
    </row>
    <row r="722">
      <c r="A722" s="91"/>
      <c r="B722" s="91"/>
      <c r="C722" s="91"/>
      <c r="D722" s="91"/>
      <c r="E722" s="91"/>
      <c r="F722" s="91"/>
      <c r="G722" s="91"/>
      <c r="H722" s="91"/>
      <c r="I722" s="101"/>
      <c r="J722" s="91"/>
      <c r="K722" s="101"/>
      <c r="L722" s="91"/>
      <c r="M722" s="101"/>
      <c r="N722" s="91"/>
      <c r="O722" s="101"/>
      <c r="P722" s="101"/>
      <c r="Q722" s="91"/>
      <c r="R722" s="101"/>
      <c r="S722" s="101"/>
      <c r="T722" s="101"/>
      <c r="U722" s="101"/>
      <c r="V722" s="101"/>
    </row>
    <row r="723">
      <c r="A723" s="91"/>
      <c r="B723" s="91"/>
      <c r="C723" s="91"/>
      <c r="D723" s="91"/>
      <c r="E723" s="91"/>
      <c r="F723" s="91"/>
      <c r="G723" s="91"/>
      <c r="H723" s="91"/>
      <c r="I723" s="101"/>
      <c r="J723" s="91"/>
      <c r="K723" s="101"/>
      <c r="L723" s="91"/>
      <c r="M723" s="101"/>
      <c r="N723" s="91"/>
      <c r="O723" s="101"/>
      <c r="P723" s="101"/>
      <c r="Q723" s="91"/>
      <c r="R723" s="101"/>
      <c r="S723" s="101"/>
      <c r="T723" s="101"/>
      <c r="U723" s="101"/>
      <c r="V723" s="101"/>
    </row>
    <row r="724">
      <c r="A724" s="91"/>
      <c r="B724" s="91"/>
      <c r="C724" s="91"/>
      <c r="D724" s="91"/>
      <c r="E724" s="91"/>
      <c r="F724" s="91"/>
      <c r="G724" s="91"/>
      <c r="H724" s="91"/>
      <c r="I724" s="101"/>
      <c r="J724" s="91"/>
      <c r="K724" s="101"/>
      <c r="L724" s="91"/>
      <c r="M724" s="101"/>
      <c r="N724" s="91"/>
      <c r="O724" s="101"/>
      <c r="P724" s="101"/>
      <c r="Q724" s="91"/>
      <c r="R724" s="101"/>
      <c r="S724" s="101"/>
      <c r="T724" s="101"/>
      <c r="U724" s="101"/>
      <c r="V724" s="10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102"/>
      <c r="N734" s="91"/>
      <c r="O734" s="91"/>
      <c r="P734" s="91"/>
      <c r="Q734" s="91"/>
      <c r="R734" s="91"/>
      <c r="S734" s="91"/>
      <c r="T734" s="91"/>
      <c r="U734" s="91"/>
      <c r="V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101"/>
      <c r="J735" s="91"/>
      <c r="K735" s="101"/>
      <c r="L735" s="91"/>
      <c r="M735" s="101"/>
      <c r="N735" s="91"/>
      <c r="O735" s="101"/>
      <c r="P735" s="101"/>
      <c r="Q735" s="91"/>
      <c r="R735" s="101"/>
      <c r="S735" s="101"/>
      <c r="T735" s="101"/>
      <c r="U735" s="101"/>
      <c r="V735" s="101"/>
    </row>
    <row r="736">
      <c r="A736" s="91"/>
      <c r="B736" s="91"/>
      <c r="C736" s="91"/>
      <c r="D736" s="91"/>
      <c r="E736" s="91"/>
      <c r="F736" s="91"/>
      <c r="G736" s="91"/>
      <c r="H736" s="91"/>
      <c r="I736" s="101"/>
      <c r="J736" s="91"/>
      <c r="K736" s="101"/>
      <c r="L736" s="91"/>
      <c r="M736" s="101"/>
      <c r="N736" s="91"/>
      <c r="O736" s="101"/>
      <c r="P736" s="101"/>
      <c r="Q736" s="91"/>
      <c r="R736" s="101"/>
      <c r="S736" s="101"/>
      <c r="T736" s="101"/>
      <c r="U736" s="101"/>
      <c r="V736" s="101"/>
    </row>
    <row r="737">
      <c r="A737" s="91"/>
      <c r="B737" s="91"/>
      <c r="C737" s="91"/>
      <c r="D737" s="91"/>
      <c r="E737" s="91"/>
      <c r="F737" s="91"/>
      <c r="G737" s="91"/>
      <c r="H737" s="91"/>
      <c r="I737" s="101"/>
      <c r="J737" s="91"/>
      <c r="K737" s="101"/>
      <c r="L737" s="91"/>
      <c r="M737" s="101"/>
      <c r="N737" s="91"/>
      <c r="O737" s="101"/>
      <c r="P737" s="101"/>
      <c r="Q737" s="91"/>
      <c r="R737" s="101"/>
      <c r="S737" s="101"/>
      <c r="T737" s="101"/>
      <c r="U737" s="101"/>
      <c r="V737" s="101"/>
    </row>
    <row r="738">
      <c r="A738" s="91"/>
      <c r="B738" s="91"/>
      <c r="C738" s="91"/>
      <c r="D738" s="91"/>
      <c r="E738" s="91"/>
      <c r="F738" s="91"/>
      <c r="G738" s="91"/>
      <c r="H738" s="91"/>
      <c r="I738" s="101"/>
      <c r="J738" s="91"/>
      <c r="K738" s="101"/>
      <c r="L738" s="91"/>
      <c r="M738" s="101"/>
      <c r="N738" s="91"/>
      <c r="O738" s="101"/>
      <c r="P738" s="101"/>
      <c r="Q738" s="91"/>
      <c r="R738" s="101"/>
      <c r="S738" s="101"/>
      <c r="T738" s="101"/>
      <c r="U738" s="101"/>
      <c r="V738" s="101"/>
    </row>
    <row r="739">
      <c r="A739" s="91"/>
      <c r="B739" s="91"/>
      <c r="C739" s="91"/>
      <c r="D739" s="91"/>
      <c r="E739" s="91"/>
      <c r="F739" s="91"/>
      <c r="G739" s="91"/>
      <c r="H739" s="91"/>
      <c r="I739" s="101"/>
      <c r="J739" s="91"/>
      <c r="K739" s="101"/>
      <c r="L739" s="91"/>
      <c r="M739" s="101"/>
      <c r="N739" s="91"/>
      <c r="O739" s="101"/>
      <c r="P739" s="101"/>
      <c r="Q739" s="91"/>
      <c r="R739" s="101"/>
      <c r="S739" s="101"/>
      <c r="T739" s="101"/>
      <c r="U739" s="101"/>
      <c r="V739" s="101"/>
    </row>
    <row r="740">
      <c r="A740" s="91"/>
      <c r="B740" s="91"/>
      <c r="C740" s="91"/>
      <c r="D740" s="91"/>
      <c r="E740" s="91"/>
      <c r="F740" s="91"/>
      <c r="G740" s="91"/>
      <c r="H740" s="91"/>
      <c r="I740" s="101"/>
      <c r="J740" s="91"/>
      <c r="K740" s="101"/>
      <c r="L740" s="91"/>
      <c r="M740" s="101"/>
      <c r="N740" s="91"/>
      <c r="O740" s="101"/>
      <c r="P740" s="101"/>
      <c r="Q740" s="91"/>
      <c r="R740" s="101"/>
      <c r="S740" s="101"/>
      <c r="T740" s="101"/>
      <c r="U740" s="101"/>
      <c r="V740" s="101"/>
    </row>
    <row r="741">
      <c r="A741" s="91"/>
      <c r="B741" s="91"/>
      <c r="C741" s="91"/>
      <c r="D741" s="91"/>
      <c r="E741" s="91"/>
      <c r="F741" s="91"/>
      <c r="G741" s="91"/>
      <c r="H741" s="91"/>
      <c r="I741" s="101"/>
      <c r="J741" s="91"/>
      <c r="K741" s="101"/>
      <c r="L741" s="91"/>
      <c r="M741" s="101"/>
      <c r="N741" s="91"/>
      <c r="O741" s="101"/>
      <c r="P741" s="101"/>
      <c r="Q741" s="91"/>
      <c r="R741" s="101"/>
      <c r="S741" s="101"/>
      <c r="T741" s="101"/>
      <c r="U741" s="101"/>
      <c r="V741" s="101"/>
    </row>
    <row r="742">
      <c r="A742" s="91"/>
      <c r="B742" s="91"/>
      <c r="C742" s="91"/>
      <c r="D742" s="91"/>
      <c r="E742" s="91"/>
      <c r="F742" s="91"/>
      <c r="G742" s="91"/>
      <c r="H742" s="91"/>
      <c r="I742" s="101"/>
      <c r="J742" s="91"/>
      <c r="K742" s="101"/>
      <c r="L742" s="91"/>
      <c r="M742" s="101"/>
      <c r="N742" s="91"/>
      <c r="O742" s="101"/>
      <c r="P742" s="101"/>
      <c r="Q742" s="91"/>
      <c r="R742" s="101"/>
      <c r="S742" s="101"/>
      <c r="T742" s="101"/>
      <c r="U742" s="101"/>
      <c r="V742" s="101"/>
    </row>
    <row r="743">
      <c r="A743" s="91"/>
      <c r="B743" s="91"/>
      <c r="C743" s="91"/>
      <c r="D743" s="91"/>
      <c r="E743" s="91"/>
      <c r="F743" s="91"/>
      <c r="G743" s="91"/>
      <c r="H743" s="91"/>
      <c r="I743" s="101"/>
      <c r="J743" s="91"/>
      <c r="K743" s="101"/>
      <c r="L743" s="91"/>
      <c r="M743" s="101"/>
      <c r="N743" s="91"/>
      <c r="O743" s="101"/>
      <c r="P743" s="101"/>
      <c r="Q743" s="91"/>
      <c r="R743" s="101"/>
      <c r="S743" s="101"/>
      <c r="T743" s="101"/>
      <c r="U743" s="101"/>
      <c r="V743" s="101"/>
    </row>
    <row r="744">
      <c r="A744" s="91"/>
      <c r="B744" s="91"/>
      <c r="C744" s="91"/>
      <c r="D744" s="91"/>
      <c r="E744" s="91"/>
      <c r="F744" s="91"/>
      <c r="G744" s="91"/>
      <c r="H744" s="91"/>
      <c r="I744" s="101"/>
      <c r="J744" s="91"/>
      <c r="K744" s="101"/>
      <c r="L744" s="91"/>
      <c r="M744" s="101"/>
      <c r="N744" s="91"/>
      <c r="O744" s="101"/>
      <c r="P744" s="101"/>
      <c r="Q744" s="91"/>
      <c r="R744" s="101"/>
      <c r="S744" s="101"/>
      <c r="T744" s="101"/>
      <c r="U744" s="101"/>
      <c r="V744" s="101"/>
    </row>
    <row r="745">
      <c r="A745" s="91"/>
      <c r="B745" s="91"/>
      <c r="C745" s="91"/>
      <c r="D745" s="91"/>
      <c r="E745" s="91"/>
      <c r="F745" s="91"/>
      <c r="G745" s="91"/>
      <c r="H745" s="91"/>
      <c r="I745" s="101"/>
      <c r="J745" s="91"/>
      <c r="K745" s="101"/>
      <c r="L745" s="91"/>
      <c r="M745" s="101"/>
      <c r="N745" s="91"/>
      <c r="O745" s="101"/>
      <c r="P745" s="101"/>
      <c r="Q745" s="91"/>
      <c r="R745" s="101"/>
      <c r="S745" s="101"/>
      <c r="T745" s="101"/>
      <c r="U745" s="101"/>
      <c r="V745" s="101"/>
    </row>
    <row r="746">
      <c r="A746" s="91"/>
      <c r="B746" s="91"/>
      <c r="C746" s="91"/>
      <c r="D746" s="91"/>
      <c r="E746" s="91"/>
      <c r="F746" s="91"/>
      <c r="G746" s="91"/>
      <c r="H746" s="91"/>
      <c r="I746" s="101"/>
      <c r="J746" s="91"/>
      <c r="K746" s="101"/>
      <c r="L746" s="91"/>
      <c r="M746" s="101"/>
      <c r="N746" s="91"/>
      <c r="O746" s="101"/>
      <c r="P746" s="101"/>
      <c r="Q746" s="91"/>
      <c r="R746" s="101"/>
      <c r="S746" s="101"/>
      <c r="T746" s="101"/>
      <c r="U746" s="101"/>
      <c r="V746" s="101"/>
    </row>
    <row r="747">
      <c r="A747" s="91"/>
      <c r="B747" s="91"/>
      <c r="C747" s="91"/>
      <c r="D747" s="91"/>
      <c r="E747" s="91"/>
      <c r="F747" s="91"/>
      <c r="G747" s="91"/>
      <c r="H747" s="91"/>
      <c r="I747" s="101"/>
      <c r="J747" s="91"/>
      <c r="K747" s="101"/>
      <c r="L747" s="91"/>
      <c r="M747" s="101"/>
      <c r="N747" s="91"/>
      <c r="O747" s="101"/>
      <c r="P747" s="101"/>
      <c r="Q747" s="91"/>
      <c r="R747" s="101"/>
      <c r="S747" s="101"/>
      <c r="T747" s="101"/>
      <c r="U747" s="101"/>
      <c r="V747" s="101"/>
    </row>
    <row r="748">
      <c r="A748" s="91"/>
      <c r="B748" s="91"/>
      <c r="C748" s="91"/>
      <c r="D748" s="91"/>
      <c r="E748" s="91"/>
      <c r="F748" s="91"/>
      <c r="G748" s="91"/>
      <c r="H748" s="91"/>
      <c r="I748" s="101"/>
      <c r="J748" s="91"/>
      <c r="K748" s="101"/>
      <c r="L748" s="91"/>
      <c r="M748" s="101"/>
      <c r="N748" s="91"/>
      <c r="O748" s="101"/>
      <c r="P748" s="101"/>
      <c r="Q748" s="91"/>
      <c r="R748" s="101"/>
      <c r="S748" s="101"/>
      <c r="T748" s="101"/>
      <c r="U748" s="101"/>
      <c r="V748" s="101"/>
    </row>
    <row r="749">
      <c r="A749" s="91"/>
      <c r="B749" s="91"/>
      <c r="C749" s="91"/>
      <c r="D749" s="91"/>
      <c r="E749" s="91"/>
      <c r="F749" s="91"/>
      <c r="G749" s="91"/>
      <c r="H749" s="91"/>
      <c r="I749" s="101"/>
      <c r="J749" s="91"/>
      <c r="K749" s="101"/>
      <c r="L749" s="91"/>
      <c r="M749" s="101"/>
      <c r="N749" s="91"/>
      <c r="O749" s="101"/>
      <c r="P749" s="101"/>
      <c r="Q749" s="91"/>
      <c r="R749" s="101"/>
      <c r="S749" s="101"/>
      <c r="T749" s="101"/>
      <c r="U749" s="101"/>
      <c r="V749" s="101"/>
    </row>
    <row r="750">
      <c r="A750" s="91"/>
      <c r="B750" s="91"/>
      <c r="C750" s="91"/>
      <c r="D750" s="91"/>
      <c r="E750" s="91"/>
      <c r="F750" s="91"/>
      <c r="G750" s="91"/>
      <c r="H750" s="91"/>
      <c r="I750" s="101"/>
      <c r="J750" s="91"/>
      <c r="K750" s="101"/>
      <c r="L750" s="91"/>
      <c r="M750" s="101"/>
      <c r="N750" s="91"/>
      <c r="O750" s="101"/>
      <c r="P750" s="101"/>
      <c r="Q750" s="91"/>
      <c r="R750" s="101"/>
      <c r="S750" s="101"/>
      <c r="T750" s="101"/>
      <c r="U750" s="101"/>
      <c r="V750" s="101"/>
    </row>
    <row r="751">
      <c r="A751" s="91"/>
      <c r="B751" s="91"/>
      <c r="C751" s="91"/>
      <c r="D751" s="91"/>
      <c r="E751" s="91"/>
      <c r="F751" s="91"/>
      <c r="G751" s="91"/>
      <c r="H751" s="91"/>
      <c r="I751" s="101"/>
      <c r="J751" s="91"/>
      <c r="K751" s="101"/>
      <c r="L751" s="91"/>
      <c r="M751" s="101"/>
      <c r="N751" s="91"/>
      <c r="O751" s="101"/>
      <c r="P751" s="101"/>
      <c r="Q751" s="91"/>
      <c r="R751" s="101"/>
      <c r="S751" s="101"/>
      <c r="T751" s="101"/>
      <c r="U751" s="101"/>
      <c r="V751" s="101"/>
    </row>
    <row r="752">
      <c r="A752" s="91"/>
      <c r="B752" s="91"/>
      <c r="C752" s="91"/>
      <c r="D752" s="91"/>
      <c r="E752" s="91"/>
      <c r="F752" s="91"/>
      <c r="G752" s="91"/>
      <c r="H752" s="91"/>
      <c r="I752" s="101"/>
      <c r="J752" s="91"/>
      <c r="K752" s="101"/>
      <c r="L752" s="91"/>
      <c r="M752" s="101"/>
      <c r="N752" s="91"/>
      <c r="O752" s="101"/>
      <c r="P752" s="101"/>
      <c r="Q752" s="91"/>
      <c r="R752" s="101"/>
      <c r="S752" s="101"/>
      <c r="T752" s="101"/>
      <c r="U752" s="101"/>
      <c r="V752" s="101"/>
    </row>
    <row r="753">
      <c r="A753" s="91"/>
      <c r="B753" s="91"/>
      <c r="C753" s="91"/>
      <c r="D753" s="91"/>
      <c r="E753" s="91"/>
      <c r="F753" s="91"/>
      <c r="G753" s="91"/>
      <c r="H753" s="91"/>
      <c r="I753" s="101"/>
      <c r="J753" s="91"/>
      <c r="K753" s="101"/>
      <c r="L753" s="91"/>
      <c r="M753" s="101"/>
      <c r="N753" s="91"/>
      <c r="O753" s="101"/>
      <c r="P753" s="101"/>
      <c r="Q753" s="91"/>
      <c r="R753" s="101"/>
      <c r="S753" s="101"/>
      <c r="T753" s="101"/>
      <c r="U753" s="101"/>
      <c r="V753" s="101"/>
    </row>
    <row r="754">
      <c r="A754" s="91"/>
      <c r="B754" s="91"/>
      <c r="C754" s="91"/>
      <c r="D754" s="91"/>
      <c r="E754" s="91"/>
      <c r="F754" s="91"/>
      <c r="G754" s="91"/>
      <c r="H754" s="91"/>
      <c r="I754" s="101"/>
      <c r="J754" s="91"/>
      <c r="K754" s="101"/>
      <c r="L754" s="91"/>
      <c r="M754" s="101"/>
      <c r="N754" s="91"/>
      <c r="O754" s="101"/>
      <c r="P754" s="101"/>
      <c r="Q754" s="91"/>
      <c r="R754" s="101"/>
      <c r="S754" s="101"/>
      <c r="T754" s="101"/>
      <c r="U754" s="101"/>
      <c r="V754" s="101"/>
    </row>
    <row r="755">
      <c r="A755" s="91"/>
      <c r="B755" s="91"/>
      <c r="C755" s="91"/>
      <c r="D755" s="91"/>
      <c r="E755" s="91"/>
      <c r="F755" s="91"/>
      <c r="G755" s="91"/>
      <c r="H755" s="91"/>
      <c r="I755" s="101"/>
      <c r="J755" s="91"/>
      <c r="K755" s="101"/>
      <c r="L755" s="91"/>
      <c r="M755" s="101"/>
      <c r="N755" s="91"/>
      <c r="O755" s="101"/>
      <c r="P755" s="101"/>
      <c r="Q755" s="91"/>
      <c r="R755" s="101"/>
      <c r="S755" s="101"/>
      <c r="T755" s="101"/>
      <c r="U755" s="101"/>
      <c r="V755" s="101"/>
    </row>
    <row r="756">
      <c r="A756" s="91"/>
      <c r="B756" s="91"/>
      <c r="C756" s="91"/>
      <c r="D756" s="91"/>
      <c r="E756" s="91"/>
      <c r="F756" s="91"/>
      <c r="G756" s="91"/>
      <c r="H756" s="91"/>
      <c r="I756" s="101"/>
      <c r="J756" s="91"/>
      <c r="K756" s="101"/>
      <c r="L756" s="91"/>
      <c r="M756" s="101"/>
      <c r="N756" s="91"/>
      <c r="O756" s="101"/>
      <c r="P756" s="101"/>
      <c r="Q756" s="91"/>
      <c r="R756" s="101"/>
      <c r="S756" s="101"/>
      <c r="T756" s="101"/>
      <c r="U756" s="101"/>
      <c r="V756" s="101"/>
    </row>
    <row r="757">
      <c r="A757" s="91"/>
      <c r="B757" s="91"/>
      <c r="C757" s="91"/>
      <c r="D757" s="91"/>
      <c r="E757" s="91"/>
      <c r="F757" s="91"/>
      <c r="G757" s="91"/>
      <c r="H757" s="91"/>
      <c r="I757" s="101"/>
      <c r="J757" s="91"/>
      <c r="K757" s="101"/>
      <c r="L757" s="91"/>
      <c r="M757" s="101"/>
      <c r="N757" s="91"/>
      <c r="O757" s="101"/>
      <c r="P757" s="101"/>
      <c r="Q757" s="91"/>
      <c r="R757" s="101"/>
      <c r="S757" s="101"/>
      <c r="T757" s="101"/>
      <c r="U757" s="101"/>
      <c r="V757" s="101"/>
    </row>
    <row r="758">
      <c r="A758" s="91"/>
      <c r="B758" s="91"/>
      <c r="C758" s="91"/>
      <c r="D758" s="91"/>
      <c r="E758" s="91"/>
      <c r="F758" s="91"/>
      <c r="G758" s="91"/>
      <c r="H758" s="91"/>
      <c r="I758" s="101"/>
      <c r="J758" s="91"/>
      <c r="K758" s="101"/>
      <c r="L758" s="91"/>
      <c r="M758" s="101"/>
      <c r="N758" s="91"/>
      <c r="O758" s="101"/>
      <c r="P758" s="101"/>
      <c r="Q758" s="91"/>
      <c r="R758" s="101"/>
      <c r="S758" s="101"/>
      <c r="T758" s="101"/>
      <c r="U758" s="101"/>
      <c r="V758" s="10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101"/>
      <c r="L759" s="91"/>
      <c r="M759" s="101"/>
      <c r="N759" s="91"/>
      <c r="O759" s="101"/>
      <c r="P759" s="101"/>
      <c r="Q759" s="91"/>
      <c r="R759" s="101"/>
      <c r="S759" s="101"/>
      <c r="T759" s="101"/>
      <c r="U759" s="101"/>
      <c r="V759" s="10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102"/>
      <c r="N769" s="91"/>
      <c r="O769" s="91"/>
      <c r="P769" s="91"/>
      <c r="Q769" s="91"/>
      <c r="R769" s="91"/>
      <c r="S769" s="91"/>
      <c r="T769" s="91"/>
      <c r="U769" s="91"/>
      <c r="V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101"/>
      <c r="J770" s="91"/>
      <c r="K770" s="101"/>
      <c r="L770" s="91"/>
      <c r="M770" s="101"/>
      <c r="N770" s="91"/>
      <c r="O770" s="101"/>
      <c r="P770" s="101"/>
      <c r="Q770" s="91"/>
      <c r="R770" s="101"/>
      <c r="S770" s="101"/>
      <c r="T770" s="101"/>
      <c r="U770" s="101"/>
      <c r="V770" s="101"/>
    </row>
    <row r="771">
      <c r="A771" s="91"/>
      <c r="B771" s="91"/>
      <c r="C771" s="91"/>
      <c r="D771" s="91"/>
      <c r="E771" s="91"/>
      <c r="F771" s="91"/>
      <c r="G771" s="91"/>
      <c r="H771" s="91"/>
      <c r="I771" s="101"/>
      <c r="J771" s="91"/>
      <c r="K771" s="101"/>
      <c r="L771" s="91"/>
      <c r="M771" s="101"/>
      <c r="N771" s="91"/>
      <c r="O771" s="101"/>
      <c r="P771" s="101"/>
      <c r="Q771" s="91"/>
      <c r="R771" s="101"/>
      <c r="S771" s="101"/>
      <c r="T771" s="101"/>
      <c r="U771" s="101"/>
      <c r="V771" s="101"/>
    </row>
    <row r="772">
      <c r="A772" s="91"/>
      <c r="B772" s="91"/>
      <c r="C772" s="91"/>
      <c r="D772" s="91"/>
      <c r="E772" s="91"/>
      <c r="F772" s="91"/>
      <c r="G772" s="91"/>
      <c r="H772" s="91"/>
      <c r="I772" s="101"/>
      <c r="J772" s="91"/>
      <c r="K772" s="101"/>
      <c r="L772" s="91"/>
      <c r="M772" s="101"/>
      <c r="N772" s="91"/>
      <c r="O772" s="101"/>
      <c r="P772" s="101"/>
      <c r="Q772" s="91"/>
      <c r="R772" s="101"/>
      <c r="S772" s="101"/>
      <c r="T772" s="101"/>
      <c r="U772" s="101"/>
      <c r="V772" s="101"/>
    </row>
    <row r="773">
      <c r="A773" s="91"/>
      <c r="B773" s="91"/>
      <c r="C773" s="91"/>
      <c r="D773" s="91"/>
      <c r="E773" s="91"/>
      <c r="F773" s="91"/>
      <c r="G773" s="91"/>
      <c r="H773" s="91"/>
      <c r="I773" s="101"/>
      <c r="J773" s="91"/>
      <c r="K773" s="101"/>
      <c r="L773" s="91"/>
      <c r="M773" s="101"/>
      <c r="N773" s="91"/>
      <c r="O773" s="101"/>
      <c r="P773" s="101"/>
      <c r="Q773" s="91"/>
      <c r="R773" s="101"/>
      <c r="S773" s="101"/>
      <c r="T773" s="101"/>
      <c r="U773" s="101"/>
      <c r="V773" s="101"/>
    </row>
    <row r="774">
      <c r="A774" s="91"/>
      <c r="B774" s="91"/>
      <c r="C774" s="91"/>
      <c r="D774" s="91"/>
      <c r="E774" s="91"/>
      <c r="F774" s="91"/>
      <c r="G774" s="91"/>
      <c r="H774" s="91"/>
      <c r="I774" s="101"/>
      <c r="J774" s="91"/>
      <c r="K774" s="101"/>
      <c r="L774" s="91"/>
      <c r="M774" s="101"/>
      <c r="N774" s="91"/>
      <c r="O774" s="101"/>
      <c r="P774" s="101"/>
      <c r="Q774" s="91"/>
      <c r="R774" s="101"/>
      <c r="S774" s="101"/>
      <c r="T774" s="101"/>
      <c r="U774" s="101"/>
      <c r="V774" s="101"/>
    </row>
    <row r="775">
      <c r="A775" s="91"/>
      <c r="B775" s="91"/>
      <c r="C775" s="91"/>
      <c r="D775" s="91"/>
      <c r="E775" s="91"/>
      <c r="F775" s="91"/>
      <c r="G775" s="91"/>
      <c r="H775" s="91"/>
      <c r="I775" s="101"/>
      <c r="J775" s="91"/>
      <c r="K775" s="101"/>
      <c r="L775" s="91"/>
      <c r="M775" s="101"/>
      <c r="N775" s="91"/>
      <c r="O775" s="101"/>
      <c r="P775" s="101"/>
      <c r="Q775" s="91"/>
      <c r="R775" s="101"/>
      <c r="S775" s="101"/>
      <c r="T775" s="101"/>
      <c r="U775" s="101"/>
      <c r="V775" s="101"/>
    </row>
    <row r="776">
      <c r="A776" s="91"/>
      <c r="B776" s="91"/>
      <c r="C776" s="91"/>
      <c r="D776" s="91"/>
      <c r="E776" s="91"/>
      <c r="F776" s="91"/>
      <c r="G776" s="91"/>
      <c r="H776" s="91"/>
      <c r="I776" s="101"/>
      <c r="J776" s="91"/>
      <c r="K776" s="101"/>
      <c r="L776" s="91"/>
      <c r="M776" s="101"/>
      <c r="N776" s="91"/>
      <c r="O776" s="101"/>
      <c r="P776" s="101"/>
      <c r="Q776" s="91"/>
      <c r="R776" s="101"/>
      <c r="S776" s="101"/>
      <c r="T776" s="101"/>
      <c r="U776" s="101"/>
      <c r="V776" s="101"/>
    </row>
    <row r="777">
      <c r="A777" s="91"/>
      <c r="B777" s="91"/>
      <c r="C777" s="91"/>
      <c r="D777" s="91"/>
      <c r="E777" s="91"/>
      <c r="F777" s="91"/>
      <c r="G777" s="91"/>
      <c r="H777" s="91"/>
      <c r="I777" s="101"/>
      <c r="J777" s="91"/>
      <c r="K777" s="101"/>
      <c r="L777" s="91"/>
      <c r="M777" s="102"/>
      <c r="N777" s="91"/>
      <c r="O777" s="101"/>
      <c r="P777" s="101"/>
      <c r="Q777" s="91"/>
      <c r="R777" s="91"/>
      <c r="S777" s="91"/>
      <c r="T777" s="91"/>
      <c r="U777" s="91"/>
      <c r="V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101"/>
      <c r="J778" s="91"/>
      <c r="K778" s="101"/>
      <c r="L778" s="91"/>
      <c r="M778" s="101"/>
      <c r="N778" s="91"/>
      <c r="O778" s="101"/>
      <c r="P778" s="101"/>
      <c r="Q778" s="91"/>
      <c r="R778" s="101"/>
      <c r="S778" s="101"/>
      <c r="T778" s="101"/>
      <c r="U778" s="101"/>
      <c r="V778" s="101"/>
    </row>
    <row r="779">
      <c r="A779" s="91"/>
      <c r="B779" s="91"/>
      <c r="C779" s="91"/>
      <c r="D779" s="91"/>
      <c r="E779" s="91"/>
      <c r="F779" s="91"/>
      <c r="G779" s="91"/>
      <c r="H779" s="91"/>
      <c r="I779" s="101"/>
      <c r="J779" s="91"/>
      <c r="K779" s="101"/>
      <c r="L779" s="91"/>
      <c r="M779" s="101"/>
      <c r="N779" s="91"/>
      <c r="O779" s="101"/>
      <c r="P779" s="101"/>
      <c r="Q779" s="91"/>
      <c r="R779" s="101"/>
      <c r="S779" s="101"/>
      <c r="T779" s="101"/>
      <c r="U779" s="101"/>
      <c r="V779" s="101"/>
    </row>
    <row r="780">
      <c r="A780" s="91"/>
      <c r="B780" s="91"/>
      <c r="C780" s="91"/>
      <c r="D780" s="91"/>
      <c r="E780" s="91"/>
      <c r="F780" s="91"/>
      <c r="G780" s="91"/>
      <c r="H780" s="91"/>
      <c r="I780" s="101"/>
      <c r="J780" s="91"/>
      <c r="K780" s="101"/>
      <c r="L780" s="91"/>
      <c r="M780" s="101"/>
      <c r="N780" s="91"/>
      <c r="O780" s="101"/>
      <c r="P780" s="101"/>
      <c r="Q780" s="91"/>
      <c r="R780" s="101"/>
      <c r="S780" s="101"/>
      <c r="T780" s="101"/>
      <c r="U780" s="101"/>
      <c r="V780" s="101"/>
    </row>
    <row r="781">
      <c r="A781" s="91"/>
      <c r="B781" s="91"/>
      <c r="C781" s="91"/>
      <c r="D781" s="91"/>
      <c r="E781" s="91"/>
      <c r="F781" s="91"/>
      <c r="G781" s="91"/>
      <c r="H781" s="91"/>
      <c r="I781" s="101"/>
      <c r="J781" s="91"/>
      <c r="K781" s="101"/>
      <c r="L781" s="91"/>
      <c r="M781" s="101"/>
      <c r="N781" s="91"/>
      <c r="O781" s="101"/>
      <c r="P781" s="101"/>
      <c r="Q781" s="91"/>
      <c r="R781" s="101"/>
      <c r="S781" s="101"/>
      <c r="T781" s="101"/>
      <c r="U781" s="101"/>
      <c r="V781" s="101"/>
    </row>
    <row r="782">
      <c r="A782" s="91"/>
      <c r="B782" s="91"/>
      <c r="C782" s="91"/>
      <c r="D782" s="91"/>
      <c r="E782" s="91"/>
      <c r="F782" s="91"/>
      <c r="G782" s="91"/>
      <c r="H782" s="91"/>
      <c r="I782" s="101"/>
      <c r="J782" s="91"/>
      <c r="K782" s="101"/>
      <c r="L782" s="91"/>
      <c r="M782" s="101"/>
      <c r="N782" s="91"/>
      <c r="O782" s="101"/>
      <c r="P782" s="101"/>
      <c r="Q782" s="91"/>
      <c r="R782" s="101"/>
      <c r="S782" s="101"/>
      <c r="T782" s="101"/>
      <c r="U782" s="101"/>
      <c r="V782" s="101"/>
    </row>
    <row r="783">
      <c r="A783" s="91"/>
      <c r="B783" s="91"/>
      <c r="C783" s="91"/>
      <c r="D783" s="91"/>
      <c r="E783" s="91"/>
      <c r="F783" s="91"/>
      <c r="G783" s="91"/>
      <c r="H783" s="91"/>
      <c r="I783" s="101"/>
      <c r="J783" s="91"/>
      <c r="K783" s="101"/>
      <c r="L783" s="91"/>
      <c r="M783" s="101"/>
      <c r="N783" s="91"/>
      <c r="O783" s="101"/>
      <c r="P783" s="101"/>
      <c r="Q783" s="91"/>
      <c r="R783" s="101"/>
      <c r="S783" s="101"/>
      <c r="T783" s="101"/>
      <c r="U783" s="101"/>
      <c r="V783" s="10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101"/>
      <c r="L784" s="91"/>
      <c r="M784" s="101"/>
      <c r="N784" s="91"/>
      <c r="O784" s="101"/>
      <c r="P784" s="101"/>
      <c r="Q784" s="91"/>
      <c r="R784" s="101"/>
      <c r="S784" s="101"/>
      <c r="T784" s="101"/>
      <c r="U784" s="101"/>
      <c r="V784" s="101"/>
    </row>
    <row r="785">
      <c r="A785" s="91"/>
      <c r="B785" s="91"/>
      <c r="C785" s="91"/>
      <c r="D785" s="91"/>
      <c r="E785" s="91"/>
      <c r="F785" s="91"/>
      <c r="G785" s="91"/>
      <c r="H785" s="91"/>
      <c r="I785" s="101"/>
      <c r="J785" s="91"/>
      <c r="K785" s="101"/>
      <c r="L785" s="91"/>
      <c r="M785" s="101"/>
      <c r="N785" s="91"/>
      <c r="O785" s="101"/>
      <c r="P785" s="101"/>
      <c r="Q785" s="91"/>
      <c r="R785" s="101"/>
      <c r="S785" s="101"/>
      <c r="T785" s="101"/>
      <c r="U785" s="101"/>
      <c r="V785" s="101"/>
    </row>
    <row r="786">
      <c r="A786" s="91"/>
      <c r="B786" s="91"/>
      <c r="C786" s="91"/>
      <c r="D786" s="91"/>
      <c r="E786" s="91"/>
      <c r="F786" s="91"/>
      <c r="G786" s="91"/>
      <c r="H786" s="91"/>
      <c r="I786" s="101"/>
      <c r="J786" s="91"/>
      <c r="K786" s="101"/>
      <c r="L786" s="91"/>
      <c r="M786" s="101"/>
      <c r="N786" s="91"/>
      <c r="O786" s="101"/>
      <c r="P786" s="101"/>
      <c r="Q786" s="91"/>
      <c r="R786" s="101"/>
      <c r="S786" s="101"/>
      <c r="T786" s="101"/>
      <c r="U786" s="101"/>
      <c r="V786" s="101"/>
    </row>
    <row r="787">
      <c r="A787" s="91"/>
      <c r="B787" s="91"/>
      <c r="C787" s="91"/>
      <c r="D787" s="91"/>
      <c r="E787" s="91"/>
      <c r="F787" s="91"/>
      <c r="G787" s="91"/>
      <c r="H787" s="91"/>
      <c r="I787" s="101"/>
      <c r="J787" s="91"/>
      <c r="K787" s="101"/>
      <c r="L787" s="91"/>
      <c r="M787" s="101"/>
      <c r="N787" s="91"/>
      <c r="O787" s="101"/>
      <c r="P787" s="101"/>
      <c r="Q787" s="91"/>
      <c r="R787" s="101"/>
      <c r="S787" s="101"/>
      <c r="T787" s="101"/>
      <c r="U787" s="101"/>
      <c r="V787" s="101"/>
    </row>
    <row r="788">
      <c r="A788" s="91"/>
      <c r="B788" s="91"/>
      <c r="C788" s="91"/>
      <c r="D788" s="91"/>
      <c r="E788" s="91"/>
      <c r="F788" s="91"/>
      <c r="G788" s="91"/>
      <c r="H788" s="91"/>
      <c r="I788" s="101"/>
      <c r="J788" s="91"/>
      <c r="K788" s="101"/>
      <c r="L788" s="91"/>
      <c r="M788" s="101"/>
      <c r="N788" s="91"/>
      <c r="O788" s="101"/>
      <c r="P788" s="101"/>
      <c r="Q788" s="91"/>
      <c r="R788" s="101"/>
      <c r="S788" s="101"/>
      <c r="T788" s="101"/>
      <c r="U788" s="101"/>
      <c r="V788" s="101"/>
    </row>
    <row r="789">
      <c r="A789" s="91"/>
      <c r="B789" s="91"/>
      <c r="C789" s="91"/>
      <c r="D789" s="91"/>
      <c r="E789" s="91"/>
      <c r="F789" s="91"/>
      <c r="G789" s="91"/>
      <c r="H789" s="91"/>
      <c r="I789" s="101"/>
      <c r="J789" s="91"/>
      <c r="K789" s="101"/>
      <c r="L789" s="91"/>
      <c r="M789" s="101"/>
      <c r="N789" s="91"/>
      <c r="O789" s="101"/>
      <c r="P789" s="101"/>
      <c r="Q789" s="91"/>
      <c r="R789" s="101"/>
      <c r="S789" s="101"/>
      <c r="T789" s="101"/>
      <c r="U789" s="101"/>
      <c r="V789" s="101"/>
    </row>
    <row r="790">
      <c r="A790" s="91"/>
      <c r="B790" s="91"/>
      <c r="C790" s="91"/>
      <c r="D790" s="91"/>
      <c r="E790" s="91"/>
      <c r="F790" s="91"/>
      <c r="G790" s="91"/>
      <c r="H790" s="91"/>
      <c r="I790" s="101"/>
      <c r="J790" s="91"/>
      <c r="K790" s="101"/>
      <c r="L790" s="91"/>
      <c r="M790" s="101"/>
      <c r="N790" s="91"/>
      <c r="O790" s="101"/>
      <c r="P790" s="101"/>
      <c r="Q790" s="91"/>
      <c r="R790" s="101"/>
      <c r="S790" s="101"/>
      <c r="T790" s="101"/>
      <c r="U790" s="101"/>
      <c r="V790" s="101"/>
    </row>
    <row r="791">
      <c r="A791" s="91"/>
      <c r="B791" s="91"/>
      <c r="C791" s="91"/>
      <c r="D791" s="91"/>
      <c r="E791" s="91"/>
      <c r="F791" s="91"/>
      <c r="G791" s="91"/>
      <c r="H791" s="91"/>
      <c r="I791" s="101"/>
      <c r="J791" s="91"/>
      <c r="K791" s="101"/>
      <c r="L791" s="91"/>
      <c r="M791" s="101"/>
      <c r="N791" s="91"/>
      <c r="O791" s="101"/>
      <c r="P791" s="101"/>
      <c r="Q791" s="91"/>
      <c r="R791" s="101"/>
      <c r="S791" s="101"/>
      <c r="T791" s="101"/>
      <c r="U791" s="101"/>
      <c r="V791" s="101"/>
    </row>
    <row r="792">
      <c r="A792" s="91"/>
      <c r="B792" s="91"/>
      <c r="C792" s="91"/>
      <c r="D792" s="91"/>
      <c r="E792" s="91"/>
      <c r="F792" s="91"/>
      <c r="G792" s="91"/>
      <c r="H792" s="91"/>
      <c r="I792" s="101"/>
      <c r="J792" s="91"/>
      <c r="K792" s="101"/>
      <c r="L792" s="91"/>
      <c r="M792" s="102"/>
      <c r="N792" s="91"/>
      <c r="O792" s="101"/>
      <c r="P792" s="101"/>
      <c r="Q792" s="91"/>
      <c r="R792" s="91"/>
      <c r="S792" s="91"/>
      <c r="T792" s="91"/>
      <c r="U792" s="91"/>
      <c r="V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101"/>
      <c r="J793" s="91"/>
      <c r="K793" s="101"/>
      <c r="L793" s="91"/>
      <c r="M793" s="101"/>
      <c r="N793" s="91"/>
      <c r="O793" s="101"/>
      <c r="P793" s="101"/>
      <c r="Q793" s="91"/>
      <c r="R793" s="101"/>
      <c r="S793" s="101"/>
      <c r="T793" s="101"/>
      <c r="U793" s="101"/>
      <c r="V793" s="101"/>
    </row>
    <row r="794">
      <c r="A794" s="91"/>
      <c r="B794" s="91"/>
      <c r="C794" s="91"/>
      <c r="D794" s="91"/>
      <c r="E794" s="91"/>
      <c r="F794" s="91"/>
      <c r="G794" s="91"/>
      <c r="H794" s="91"/>
      <c r="I794" s="101"/>
      <c r="J794" s="91"/>
      <c r="K794" s="101"/>
      <c r="L794" s="91"/>
      <c r="M794" s="101"/>
      <c r="N794" s="91"/>
      <c r="O794" s="101"/>
      <c r="P794" s="101"/>
      <c r="Q794" s="91"/>
      <c r="R794" s="101"/>
      <c r="S794" s="101"/>
      <c r="T794" s="101"/>
      <c r="U794" s="101"/>
      <c r="V794" s="10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102"/>
      <c r="N804" s="91"/>
      <c r="O804" s="91"/>
      <c r="P804" s="91"/>
      <c r="Q804" s="91"/>
      <c r="R804" s="91"/>
      <c r="S804" s="91"/>
      <c r="T804" s="91"/>
      <c r="U804" s="91"/>
      <c r="V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101"/>
      <c r="J805" s="91"/>
      <c r="K805" s="101"/>
      <c r="L805" s="91"/>
      <c r="M805" s="101"/>
      <c r="N805" s="91"/>
      <c r="O805" s="101"/>
      <c r="P805" s="101"/>
      <c r="Q805" s="91"/>
      <c r="R805" s="101"/>
      <c r="S805" s="101"/>
      <c r="T805" s="101"/>
      <c r="U805" s="101"/>
      <c r="V805" s="101"/>
    </row>
    <row r="806">
      <c r="A806" s="91"/>
      <c r="B806" s="91"/>
      <c r="C806" s="91"/>
      <c r="D806" s="91"/>
      <c r="E806" s="91"/>
      <c r="F806" s="91"/>
      <c r="G806" s="91"/>
      <c r="H806" s="91"/>
      <c r="I806" s="101"/>
      <c r="J806" s="91"/>
      <c r="K806" s="101"/>
      <c r="L806" s="91"/>
      <c r="M806" s="101"/>
      <c r="N806" s="91"/>
      <c r="O806" s="101"/>
      <c r="P806" s="101"/>
      <c r="Q806" s="91"/>
      <c r="R806" s="101"/>
      <c r="S806" s="101"/>
      <c r="T806" s="101"/>
      <c r="U806" s="101"/>
      <c r="V806" s="101"/>
    </row>
    <row r="807">
      <c r="A807" s="91"/>
      <c r="B807" s="91"/>
      <c r="C807" s="91"/>
      <c r="D807" s="91"/>
      <c r="E807" s="91"/>
      <c r="F807" s="91"/>
      <c r="G807" s="91"/>
      <c r="H807" s="91"/>
      <c r="I807" s="101"/>
      <c r="J807" s="91"/>
      <c r="K807" s="101"/>
      <c r="L807" s="91"/>
      <c r="M807" s="101"/>
      <c r="N807" s="91"/>
      <c r="O807" s="101"/>
      <c r="P807" s="101"/>
      <c r="Q807" s="91"/>
      <c r="R807" s="101"/>
      <c r="S807" s="101"/>
      <c r="T807" s="101"/>
      <c r="U807" s="101"/>
      <c r="V807" s="101"/>
    </row>
    <row r="808">
      <c r="A808" s="91"/>
      <c r="B808" s="91"/>
      <c r="C808" s="91"/>
      <c r="D808" s="91"/>
      <c r="E808" s="91"/>
      <c r="F808" s="91"/>
      <c r="G808" s="91"/>
      <c r="H808" s="91"/>
      <c r="I808" s="101"/>
      <c r="J808" s="91"/>
      <c r="K808" s="101"/>
      <c r="L808" s="91"/>
      <c r="M808" s="101"/>
      <c r="N808" s="91"/>
      <c r="O808" s="101"/>
      <c r="P808" s="101"/>
      <c r="Q808" s="91"/>
      <c r="R808" s="101"/>
      <c r="S808" s="101"/>
      <c r="T808" s="101"/>
      <c r="U808" s="101"/>
      <c r="V808" s="101"/>
    </row>
    <row r="809">
      <c r="A809" s="91"/>
      <c r="B809" s="91"/>
      <c r="C809" s="91"/>
      <c r="D809" s="91"/>
      <c r="E809" s="91"/>
      <c r="F809" s="91"/>
      <c r="G809" s="91"/>
      <c r="H809" s="91"/>
      <c r="I809" s="101"/>
      <c r="J809" s="91"/>
      <c r="K809" s="101"/>
      <c r="L809" s="91"/>
      <c r="M809" s="101"/>
      <c r="N809" s="91"/>
      <c r="O809" s="101"/>
      <c r="P809" s="101"/>
      <c r="Q809" s="91"/>
      <c r="R809" s="101"/>
      <c r="S809" s="101"/>
      <c r="T809" s="101"/>
      <c r="U809" s="101"/>
      <c r="V809" s="101"/>
    </row>
    <row r="810">
      <c r="A810" s="91"/>
      <c r="B810" s="91"/>
      <c r="C810" s="91"/>
      <c r="D810" s="91"/>
      <c r="E810" s="91"/>
      <c r="F810" s="91"/>
      <c r="G810" s="91"/>
      <c r="H810" s="91"/>
      <c r="I810" s="101"/>
      <c r="J810" s="91"/>
      <c r="K810" s="101"/>
      <c r="L810" s="91"/>
      <c r="M810" s="101"/>
      <c r="N810" s="91"/>
      <c r="O810" s="101"/>
      <c r="P810" s="101"/>
      <c r="Q810" s="91"/>
      <c r="R810" s="101"/>
      <c r="S810" s="101"/>
      <c r="T810" s="101"/>
      <c r="U810" s="101"/>
      <c r="V810" s="101"/>
    </row>
    <row r="811">
      <c r="A811" s="91"/>
      <c r="B811" s="91"/>
      <c r="C811" s="91"/>
      <c r="D811" s="91"/>
      <c r="E811" s="91"/>
      <c r="F811" s="91"/>
      <c r="G811" s="91"/>
      <c r="H811" s="91"/>
      <c r="I811" s="101"/>
      <c r="J811" s="91"/>
      <c r="K811" s="101"/>
      <c r="L811" s="91"/>
      <c r="M811" s="101"/>
      <c r="N811" s="91"/>
      <c r="O811" s="101"/>
      <c r="P811" s="101"/>
      <c r="Q811" s="91"/>
      <c r="R811" s="101"/>
      <c r="S811" s="101"/>
      <c r="T811" s="101"/>
      <c r="U811" s="101"/>
      <c r="V811" s="10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101"/>
      <c r="L812" s="91"/>
      <c r="M812" s="101"/>
      <c r="N812" s="91"/>
      <c r="O812" s="101"/>
      <c r="P812" s="101"/>
      <c r="Q812" s="91"/>
      <c r="R812" s="101"/>
      <c r="S812" s="101"/>
      <c r="T812" s="101"/>
      <c r="U812" s="101"/>
      <c r="V812" s="101"/>
    </row>
    <row r="813">
      <c r="A813" s="91"/>
      <c r="B813" s="91"/>
      <c r="C813" s="91"/>
      <c r="D813" s="91"/>
      <c r="E813" s="91"/>
      <c r="F813" s="91"/>
      <c r="G813" s="91"/>
      <c r="H813" s="91"/>
      <c r="I813" s="101"/>
      <c r="J813" s="91"/>
      <c r="K813" s="101"/>
      <c r="L813" s="91"/>
      <c r="M813" s="101"/>
      <c r="N813" s="91"/>
      <c r="O813" s="101"/>
      <c r="P813" s="101"/>
      <c r="Q813" s="91"/>
      <c r="R813" s="101"/>
      <c r="S813" s="101"/>
      <c r="T813" s="101"/>
      <c r="U813" s="101"/>
      <c r="V813" s="101"/>
    </row>
    <row r="814">
      <c r="A814" s="91"/>
      <c r="B814" s="91"/>
      <c r="C814" s="91"/>
      <c r="D814" s="91"/>
      <c r="E814" s="91"/>
      <c r="F814" s="91"/>
      <c r="G814" s="91"/>
      <c r="H814" s="91"/>
      <c r="I814" s="101"/>
      <c r="J814" s="91"/>
      <c r="K814" s="101"/>
      <c r="L814" s="91"/>
      <c r="M814" s="101"/>
      <c r="N814" s="91"/>
      <c r="O814" s="101"/>
      <c r="P814" s="101"/>
      <c r="Q814" s="91"/>
      <c r="R814" s="101"/>
      <c r="S814" s="101"/>
      <c r="T814" s="101"/>
      <c r="U814" s="101"/>
      <c r="V814" s="101"/>
    </row>
    <row r="815">
      <c r="A815" s="91"/>
      <c r="B815" s="91"/>
      <c r="C815" s="91"/>
      <c r="D815" s="91"/>
      <c r="E815" s="91"/>
      <c r="F815" s="91"/>
      <c r="G815" s="91"/>
      <c r="H815" s="91"/>
      <c r="I815" s="101"/>
      <c r="J815" s="91"/>
      <c r="K815" s="101"/>
      <c r="L815" s="91"/>
      <c r="M815" s="101"/>
      <c r="N815" s="91"/>
      <c r="O815" s="101"/>
      <c r="P815" s="101"/>
      <c r="Q815" s="91"/>
      <c r="R815" s="101"/>
      <c r="S815" s="101"/>
      <c r="T815" s="101"/>
      <c r="U815" s="101"/>
      <c r="V815" s="101"/>
    </row>
    <row r="816">
      <c r="A816" s="91"/>
      <c r="B816" s="91"/>
      <c r="C816" s="91"/>
      <c r="D816" s="91"/>
      <c r="E816" s="91"/>
      <c r="F816" s="91"/>
      <c r="G816" s="91"/>
      <c r="H816" s="91"/>
      <c r="I816" s="101"/>
      <c r="J816" s="91"/>
      <c r="K816" s="101"/>
      <c r="L816" s="91"/>
      <c r="M816" s="101"/>
      <c r="N816" s="91"/>
      <c r="O816" s="101"/>
      <c r="P816" s="101"/>
      <c r="Q816" s="91"/>
      <c r="R816" s="101"/>
      <c r="S816" s="101"/>
      <c r="T816" s="101"/>
      <c r="U816" s="101"/>
      <c r="V816" s="101"/>
    </row>
    <row r="817">
      <c r="A817" s="91"/>
      <c r="B817" s="91"/>
      <c r="C817" s="91"/>
      <c r="D817" s="91"/>
      <c r="E817" s="91"/>
      <c r="F817" s="91"/>
      <c r="G817" s="91"/>
      <c r="H817" s="91"/>
      <c r="I817" s="101"/>
      <c r="J817" s="91"/>
      <c r="K817" s="101"/>
      <c r="L817" s="91"/>
      <c r="M817" s="101"/>
      <c r="N817" s="91"/>
      <c r="O817" s="101"/>
      <c r="P817" s="101"/>
      <c r="Q817" s="91"/>
      <c r="R817" s="101"/>
      <c r="S817" s="101"/>
      <c r="T817" s="101"/>
      <c r="U817" s="101"/>
      <c r="V817" s="101"/>
    </row>
    <row r="818">
      <c r="A818" s="91"/>
      <c r="B818" s="91"/>
      <c r="C818" s="91"/>
      <c r="D818" s="91"/>
      <c r="E818" s="91"/>
      <c r="F818" s="91"/>
      <c r="G818" s="91"/>
      <c r="H818" s="91"/>
      <c r="I818" s="101"/>
      <c r="J818" s="91"/>
      <c r="K818" s="101"/>
      <c r="L818" s="91"/>
      <c r="M818" s="101"/>
      <c r="N818" s="91"/>
      <c r="O818" s="101"/>
      <c r="P818" s="101"/>
      <c r="Q818" s="91"/>
      <c r="R818" s="101"/>
      <c r="S818" s="101"/>
      <c r="T818" s="101"/>
      <c r="U818" s="101"/>
      <c r="V818" s="101"/>
    </row>
    <row r="819">
      <c r="A819" s="91"/>
      <c r="B819" s="91"/>
      <c r="C819" s="91"/>
      <c r="D819" s="91"/>
      <c r="E819" s="91"/>
      <c r="F819" s="91"/>
      <c r="G819" s="91"/>
      <c r="H819" s="91"/>
      <c r="I819" s="101"/>
      <c r="J819" s="91"/>
      <c r="K819" s="101"/>
      <c r="L819" s="91"/>
      <c r="M819" s="101"/>
      <c r="N819" s="91"/>
      <c r="O819" s="101"/>
      <c r="P819" s="101"/>
      <c r="Q819" s="91"/>
      <c r="R819" s="101"/>
      <c r="S819" s="101"/>
      <c r="T819" s="101"/>
      <c r="U819" s="101"/>
      <c r="V819" s="101"/>
    </row>
    <row r="820">
      <c r="A820" s="91"/>
      <c r="B820" s="91"/>
      <c r="C820" s="91"/>
      <c r="D820" s="91"/>
      <c r="E820" s="91"/>
      <c r="F820" s="91"/>
      <c r="G820" s="91"/>
      <c r="H820" s="91"/>
      <c r="I820" s="101"/>
      <c r="J820" s="91"/>
      <c r="K820" s="101"/>
      <c r="L820" s="91"/>
      <c r="M820" s="101"/>
      <c r="N820" s="91"/>
      <c r="O820" s="101"/>
      <c r="P820" s="101"/>
      <c r="Q820" s="91"/>
      <c r="R820" s="101"/>
      <c r="S820" s="101"/>
      <c r="T820" s="101"/>
      <c r="U820" s="101"/>
      <c r="V820" s="101"/>
    </row>
    <row r="821">
      <c r="A821" s="91"/>
      <c r="B821" s="91"/>
      <c r="C821" s="91"/>
      <c r="D821" s="91"/>
      <c r="E821" s="91"/>
      <c r="F821" s="91"/>
      <c r="G821" s="91"/>
      <c r="H821" s="91"/>
      <c r="I821" s="101"/>
      <c r="J821" s="91"/>
      <c r="K821" s="101"/>
      <c r="L821" s="91"/>
      <c r="M821" s="101"/>
      <c r="N821" s="91"/>
      <c r="O821" s="101"/>
      <c r="P821" s="101"/>
      <c r="Q821" s="91"/>
      <c r="R821" s="101"/>
      <c r="S821" s="101"/>
      <c r="T821" s="101"/>
      <c r="U821" s="101"/>
      <c r="V821" s="101"/>
    </row>
    <row r="822">
      <c r="A822" s="91"/>
      <c r="B822" s="91"/>
      <c r="C822" s="91"/>
      <c r="D822" s="91"/>
      <c r="E822" s="91"/>
      <c r="F822" s="91"/>
      <c r="G822" s="91"/>
      <c r="H822" s="91"/>
      <c r="I822" s="101"/>
      <c r="J822" s="91"/>
      <c r="K822" s="101"/>
      <c r="L822" s="91"/>
      <c r="M822" s="101"/>
      <c r="N822" s="91"/>
      <c r="O822" s="101"/>
      <c r="P822" s="101"/>
      <c r="Q822" s="91"/>
      <c r="R822" s="101"/>
      <c r="S822" s="101"/>
      <c r="T822" s="101"/>
      <c r="U822" s="101"/>
      <c r="V822" s="101"/>
    </row>
    <row r="823">
      <c r="A823" s="91"/>
      <c r="B823" s="91"/>
      <c r="C823" s="91"/>
      <c r="D823" s="91"/>
      <c r="E823" s="91"/>
      <c r="F823" s="91"/>
      <c r="G823" s="91"/>
      <c r="H823" s="91"/>
      <c r="I823" s="101"/>
      <c r="J823" s="91"/>
      <c r="K823" s="101"/>
      <c r="L823" s="91"/>
      <c r="M823" s="102"/>
      <c r="N823" s="91"/>
      <c r="O823" s="101"/>
      <c r="P823" s="101"/>
      <c r="Q823" s="91"/>
      <c r="R823" s="91"/>
      <c r="S823" s="91"/>
      <c r="T823" s="91"/>
      <c r="U823" s="91"/>
      <c r="V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101"/>
      <c r="J824" s="91"/>
      <c r="K824" s="101"/>
      <c r="L824" s="91"/>
      <c r="M824" s="101"/>
      <c r="N824" s="91"/>
      <c r="O824" s="101"/>
      <c r="P824" s="101"/>
      <c r="Q824" s="91"/>
      <c r="R824" s="101"/>
      <c r="S824" s="101"/>
      <c r="T824" s="101"/>
      <c r="U824" s="101"/>
      <c r="V824" s="101"/>
    </row>
    <row r="825">
      <c r="A825" s="91"/>
      <c r="B825" s="91"/>
      <c r="C825" s="91"/>
      <c r="D825" s="91"/>
      <c r="E825" s="91"/>
      <c r="F825" s="91"/>
      <c r="G825" s="91"/>
      <c r="H825" s="91"/>
      <c r="I825" s="101"/>
      <c r="J825" s="91"/>
      <c r="K825" s="101"/>
      <c r="L825" s="91"/>
      <c r="M825" s="101"/>
      <c r="N825" s="91"/>
      <c r="O825" s="101"/>
      <c r="P825" s="101"/>
      <c r="Q825" s="91"/>
      <c r="R825" s="101"/>
      <c r="S825" s="101"/>
      <c r="T825" s="101"/>
      <c r="U825" s="101"/>
      <c r="V825" s="101"/>
    </row>
    <row r="826">
      <c r="A826" s="91"/>
      <c r="B826" s="91"/>
      <c r="C826" s="91"/>
      <c r="D826" s="91"/>
      <c r="E826" s="91"/>
      <c r="F826" s="91"/>
      <c r="G826" s="91"/>
      <c r="H826" s="91"/>
      <c r="I826" s="101"/>
      <c r="J826" s="91"/>
      <c r="K826" s="101"/>
      <c r="L826" s="91"/>
      <c r="M826" s="101"/>
      <c r="N826" s="91"/>
      <c r="O826" s="101"/>
      <c r="P826" s="101"/>
      <c r="Q826" s="91"/>
      <c r="R826" s="101"/>
      <c r="S826" s="101"/>
      <c r="T826" s="101"/>
      <c r="U826" s="101"/>
      <c r="V826" s="101"/>
    </row>
    <row r="827">
      <c r="A827" s="91"/>
      <c r="B827" s="91"/>
      <c r="C827" s="91"/>
      <c r="D827" s="91"/>
      <c r="E827" s="91"/>
      <c r="F827" s="91"/>
      <c r="G827" s="91"/>
      <c r="H827" s="91"/>
      <c r="I827" s="101"/>
      <c r="J827" s="91"/>
      <c r="K827" s="101"/>
      <c r="L827" s="91"/>
      <c r="M827" s="101"/>
      <c r="N827" s="91"/>
      <c r="O827" s="101"/>
      <c r="P827" s="101"/>
      <c r="Q827" s="91"/>
      <c r="R827" s="101"/>
      <c r="S827" s="101"/>
      <c r="T827" s="101"/>
      <c r="U827" s="101"/>
      <c r="V827" s="10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101"/>
      <c r="L828" s="91"/>
      <c r="M828" s="101"/>
      <c r="N828" s="91"/>
      <c r="O828" s="101"/>
      <c r="P828" s="101"/>
      <c r="Q828" s="91"/>
      <c r="R828" s="101"/>
      <c r="S828" s="101"/>
      <c r="T828" s="101"/>
      <c r="U828" s="101"/>
      <c r="V828" s="101"/>
    </row>
    <row r="829">
      <c r="A829" s="91"/>
      <c r="B829" s="91"/>
      <c r="C829" s="91"/>
      <c r="D829" s="91"/>
      <c r="E829" s="91"/>
      <c r="F829" s="91"/>
      <c r="G829" s="91"/>
      <c r="H829" s="91"/>
      <c r="I829" s="101"/>
      <c r="J829" s="91"/>
      <c r="K829" s="101"/>
      <c r="L829" s="91"/>
      <c r="M829" s="101"/>
      <c r="N829" s="91"/>
      <c r="O829" s="101"/>
      <c r="P829" s="101"/>
      <c r="Q829" s="91"/>
      <c r="R829" s="101"/>
      <c r="S829" s="101"/>
      <c r="T829" s="101"/>
      <c r="U829" s="101"/>
      <c r="V829" s="10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102"/>
      <c r="N839" s="91"/>
      <c r="O839" s="91"/>
      <c r="P839" s="91"/>
      <c r="Q839" s="91"/>
      <c r="R839" s="91"/>
      <c r="S839" s="91"/>
      <c r="T839" s="91"/>
      <c r="U839" s="91"/>
      <c r="V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101"/>
      <c r="J840" s="91"/>
      <c r="K840" s="101"/>
      <c r="L840" s="91"/>
      <c r="M840" s="101"/>
      <c r="N840" s="91"/>
      <c r="O840" s="101"/>
      <c r="P840" s="101"/>
      <c r="Q840" s="91"/>
      <c r="R840" s="101"/>
      <c r="S840" s="101"/>
      <c r="T840" s="101"/>
      <c r="U840" s="101"/>
      <c r="V840" s="101"/>
    </row>
    <row r="841">
      <c r="A841" s="91"/>
      <c r="B841" s="91"/>
      <c r="C841" s="91"/>
      <c r="D841" s="91"/>
      <c r="E841" s="91"/>
      <c r="F841" s="91"/>
      <c r="G841" s="91"/>
      <c r="H841" s="91"/>
      <c r="I841" s="101"/>
      <c r="J841" s="91"/>
      <c r="K841" s="101"/>
      <c r="L841" s="91"/>
      <c r="M841" s="101"/>
      <c r="N841" s="91"/>
      <c r="O841" s="101"/>
      <c r="P841" s="101"/>
      <c r="Q841" s="91"/>
      <c r="R841" s="101"/>
      <c r="S841" s="101"/>
      <c r="T841" s="101"/>
      <c r="U841" s="101"/>
      <c r="V841" s="101"/>
    </row>
    <row r="842">
      <c r="A842" s="91"/>
      <c r="B842" s="91"/>
      <c r="C842" s="91"/>
      <c r="D842" s="91"/>
      <c r="E842" s="91"/>
      <c r="F842" s="91"/>
      <c r="G842" s="91"/>
      <c r="H842" s="91"/>
      <c r="I842" s="101"/>
      <c r="J842" s="91"/>
      <c r="K842" s="101"/>
      <c r="L842" s="91"/>
      <c r="M842" s="101"/>
      <c r="N842" s="91"/>
      <c r="O842" s="101"/>
      <c r="P842" s="101"/>
      <c r="Q842" s="91"/>
      <c r="R842" s="101"/>
      <c r="S842" s="101"/>
      <c r="T842" s="101"/>
      <c r="U842" s="101"/>
      <c r="V842" s="101"/>
    </row>
    <row r="843">
      <c r="A843" s="91"/>
      <c r="B843" s="91"/>
      <c r="C843" s="91"/>
      <c r="D843" s="91"/>
      <c r="E843" s="91"/>
      <c r="F843" s="91"/>
      <c r="G843" s="91"/>
      <c r="H843" s="91"/>
      <c r="I843" s="101"/>
      <c r="J843" s="91"/>
      <c r="K843" s="101"/>
      <c r="L843" s="91"/>
      <c r="M843" s="101"/>
      <c r="N843" s="91"/>
      <c r="O843" s="101"/>
      <c r="P843" s="101"/>
      <c r="Q843" s="91"/>
      <c r="R843" s="101"/>
      <c r="S843" s="101"/>
      <c r="T843" s="101"/>
      <c r="U843" s="101"/>
      <c r="V843" s="101"/>
    </row>
    <row r="844">
      <c r="A844" s="91"/>
      <c r="B844" s="91"/>
      <c r="C844" s="91"/>
      <c r="D844" s="91"/>
      <c r="E844" s="91"/>
      <c r="F844" s="91"/>
      <c r="G844" s="91"/>
      <c r="H844" s="91"/>
      <c r="I844" s="101"/>
      <c r="J844" s="91"/>
      <c r="K844" s="101"/>
      <c r="L844" s="91"/>
      <c r="M844" s="101"/>
      <c r="N844" s="91"/>
      <c r="O844" s="101"/>
      <c r="P844" s="101"/>
      <c r="Q844" s="91"/>
      <c r="R844" s="101"/>
      <c r="S844" s="101"/>
      <c r="T844" s="101"/>
      <c r="U844" s="101"/>
      <c r="V844" s="101"/>
    </row>
    <row r="845">
      <c r="A845" s="91"/>
      <c r="B845" s="91"/>
      <c r="C845" s="91"/>
      <c r="D845" s="91"/>
      <c r="E845" s="91"/>
      <c r="F845" s="91"/>
      <c r="G845" s="91"/>
      <c r="H845" s="91"/>
      <c r="I845" s="101"/>
      <c r="J845" s="91"/>
      <c r="K845" s="101"/>
      <c r="L845" s="91"/>
      <c r="M845" s="101"/>
      <c r="N845" s="91"/>
      <c r="O845" s="101"/>
      <c r="P845" s="101"/>
      <c r="Q845" s="91"/>
      <c r="R845" s="101"/>
      <c r="S845" s="101"/>
      <c r="T845" s="101"/>
      <c r="U845" s="101"/>
      <c r="V845" s="101"/>
    </row>
    <row r="846">
      <c r="A846" s="91"/>
      <c r="B846" s="91"/>
      <c r="C846" s="91"/>
      <c r="D846" s="91"/>
      <c r="E846" s="91"/>
      <c r="F846" s="91"/>
      <c r="G846" s="91"/>
      <c r="H846" s="91"/>
      <c r="I846" s="101"/>
      <c r="J846" s="91"/>
      <c r="K846" s="101"/>
      <c r="L846" s="91"/>
      <c r="M846" s="101"/>
      <c r="N846" s="91"/>
      <c r="O846" s="101"/>
      <c r="P846" s="101"/>
      <c r="Q846" s="91"/>
      <c r="R846" s="101"/>
      <c r="S846" s="101"/>
      <c r="T846" s="101"/>
      <c r="U846" s="101"/>
      <c r="V846" s="101"/>
    </row>
    <row r="847">
      <c r="A847" s="91"/>
      <c r="B847" s="91"/>
      <c r="C847" s="91"/>
      <c r="D847" s="91"/>
      <c r="E847" s="91"/>
      <c r="F847" s="91"/>
      <c r="G847" s="91"/>
      <c r="H847" s="91"/>
      <c r="I847" s="101"/>
      <c r="J847" s="91"/>
      <c r="K847" s="101"/>
      <c r="L847" s="91"/>
      <c r="M847" s="101"/>
      <c r="N847" s="91"/>
      <c r="O847" s="101"/>
      <c r="P847" s="101"/>
      <c r="Q847" s="91"/>
      <c r="R847" s="101"/>
      <c r="S847" s="101"/>
      <c r="T847" s="101"/>
      <c r="U847" s="101"/>
      <c r="V847" s="101"/>
    </row>
    <row r="848">
      <c r="A848" s="91"/>
      <c r="B848" s="91"/>
      <c r="C848" s="91"/>
      <c r="D848" s="91"/>
      <c r="E848" s="91"/>
      <c r="F848" s="91"/>
      <c r="G848" s="91"/>
      <c r="H848" s="91"/>
      <c r="I848" s="101"/>
      <c r="J848" s="91"/>
      <c r="K848" s="101"/>
      <c r="L848" s="91"/>
      <c r="M848" s="101"/>
      <c r="N848" s="91"/>
      <c r="O848" s="101"/>
      <c r="P848" s="101"/>
      <c r="Q848" s="91"/>
      <c r="R848" s="101"/>
      <c r="S848" s="101"/>
      <c r="T848" s="101"/>
      <c r="U848" s="101"/>
      <c r="V848" s="101"/>
    </row>
    <row r="849">
      <c r="A849" s="91"/>
      <c r="B849" s="91"/>
      <c r="C849" s="91"/>
      <c r="D849" s="91"/>
      <c r="E849" s="91"/>
      <c r="F849" s="91"/>
      <c r="G849" s="91"/>
      <c r="H849" s="91"/>
      <c r="I849" s="101"/>
      <c r="J849" s="91"/>
      <c r="K849" s="101"/>
      <c r="L849" s="91"/>
      <c r="M849" s="101"/>
      <c r="N849" s="91"/>
      <c r="O849" s="101"/>
      <c r="P849" s="101"/>
      <c r="Q849" s="91"/>
      <c r="R849" s="101"/>
      <c r="S849" s="101"/>
      <c r="T849" s="101"/>
      <c r="U849" s="101"/>
      <c r="V849" s="101"/>
    </row>
    <row r="850">
      <c r="A850" s="91"/>
      <c r="B850" s="91"/>
      <c r="C850" s="91"/>
      <c r="D850" s="91"/>
      <c r="E850" s="91"/>
      <c r="F850" s="91"/>
      <c r="G850" s="91"/>
      <c r="H850" s="91"/>
      <c r="I850" s="101"/>
      <c r="J850" s="91"/>
      <c r="K850" s="101"/>
      <c r="L850" s="91"/>
      <c r="M850" s="102"/>
      <c r="N850" s="91"/>
      <c r="O850" s="101"/>
      <c r="P850" s="101"/>
      <c r="Q850" s="91"/>
      <c r="R850" s="91"/>
      <c r="S850" s="91"/>
      <c r="T850" s="91"/>
      <c r="U850" s="91"/>
      <c r="V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101"/>
      <c r="J851" s="91"/>
      <c r="K851" s="101"/>
      <c r="L851" s="91"/>
      <c r="M851" s="101"/>
      <c r="N851" s="91"/>
      <c r="O851" s="101"/>
      <c r="P851" s="101"/>
      <c r="Q851" s="91"/>
      <c r="R851" s="101"/>
      <c r="S851" s="101"/>
      <c r="T851" s="101"/>
      <c r="U851" s="101"/>
      <c r="V851" s="101"/>
    </row>
    <row r="852">
      <c r="A852" s="91"/>
      <c r="B852" s="91"/>
      <c r="C852" s="91"/>
      <c r="D852" s="91"/>
      <c r="E852" s="91"/>
      <c r="F852" s="91"/>
      <c r="G852" s="91"/>
      <c r="H852" s="91"/>
      <c r="I852" s="101"/>
      <c r="J852" s="91"/>
      <c r="K852" s="101"/>
      <c r="L852" s="91"/>
      <c r="M852" s="101"/>
      <c r="N852" s="91"/>
      <c r="O852" s="101"/>
      <c r="P852" s="101"/>
      <c r="Q852" s="91"/>
      <c r="R852" s="101"/>
      <c r="S852" s="101"/>
      <c r="T852" s="101"/>
      <c r="U852" s="101"/>
      <c r="V852" s="10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101"/>
      <c r="L853" s="91"/>
      <c r="M853" s="101"/>
      <c r="N853" s="91"/>
      <c r="O853" s="101"/>
      <c r="P853" s="101"/>
      <c r="Q853" s="91"/>
      <c r="R853" s="101"/>
      <c r="S853" s="101"/>
      <c r="T853" s="101"/>
      <c r="U853" s="101"/>
      <c r="V853" s="101"/>
    </row>
    <row r="854">
      <c r="A854" s="91"/>
      <c r="B854" s="91"/>
      <c r="C854" s="91"/>
      <c r="D854" s="91"/>
      <c r="E854" s="91"/>
      <c r="F854" s="91"/>
      <c r="G854" s="91"/>
      <c r="H854" s="91"/>
      <c r="I854" s="101"/>
      <c r="J854" s="91"/>
      <c r="K854" s="101"/>
      <c r="L854" s="91"/>
      <c r="M854" s="101"/>
      <c r="N854" s="91"/>
      <c r="O854" s="101"/>
      <c r="P854" s="101"/>
      <c r="Q854" s="91"/>
      <c r="R854" s="101"/>
      <c r="S854" s="101"/>
      <c r="T854" s="101"/>
      <c r="U854" s="101"/>
      <c r="V854" s="101"/>
    </row>
    <row r="855">
      <c r="A855" s="91"/>
      <c r="B855" s="91"/>
      <c r="C855" s="91"/>
      <c r="D855" s="91"/>
      <c r="E855" s="91"/>
      <c r="F855" s="91"/>
      <c r="G855" s="91"/>
      <c r="H855" s="91"/>
      <c r="I855" s="101"/>
      <c r="J855" s="91"/>
      <c r="K855" s="101"/>
      <c r="L855" s="91"/>
      <c r="M855" s="101"/>
      <c r="N855" s="91"/>
      <c r="O855" s="101"/>
      <c r="P855" s="101"/>
      <c r="Q855" s="91"/>
      <c r="R855" s="101"/>
      <c r="S855" s="101"/>
      <c r="T855" s="101"/>
      <c r="U855" s="101"/>
      <c r="V855" s="101"/>
    </row>
    <row r="856">
      <c r="A856" s="91"/>
      <c r="B856" s="91"/>
      <c r="C856" s="91"/>
      <c r="D856" s="91"/>
      <c r="E856" s="91"/>
      <c r="F856" s="91"/>
      <c r="G856" s="91"/>
      <c r="H856" s="91"/>
      <c r="I856" s="101"/>
      <c r="J856" s="91"/>
      <c r="K856" s="101"/>
      <c r="L856" s="91"/>
      <c r="M856" s="101"/>
      <c r="N856" s="91"/>
      <c r="O856" s="101"/>
      <c r="P856" s="101"/>
      <c r="Q856" s="91"/>
      <c r="R856" s="101"/>
      <c r="S856" s="101"/>
      <c r="T856" s="101"/>
      <c r="U856" s="101"/>
      <c r="V856" s="101"/>
    </row>
    <row r="857">
      <c r="A857" s="91"/>
      <c r="B857" s="91"/>
      <c r="C857" s="91"/>
      <c r="D857" s="91"/>
      <c r="E857" s="91"/>
      <c r="F857" s="91"/>
      <c r="G857" s="91"/>
      <c r="H857" s="91"/>
      <c r="I857" s="101"/>
      <c r="J857" s="91"/>
      <c r="K857" s="101"/>
      <c r="L857" s="91"/>
      <c r="M857" s="101"/>
      <c r="N857" s="91"/>
      <c r="O857" s="101"/>
      <c r="P857" s="101"/>
      <c r="Q857" s="91"/>
      <c r="R857" s="101"/>
      <c r="S857" s="101"/>
      <c r="T857" s="101"/>
      <c r="U857" s="101"/>
      <c r="V857" s="101"/>
    </row>
    <row r="858">
      <c r="A858" s="91"/>
      <c r="B858" s="91"/>
      <c r="C858" s="91"/>
      <c r="D858" s="91"/>
      <c r="E858" s="91"/>
      <c r="F858" s="91"/>
      <c r="G858" s="91"/>
      <c r="H858" s="91"/>
      <c r="I858" s="101"/>
      <c r="J858" s="91"/>
      <c r="K858" s="101"/>
      <c r="L858" s="91"/>
      <c r="M858" s="101"/>
      <c r="N858" s="91"/>
      <c r="O858" s="101"/>
      <c r="P858" s="101"/>
      <c r="Q858" s="91"/>
      <c r="R858" s="101"/>
      <c r="S858" s="101"/>
      <c r="T858" s="101"/>
      <c r="U858" s="101"/>
      <c r="V858" s="101"/>
    </row>
    <row r="859">
      <c r="A859" s="91"/>
      <c r="B859" s="91"/>
      <c r="C859" s="91"/>
      <c r="D859" s="91"/>
      <c r="E859" s="91"/>
      <c r="F859" s="91"/>
      <c r="G859" s="91"/>
      <c r="H859" s="91"/>
      <c r="I859" s="101"/>
      <c r="J859" s="91"/>
      <c r="K859" s="101"/>
      <c r="L859" s="91"/>
      <c r="M859" s="101"/>
      <c r="N859" s="91"/>
      <c r="O859" s="101"/>
      <c r="P859" s="101"/>
      <c r="Q859" s="91"/>
      <c r="R859" s="101"/>
      <c r="S859" s="101"/>
      <c r="T859" s="101"/>
      <c r="U859" s="101"/>
      <c r="V859" s="101"/>
    </row>
    <row r="860">
      <c r="A860" s="91"/>
      <c r="B860" s="91"/>
      <c r="C860" s="91"/>
      <c r="D860" s="91"/>
      <c r="E860" s="91"/>
      <c r="F860" s="91"/>
      <c r="G860" s="91"/>
      <c r="H860" s="91"/>
      <c r="I860" s="101"/>
      <c r="J860" s="91"/>
      <c r="K860" s="101"/>
      <c r="L860" s="91"/>
      <c r="M860" s="101"/>
      <c r="N860" s="91"/>
      <c r="O860" s="101"/>
      <c r="P860" s="101"/>
      <c r="Q860" s="91"/>
      <c r="R860" s="101"/>
      <c r="S860" s="101"/>
      <c r="T860" s="101"/>
      <c r="U860" s="101"/>
      <c r="V860" s="10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101"/>
      <c r="L861" s="91"/>
      <c r="M861" s="101"/>
      <c r="N861" s="91"/>
      <c r="O861" s="101"/>
      <c r="P861" s="101"/>
      <c r="Q861" s="91"/>
      <c r="R861" s="101"/>
      <c r="S861" s="101"/>
      <c r="T861" s="101"/>
      <c r="U861" s="101"/>
      <c r="V861" s="101"/>
    </row>
    <row r="862">
      <c r="A862" s="91"/>
      <c r="B862" s="91"/>
      <c r="C862" s="91"/>
      <c r="D862" s="91"/>
      <c r="E862" s="91"/>
      <c r="F862" s="91"/>
      <c r="G862" s="91"/>
      <c r="H862" s="91"/>
      <c r="I862" s="101"/>
      <c r="J862" s="91"/>
      <c r="K862" s="101"/>
      <c r="L862" s="91"/>
      <c r="M862" s="101"/>
      <c r="N862" s="91"/>
      <c r="O862" s="101"/>
      <c r="P862" s="101"/>
      <c r="Q862" s="91"/>
      <c r="R862" s="101"/>
      <c r="S862" s="101"/>
      <c r="T862" s="101"/>
      <c r="U862" s="101"/>
      <c r="V862" s="10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101"/>
      <c r="L863" s="91"/>
      <c r="M863" s="101"/>
      <c r="N863" s="91"/>
      <c r="O863" s="101"/>
      <c r="P863" s="101"/>
      <c r="Q863" s="91"/>
      <c r="R863" s="101"/>
      <c r="S863" s="101"/>
      <c r="T863" s="101"/>
      <c r="U863" s="101"/>
      <c r="V863" s="10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102"/>
      <c r="N873" s="91"/>
      <c r="O873" s="91"/>
      <c r="P873" s="91"/>
      <c r="Q873" s="91"/>
      <c r="R873" s="91"/>
      <c r="S873" s="91"/>
      <c r="T873" s="91"/>
      <c r="U873" s="91"/>
      <c r="V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101"/>
      <c r="J874" s="91"/>
      <c r="K874" s="101"/>
      <c r="L874" s="91"/>
      <c r="M874" s="101"/>
      <c r="N874" s="91"/>
      <c r="O874" s="101"/>
      <c r="P874" s="101"/>
      <c r="Q874" s="91"/>
      <c r="R874" s="101"/>
      <c r="S874" s="101"/>
      <c r="T874" s="101"/>
      <c r="U874" s="101"/>
      <c r="V874" s="101"/>
    </row>
    <row r="875">
      <c r="A875" s="91"/>
      <c r="B875" s="91"/>
      <c r="C875" s="91"/>
      <c r="D875" s="91"/>
      <c r="E875" s="91"/>
      <c r="F875" s="91"/>
      <c r="G875" s="91"/>
      <c r="H875" s="91"/>
      <c r="I875" s="101"/>
      <c r="J875" s="91"/>
      <c r="K875" s="101"/>
      <c r="L875" s="91"/>
      <c r="M875" s="102"/>
      <c r="N875" s="91"/>
      <c r="O875" s="101"/>
      <c r="P875" s="101"/>
      <c r="Q875" s="91"/>
      <c r="R875" s="91"/>
      <c r="S875" s="91"/>
      <c r="T875" s="91"/>
      <c r="U875" s="91"/>
      <c r="V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101"/>
      <c r="J876" s="91"/>
      <c r="K876" s="101"/>
      <c r="L876" s="91"/>
      <c r="M876" s="101"/>
      <c r="N876" s="91"/>
      <c r="O876" s="101"/>
      <c r="P876" s="101"/>
      <c r="Q876" s="91"/>
      <c r="R876" s="101"/>
      <c r="S876" s="101"/>
      <c r="T876" s="101"/>
      <c r="U876" s="101"/>
      <c r="V876" s="101"/>
    </row>
    <row r="877">
      <c r="A877" s="91"/>
      <c r="B877" s="91"/>
      <c r="C877" s="91"/>
      <c r="D877" s="91"/>
      <c r="E877" s="91"/>
      <c r="F877" s="91"/>
      <c r="G877" s="91"/>
      <c r="H877" s="91"/>
      <c r="I877" s="101"/>
      <c r="J877" s="91"/>
      <c r="K877" s="101"/>
      <c r="L877" s="91"/>
      <c r="M877" s="101"/>
      <c r="N877" s="91"/>
      <c r="O877" s="101"/>
      <c r="P877" s="101"/>
      <c r="Q877" s="91"/>
      <c r="R877" s="101"/>
      <c r="S877" s="101"/>
      <c r="T877" s="101"/>
      <c r="U877" s="101"/>
      <c r="V877" s="101"/>
    </row>
    <row r="878">
      <c r="A878" s="91"/>
      <c r="B878" s="91"/>
      <c r="C878" s="91"/>
      <c r="D878" s="91"/>
      <c r="E878" s="91"/>
      <c r="F878" s="91"/>
      <c r="G878" s="91"/>
      <c r="H878" s="91"/>
      <c r="I878" s="101"/>
      <c r="J878" s="91"/>
      <c r="K878" s="101"/>
      <c r="L878" s="91"/>
      <c r="M878" s="101"/>
      <c r="N878" s="91"/>
      <c r="O878" s="101"/>
      <c r="P878" s="101"/>
      <c r="Q878" s="91"/>
      <c r="R878" s="101"/>
      <c r="S878" s="101"/>
      <c r="T878" s="101"/>
      <c r="U878" s="101"/>
      <c r="V878" s="101"/>
    </row>
    <row r="879">
      <c r="A879" s="91"/>
      <c r="B879" s="91"/>
      <c r="C879" s="91"/>
      <c r="D879" s="91"/>
      <c r="E879" s="91"/>
      <c r="F879" s="91"/>
      <c r="G879" s="91"/>
      <c r="H879" s="91"/>
      <c r="I879" s="101"/>
      <c r="J879" s="91"/>
      <c r="K879" s="101"/>
      <c r="L879" s="91"/>
      <c r="M879" s="101"/>
      <c r="N879" s="91"/>
      <c r="O879" s="101"/>
      <c r="P879" s="101"/>
      <c r="Q879" s="91"/>
      <c r="R879" s="101"/>
      <c r="S879" s="101"/>
      <c r="T879" s="101"/>
      <c r="U879" s="101"/>
      <c r="V879" s="101"/>
    </row>
    <row r="880">
      <c r="A880" s="91"/>
      <c r="B880" s="91"/>
      <c r="C880" s="91"/>
      <c r="D880" s="91"/>
      <c r="E880" s="91"/>
      <c r="F880" s="91"/>
      <c r="G880" s="91"/>
      <c r="H880" s="91"/>
      <c r="I880" s="101"/>
      <c r="J880" s="91"/>
      <c r="K880" s="101"/>
      <c r="L880" s="91"/>
      <c r="M880" s="101"/>
      <c r="N880" s="91"/>
      <c r="O880" s="101"/>
      <c r="P880" s="101"/>
      <c r="Q880" s="91"/>
      <c r="R880" s="101"/>
      <c r="S880" s="101"/>
      <c r="T880" s="101"/>
      <c r="U880" s="101"/>
      <c r="V880" s="101"/>
    </row>
    <row r="881">
      <c r="A881" s="91"/>
      <c r="B881" s="91"/>
      <c r="C881" s="91"/>
      <c r="D881" s="91"/>
      <c r="E881" s="91"/>
      <c r="F881" s="91"/>
      <c r="G881" s="91"/>
      <c r="H881" s="91"/>
      <c r="I881" s="101"/>
      <c r="J881" s="91"/>
      <c r="K881" s="101"/>
      <c r="L881" s="91"/>
      <c r="M881" s="101"/>
      <c r="N881" s="91"/>
      <c r="O881" s="101"/>
      <c r="P881" s="101"/>
      <c r="Q881" s="91"/>
      <c r="R881" s="101"/>
      <c r="S881" s="101"/>
      <c r="T881" s="101"/>
      <c r="U881" s="101"/>
      <c r="V881" s="10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101"/>
      <c r="L882" s="91"/>
      <c r="M882" s="101"/>
      <c r="N882" s="91"/>
      <c r="O882" s="101"/>
      <c r="P882" s="101"/>
      <c r="Q882" s="91"/>
      <c r="R882" s="101"/>
      <c r="S882" s="101"/>
      <c r="T882" s="101"/>
      <c r="U882" s="101"/>
      <c r="V882" s="101"/>
    </row>
    <row r="883">
      <c r="A883" s="91"/>
      <c r="B883" s="91"/>
      <c r="C883" s="91"/>
      <c r="D883" s="91"/>
      <c r="E883" s="91"/>
      <c r="F883" s="91"/>
      <c r="G883" s="91"/>
      <c r="H883" s="91"/>
      <c r="I883" s="101"/>
      <c r="J883" s="91"/>
      <c r="K883" s="101"/>
      <c r="L883" s="91"/>
      <c r="M883" s="102"/>
      <c r="N883" s="91"/>
      <c r="O883" s="101"/>
      <c r="P883" s="101"/>
      <c r="Q883" s="91"/>
      <c r="R883" s="91"/>
      <c r="S883" s="91"/>
      <c r="T883" s="91"/>
      <c r="U883" s="91"/>
      <c r="V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101"/>
      <c r="J884" s="91"/>
      <c r="K884" s="101"/>
      <c r="L884" s="91"/>
      <c r="M884" s="101"/>
      <c r="N884" s="91"/>
      <c r="O884" s="101"/>
      <c r="P884" s="101"/>
      <c r="Q884" s="91"/>
      <c r="R884" s="101"/>
      <c r="S884" s="101"/>
      <c r="T884" s="101"/>
      <c r="U884" s="101"/>
      <c r="V884" s="101"/>
    </row>
    <row r="885">
      <c r="A885" s="91"/>
      <c r="B885" s="91"/>
      <c r="C885" s="91"/>
      <c r="D885" s="91"/>
      <c r="E885" s="91"/>
      <c r="F885" s="91"/>
      <c r="G885" s="91"/>
      <c r="H885" s="91"/>
      <c r="I885" s="101"/>
      <c r="J885" s="91"/>
      <c r="K885" s="101"/>
      <c r="L885" s="91"/>
      <c r="M885" s="102"/>
      <c r="N885" s="91"/>
      <c r="O885" s="101"/>
      <c r="P885" s="101"/>
      <c r="Q885" s="91"/>
      <c r="R885" s="91"/>
      <c r="S885" s="91"/>
      <c r="T885" s="91"/>
      <c r="U885" s="91"/>
      <c r="V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101"/>
      <c r="J886" s="91"/>
      <c r="K886" s="101"/>
      <c r="L886" s="91"/>
      <c r="M886" s="101"/>
      <c r="N886" s="91"/>
      <c r="O886" s="101"/>
      <c r="P886" s="101"/>
      <c r="Q886" s="91"/>
      <c r="R886" s="101"/>
      <c r="S886" s="101"/>
      <c r="T886" s="101"/>
      <c r="U886" s="101"/>
      <c r="V886" s="101"/>
    </row>
    <row r="887">
      <c r="A887" s="91"/>
      <c r="B887" s="91"/>
      <c r="C887" s="91"/>
      <c r="D887" s="91"/>
      <c r="E887" s="91"/>
      <c r="F887" s="91"/>
      <c r="G887" s="91"/>
      <c r="H887" s="91"/>
      <c r="I887" s="101"/>
      <c r="J887" s="91"/>
      <c r="K887" s="101"/>
      <c r="L887" s="91"/>
      <c r="M887" s="101"/>
      <c r="N887" s="91"/>
      <c r="O887" s="101"/>
      <c r="P887" s="101"/>
      <c r="Q887" s="91"/>
      <c r="R887" s="101"/>
      <c r="S887" s="101"/>
      <c r="T887" s="101"/>
      <c r="U887" s="101"/>
      <c r="V887" s="101"/>
    </row>
    <row r="888">
      <c r="A888" s="91"/>
      <c r="B888" s="91"/>
      <c r="C888" s="91"/>
      <c r="D888" s="91"/>
      <c r="E888" s="91"/>
      <c r="F888" s="91"/>
      <c r="G888" s="91"/>
      <c r="H888" s="91"/>
      <c r="I888" s="101"/>
      <c r="J888" s="91"/>
      <c r="K888" s="101"/>
      <c r="L888" s="91"/>
      <c r="M888" s="101"/>
      <c r="N888" s="91"/>
      <c r="O888" s="101"/>
      <c r="P888" s="101"/>
      <c r="Q888" s="91"/>
      <c r="R888" s="101"/>
      <c r="S888" s="101"/>
      <c r="T888" s="101"/>
      <c r="U888" s="101"/>
      <c r="V888" s="10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101"/>
      <c r="L889" s="91"/>
      <c r="M889" s="101"/>
      <c r="N889" s="91"/>
      <c r="O889" s="101"/>
      <c r="P889" s="101"/>
      <c r="Q889" s="91"/>
      <c r="R889" s="101"/>
      <c r="S889" s="101"/>
      <c r="T889" s="101"/>
      <c r="U889" s="101"/>
      <c r="V889" s="101"/>
    </row>
    <row r="890">
      <c r="A890" s="91"/>
      <c r="B890" s="91"/>
      <c r="C890" s="91"/>
      <c r="D890" s="91"/>
      <c r="E890" s="91"/>
      <c r="F890" s="91"/>
      <c r="G890" s="91"/>
      <c r="H890" s="91"/>
      <c r="I890" s="101"/>
      <c r="J890" s="91"/>
      <c r="K890" s="101"/>
      <c r="L890" s="91"/>
      <c r="M890" s="101"/>
      <c r="N890" s="91"/>
      <c r="O890" s="101"/>
      <c r="P890" s="101"/>
      <c r="Q890" s="91"/>
      <c r="R890" s="101"/>
      <c r="S890" s="101"/>
      <c r="T890" s="101"/>
      <c r="U890" s="101"/>
      <c r="V890" s="101"/>
    </row>
    <row r="891">
      <c r="A891" s="91"/>
      <c r="B891" s="91"/>
      <c r="C891" s="91"/>
      <c r="D891" s="91"/>
      <c r="E891" s="91"/>
      <c r="F891" s="91"/>
      <c r="G891" s="91"/>
      <c r="H891" s="91"/>
      <c r="I891" s="101"/>
      <c r="J891" s="91"/>
      <c r="K891" s="101"/>
      <c r="L891" s="91"/>
      <c r="M891" s="101"/>
      <c r="N891" s="91"/>
      <c r="O891" s="101"/>
      <c r="P891" s="101"/>
      <c r="Q891" s="91"/>
      <c r="R891" s="101"/>
      <c r="S891" s="101"/>
      <c r="T891" s="101"/>
      <c r="U891" s="101"/>
      <c r="V891" s="101"/>
    </row>
    <row r="892">
      <c r="A892" s="91"/>
      <c r="B892" s="91"/>
      <c r="C892" s="91"/>
      <c r="D892" s="91"/>
      <c r="E892" s="91"/>
      <c r="F892" s="91"/>
      <c r="G892" s="91"/>
      <c r="H892" s="91"/>
      <c r="I892" s="101"/>
      <c r="J892" s="91"/>
      <c r="K892" s="101"/>
      <c r="L892" s="91"/>
      <c r="M892" s="101"/>
      <c r="N892" s="91"/>
      <c r="O892" s="101"/>
      <c r="P892" s="101"/>
      <c r="Q892" s="91"/>
      <c r="R892" s="101"/>
      <c r="S892" s="101"/>
      <c r="T892" s="101"/>
      <c r="U892" s="101"/>
      <c r="V892" s="101"/>
    </row>
    <row r="893">
      <c r="A893" s="91"/>
      <c r="B893" s="91"/>
      <c r="C893" s="91"/>
      <c r="D893" s="91"/>
      <c r="E893" s="91"/>
      <c r="F893" s="91"/>
      <c r="G893" s="91"/>
      <c r="H893" s="91"/>
      <c r="I893" s="101"/>
      <c r="J893" s="91"/>
      <c r="K893" s="101"/>
      <c r="L893" s="91"/>
      <c r="M893" s="101"/>
      <c r="N893" s="91"/>
      <c r="O893" s="101"/>
      <c r="P893" s="101"/>
      <c r="Q893" s="91"/>
      <c r="R893" s="101"/>
      <c r="S893" s="101"/>
      <c r="T893" s="101"/>
      <c r="U893" s="101"/>
      <c r="V893" s="101"/>
    </row>
    <row r="894">
      <c r="A894" s="91"/>
      <c r="B894" s="91"/>
      <c r="C894" s="91"/>
      <c r="D894" s="91"/>
      <c r="E894" s="91"/>
      <c r="F894" s="91"/>
      <c r="G894" s="91"/>
      <c r="H894" s="91"/>
      <c r="I894" s="101"/>
      <c r="J894" s="91"/>
      <c r="K894" s="101"/>
      <c r="L894" s="91"/>
      <c r="M894" s="102"/>
      <c r="N894" s="91"/>
      <c r="O894" s="101"/>
      <c r="P894" s="101"/>
      <c r="Q894" s="91"/>
      <c r="R894" s="91"/>
      <c r="S894" s="91"/>
      <c r="T894" s="91"/>
      <c r="U894" s="91"/>
      <c r="V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101"/>
      <c r="J895" s="91"/>
      <c r="K895" s="101"/>
      <c r="L895" s="91"/>
      <c r="M895" s="101"/>
      <c r="N895" s="91"/>
      <c r="O895" s="101"/>
      <c r="P895" s="101"/>
      <c r="Q895" s="91"/>
      <c r="R895" s="101"/>
      <c r="S895" s="101"/>
      <c r="T895" s="101"/>
      <c r="U895" s="101"/>
      <c r="V895" s="10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101"/>
      <c r="L896" s="91"/>
      <c r="M896" s="101"/>
      <c r="N896" s="91"/>
      <c r="O896" s="101"/>
      <c r="P896" s="101"/>
      <c r="Q896" s="91"/>
      <c r="R896" s="101"/>
      <c r="S896" s="101"/>
      <c r="T896" s="101"/>
      <c r="U896" s="101"/>
      <c r="V896" s="10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101"/>
      <c r="L897" s="91"/>
      <c r="M897" s="101"/>
      <c r="N897" s="91"/>
      <c r="O897" s="101"/>
      <c r="P897" s="101"/>
      <c r="Q897" s="91"/>
      <c r="R897" s="101"/>
      <c r="S897" s="101"/>
      <c r="T897" s="101"/>
      <c r="U897" s="101"/>
      <c r="V897" s="10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101"/>
      <c r="L898" s="91"/>
      <c r="M898" s="101"/>
      <c r="N898" s="91"/>
      <c r="O898" s="101"/>
      <c r="P898" s="101"/>
      <c r="Q898" s="91"/>
      <c r="R898" s="101"/>
      <c r="S898" s="101"/>
      <c r="T898" s="101"/>
      <c r="U898" s="101"/>
      <c r="V898" s="10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102"/>
      <c r="N901" s="91"/>
      <c r="O901" s="91"/>
      <c r="P901" s="91"/>
      <c r="Q901" s="91"/>
      <c r="R901" s="91"/>
      <c r="S901" s="91"/>
      <c r="T901" s="91"/>
      <c r="U901" s="91"/>
      <c r="V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102"/>
      <c r="N902" s="91"/>
      <c r="O902" s="91"/>
      <c r="P902" s="91"/>
      <c r="Q902" s="91"/>
      <c r="R902" s="91"/>
      <c r="S902" s="91"/>
      <c r="T902" s="91"/>
      <c r="U902" s="91"/>
      <c r="V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102"/>
      <c r="N903" s="91"/>
      <c r="O903" s="91"/>
      <c r="P903" s="91"/>
      <c r="Q903" s="91"/>
      <c r="R903" s="91"/>
      <c r="S903" s="91"/>
      <c r="T903" s="91"/>
      <c r="U903" s="91"/>
      <c r="V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102"/>
      <c r="N904" s="91"/>
      <c r="O904" s="91"/>
      <c r="P904" s="91"/>
      <c r="Q904" s="91"/>
      <c r="R904" s="91"/>
      <c r="S904" s="91"/>
      <c r="T904" s="91"/>
      <c r="U904" s="91"/>
      <c r="V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102"/>
      <c r="N905" s="91"/>
      <c r="O905" s="91"/>
      <c r="P905" s="91"/>
      <c r="Q905" s="91"/>
      <c r="R905" s="91"/>
      <c r="S905" s="91"/>
      <c r="T905" s="91"/>
      <c r="U905" s="91"/>
      <c r="V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102"/>
      <c r="N906" s="91"/>
      <c r="O906" s="91"/>
      <c r="P906" s="91"/>
      <c r="Q906" s="91"/>
      <c r="R906" s="91"/>
      <c r="S906" s="91"/>
      <c r="T906" s="91"/>
      <c r="U906" s="91"/>
      <c r="V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102"/>
      <c r="N907" s="91"/>
      <c r="O907" s="91"/>
      <c r="P907" s="91"/>
      <c r="Q907" s="91"/>
      <c r="R907" s="91"/>
      <c r="S907" s="91"/>
      <c r="T907" s="91"/>
      <c r="U907" s="91"/>
      <c r="V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102"/>
      <c r="N908" s="91"/>
      <c r="O908" s="91"/>
      <c r="P908" s="91"/>
      <c r="Q908" s="91"/>
      <c r="R908" s="91"/>
      <c r="S908" s="91"/>
      <c r="T908" s="91"/>
      <c r="U908" s="91"/>
      <c r="V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101"/>
      <c r="L909" s="91"/>
      <c r="M909" s="101"/>
      <c r="N909" s="91"/>
      <c r="O909" s="101"/>
      <c r="P909" s="101"/>
      <c r="Q909" s="91"/>
      <c r="R909" s="101"/>
      <c r="S909" s="101"/>
      <c r="T909" s="101"/>
      <c r="U909" s="101"/>
      <c r="V909" s="10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101"/>
      <c r="L910" s="91"/>
      <c r="M910" s="101"/>
      <c r="N910" s="91"/>
      <c r="O910" s="101"/>
      <c r="P910" s="101"/>
      <c r="Q910" s="91"/>
      <c r="R910" s="101"/>
      <c r="S910" s="101"/>
      <c r="T910" s="101"/>
      <c r="U910" s="101"/>
      <c r="V910" s="10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102"/>
      <c r="N911" s="91"/>
      <c r="O911" s="91"/>
      <c r="P911" s="91"/>
      <c r="Q911" s="91"/>
      <c r="R911" s="91"/>
      <c r="S911" s="91"/>
      <c r="T911" s="91"/>
      <c r="U911" s="91"/>
      <c r="V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101"/>
      <c r="L912" s="91"/>
      <c r="M912" s="101"/>
      <c r="N912" s="91"/>
      <c r="O912" s="101"/>
      <c r="P912" s="101"/>
      <c r="Q912" s="91"/>
      <c r="R912" s="101"/>
      <c r="S912" s="101"/>
      <c r="T912" s="101"/>
      <c r="U912" s="101"/>
      <c r="V912" s="10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101"/>
      <c r="L913" s="91"/>
      <c r="M913" s="101"/>
      <c r="N913" s="91"/>
      <c r="O913" s="101"/>
      <c r="P913" s="101"/>
      <c r="Q913" s="91"/>
      <c r="R913" s="101"/>
      <c r="S913" s="101"/>
      <c r="T913" s="101"/>
      <c r="U913" s="101"/>
      <c r="V913" s="10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101"/>
      <c r="L914" s="91"/>
      <c r="M914" s="101"/>
      <c r="N914" s="91"/>
      <c r="O914" s="101"/>
      <c r="P914" s="101"/>
      <c r="Q914" s="91"/>
      <c r="R914" s="101"/>
      <c r="S914" s="101"/>
      <c r="T914" s="101"/>
      <c r="U914" s="101"/>
      <c r="V914" s="10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101"/>
      <c r="L915" s="91"/>
      <c r="M915" s="101"/>
      <c r="N915" s="91"/>
      <c r="O915" s="101"/>
      <c r="P915" s="101"/>
      <c r="Q915" s="91"/>
      <c r="R915" s="101"/>
      <c r="S915" s="101"/>
      <c r="T915" s="101"/>
      <c r="U915" s="101"/>
      <c r="V915" s="10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101"/>
      <c r="L916" s="91"/>
      <c r="M916" s="101"/>
      <c r="N916" s="91"/>
      <c r="O916" s="101"/>
      <c r="P916" s="101"/>
      <c r="Q916" s="91"/>
      <c r="R916" s="101"/>
      <c r="S916" s="101"/>
      <c r="T916" s="101"/>
      <c r="U916" s="101"/>
      <c r="V916" s="10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101"/>
      <c r="L917" s="91"/>
      <c r="M917" s="101"/>
      <c r="N917" s="91"/>
      <c r="O917" s="101"/>
      <c r="P917" s="101"/>
      <c r="Q917" s="91"/>
      <c r="R917" s="101"/>
      <c r="S917" s="101"/>
      <c r="T917" s="101"/>
      <c r="U917" s="101"/>
      <c r="V917" s="10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102"/>
      <c r="N918" s="91"/>
      <c r="O918" s="91"/>
      <c r="P918" s="91"/>
      <c r="Q918" s="91"/>
      <c r="R918" s="91"/>
      <c r="S918" s="91"/>
      <c r="T918" s="91"/>
      <c r="U918" s="91"/>
      <c r="V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102"/>
      <c r="N919" s="91"/>
      <c r="O919" s="91"/>
      <c r="P919" s="91"/>
      <c r="Q919" s="91"/>
      <c r="R919" s="91"/>
      <c r="S919" s="91"/>
      <c r="T919" s="91"/>
      <c r="U919" s="91"/>
      <c r="V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102"/>
      <c r="N920" s="91"/>
      <c r="O920" s="91"/>
      <c r="P920" s="91"/>
      <c r="Q920" s="91"/>
      <c r="R920" s="91"/>
      <c r="S920" s="91"/>
      <c r="T920" s="91"/>
      <c r="U920" s="91"/>
      <c r="V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102"/>
      <c r="N921" s="91"/>
      <c r="O921" s="91"/>
      <c r="P921" s="91"/>
      <c r="Q921" s="91"/>
      <c r="R921" s="91"/>
      <c r="S921" s="91"/>
      <c r="T921" s="91"/>
      <c r="U921" s="91"/>
      <c r="V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102"/>
      <c r="N922" s="91"/>
      <c r="O922" s="91"/>
      <c r="P922" s="91"/>
      <c r="Q922" s="91"/>
      <c r="R922" s="91"/>
      <c r="S922" s="91"/>
      <c r="T922" s="91"/>
      <c r="U922" s="91"/>
      <c r="V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102"/>
      <c r="N923" s="91"/>
      <c r="O923" s="91"/>
      <c r="P923" s="91"/>
      <c r="Q923" s="91"/>
      <c r="R923" s="91"/>
      <c r="S923" s="91"/>
      <c r="T923" s="91"/>
      <c r="U923" s="91"/>
      <c r="V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102"/>
      <c r="N924" s="91"/>
      <c r="O924" s="91"/>
      <c r="P924" s="91"/>
      <c r="Q924" s="91"/>
      <c r="R924" s="91"/>
      <c r="S924" s="91"/>
      <c r="T924" s="91"/>
      <c r="U924" s="91"/>
      <c r="V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102"/>
      <c r="N925" s="91"/>
      <c r="O925" s="91"/>
      <c r="P925" s="91"/>
      <c r="Q925" s="91"/>
      <c r="R925" s="91"/>
      <c r="S925" s="91"/>
      <c r="T925" s="91"/>
      <c r="U925" s="91"/>
      <c r="V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102"/>
      <c r="N926" s="91"/>
      <c r="O926" s="91"/>
      <c r="P926" s="91"/>
      <c r="Q926" s="91"/>
      <c r="R926" s="91"/>
      <c r="S926" s="91"/>
      <c r="T926" s="91"/>
      <c r="U926" s="91"/>
      <c r="V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102"/>
      <c r="N927" s="91"/>
      <c r="O927" s="91"/>
      <c r="P927" s="91"/>
      <c r="Q927" s="91"/>
      <c r="R927" s="91"/>
      <c r="S927" s="91"/>
      <c r="T927" s="91"/>
      <c r="U927" s="91"/>
      <c r="V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102"/>
      <c r="N928" s="91"/>
      <c r="O928" s="91"/>
      <c r="P928" s="91"/>
      <c r="Q928" s="91"/>
      <c r="R928" s="91"/>
      <c r="S928" s="91"/>
      <c r="T928" s="91"/>
      <c r="U928" s="91"/>
      <c r="V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102"/>
      <c r="N929" s="91"/>
      <c r="O929" s="91"/>
      <c r="P929" s="91"/>
      <c r="Q929" s="91"/>
      <c r="R929" s="91"/>
      <c r="S929" s="91"/>
      <c r="T929" s="91"/>
      <c r="U929" s="91"/>
      <c r="V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102"/>
      <c r="N930" s="91"/>
      <c r="O930" s="91"/>
      <c r="P930" s="91"/>
      <c r="Q930" s="91"/>
      <c r="R930" s="91"/>
      <c r="S930" s="91"/>
      <c r="T930" s="91"/>
      <c r="U930" s="91"/>
      <c r="V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102"/>
      <c r="N931" s="91"/>
      <c r="O931" s="91"/>
      <c r="P931" s="91"/>
      <c r="Q931" s="91"/>
      <c r="R931" s="91"/>
      <c r="S931" s="91"/>
      <c r="T931" s="91"/>
      <c r="U931" s="91"/>
      <c r="V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102"/>
      <c r="N932" s="91"/>
      <c r="O932" s="91"/>
      <c r="P932" s="91"/>
      <c r="Q932" s="91"/>
      <c r="R932" s="91"/>
      <c r="S932" s="91"/>
      <c r="T932" s="91"/>
      <c r="U932" s="91"/>
      <c r="V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102"/>
      <c r="N933" s="91"/>
      <c r="O933" s="91"/>
      <c r="P933" s="91"/>
      <c r="Q933" s="91"/>
      <c r="R933" s="91"/>
      <c r="S933" s="91"/>
      <c r="T933" s="91"/>
      <c r="U933" s="91"/>
      <c r="V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102"/>
      <c r="N934" s="91"/>
      <c r="O934" s="91"/>
      <c r="P934" s="91"/>
      <c r="Q934" s="91"/>
      <c r="R934" s="91"/>
      <c r="S934" s="91"/>
      <c r="T934" s="91"/>
      <c r="U934" s="91"/>
      <c r="V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102"/>
      <c r="N935" s="91"/>
      <c r="O935" s="91"/>
      <c r="P935" s="91"/>
      <c r="Q935" s="91"/>
      <c r="R935" s="91"/>
      <c r="S935" s="91"/>
      <c r="T935" s="91"/>
      <c r="U935" s="91"/>
      <c r="V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102"/>
      <c r="N936" s="91"/>
      <c r="O936" s="91"/>
      <c r="P936" s="91"/>
      <c r="Q936" s="91"/>
      <c r="R936" s="91"/>
      <c r="S936" s="91"/>
      <c r="T936" s="91"/>
      <c r="U936" s="91"/>
      <c r="V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102"/>
      <c r="N937" s="91"/>
      <c r="O937" s="91"/>
      <c r="P937" s="91"/>
      <c r="Q937" s="91"/>
      <c r="R937" s="91"/>
      <c r="S937" s="91"/>
      <c r="T937" s="91"/>
      <c r="U937" s="91"/>
      <c r="V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102"/>
      <c r="N938" s="91"/>
      <c r="O938" s="91"/>
      <c r="P938" s="91"/>
      <c r="Q938" s="91"/>
      <c r="R938" s="91"/>
      <c r="S938" s="91"/>
      <c r="T938" s="91"/>
      <c r="U938" s="91"/>
      <c r="V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102"/>
      <c r="N939" s="91"/>
      <c r="O939" s="91"/>
      <c r="P939" s="91"/>
      <c r="Q939" s="91"/>
      <c r="R939" s="91"/>
      <c r="S939" s="91"/>
      <c r="T939" s="91"/>
      <c r="U939" s="91"/>
      <c r="V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102"/>
      <c r="N940" s="91"/>
      <c r="O940" s="91"/>
      <c r="P940" s="91"/>
      <c r="Q940" s="91"/>
      <c r="R940" s="91"/>
      <c r="S940" s="91"/>
      <c r="T940" s="91"/>
      <c r="U940" s="91"/>
      <c r="V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102"/>
      <c r="N941" s="91"/>
      <c r="O941" s="91"/>
      <c r="P941" s="91"/>
      <c r="Q941" s="91"/>
      <c r="R941" s="91"/>
      <c r="S941" s="91"/>
      <c r="T941" s="91"/>
      <c r="U941" s="91"/>
      <c r="V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102"/>
      <c r="N942" s="91"/>
      <c r="O942" s="91"/>
      <c r="P942" s="91"/>
      <c r="Q942" s="91"/>
      <c r="R942" s="91"/>
      <c r="S942" s="91"/>
      <c r="T942" s="91"/>
      <c r="U942" s="91"/>
      <c r="V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102"/>
      <c r="N943" s="91"/>
      <c r="O943" s="91"/>
      <c r="P943" s="91"/>
      <c r="Q943" s="91"/>
      <c r="R943" s="91"/>
      <c r="S943" s="91"/>
      <c r="T943" s="91"/>
      <c r="U943" s="91"/>
      <c r="V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102"/>
      <c r="N944" s="91"/>
      <c r="O944" s="91"/>
      <c r="P944" s="91"/>
      <c r="Q944" s="91"/>
      <c r="R944" s="91"/>
      <c r="S944" s="91"/>
      <c r="T944" s="91"/>
      <c r="U944" s="91"/>
      <c r="V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102"/>
      <c r="N945" s="91"/>
      <c r="O945" s="91"/>
      <c r="P945" s="91"/>
      <c r="Q945" s="91"/>
      <c r="R945" s="91"/>
      <c r="S945" s="91"/>
      <c r="T945" s="91"/>
      <c r="U945" s="91"/>
      <c r="V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102"/>
      <c r="N946" s="91"/>
      <c r="O946" s="91"/>
      <c r="P946" s="91"/>
      <c r="Q946" s="91"/>
      <c r="R946" s="91"/>
      <c r="S946" s="91"/>
      <c r="T946" s="91"/>
      <c r="U946" s="91"/>
      <c r="V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102"/>
      <c r="N947" s="91"/>
      <c r="O947" s="91"/>
      <c r="P947" s="91"/>
      <c r="Q947" s="91"/>
      <c r="R947" s="91"/>
      <c r="S947" s="91"/>
      <c r="T947" s="91"/>
      <c r="U947" s="91"/>
      <c r="V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102"/>
      <c r="N948" s="91"/>
      <c r="O948" s="91"/>
      <c r="P948" s="91"/>
      <c r="Q948" s="91"/>
      <c r="R948" s="91"/>
      <c r="S948" s="91"/>
      <c r="T948" s="91"/>
      <c r="U948" s="91"/>
      <c r="V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102"/>
      <c r="N949" s="91"/>
      <c r="O949" s="91"/>
      <c r="P949" s="91"/>
      <c r="Q949" s="91"/>
      <c r="R949" s="91"/>
      <c r="S949" s="91"/>
      <c r="T949" s="91"/>
      <c r="U949" s="91"/>
      <c r="V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102"/>
      <c r="N950" s="91"/>
      <c r="O950" s="91"/>
      <c r="P950" s="91"/>
      <c r="Q950" s="91"/>
      <c r="R950" s="91"/>
      <c r="S950" s="91"/>
      <c r="T950" s="91"/>
      <c r="U950" s="91"/>
      <c r="V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102"/>
      <c r="N951" s="91"/>
      <c r="O951" s="91"/>
      <c r="P951" s="91"/>
      <c r="Q951" s="91"/>
      <c r="R951" s="91"/>
      <c r="S951" s="91"/>
      <c r="T951" s="91"/>
      <c r="U951" s="91"/>
      <c r="V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102"/>
      <c r="N952" s="91"/>
      <c r="O952" s="91"/>
      <c r="P952" s="91"/>
      <c r="Q952" s="91"/>
      <c r="R952" s="91"/>
      <c r="S952" s="91"/>
      <c r="T952" s="91"/>
      <c r="U952" s="91"/>
      <c r="V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102"/>
      <c r="N953" s="91"/>
      <c r="O953" s="91"/>
      <c r="P953" s="91"/>
      <c r="Q953" s="91"/>
      <c r="R953" s="91"/>
      <c r="S953" s="91"/>
      <c r="T953" s="91"/>
      <c r="U953" s="91"/>
      <c r="V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102"/>
      <c r="N954" s="91"/>
      <c r="O954" s="91"/>
      <c r="P954" s="91"/>
      <c r="Q954" s="91"/>
      <c r="R954" s="91"/>
      <c r="S954" s="91"/>
      <c r="T954" s="91"/>
      <c r="U954" s="91"/>
      <c r="V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102"/>
      <c r="N955" s="91"/>
      <c r="O955" s="91"/>
      <c r="P955" s="91"/>
      <c r="Q955" s="91"/>
      <c r="R955" s="91"/>
      <c r="S955" s="91"/>
      <c r="T955" s="91"/>
      <c r="U955" s="91"/>
      <c r="V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102"/>
      <c r="N956" s="91"/>
      <c r="O956" s="91"/>
      <c r="P956" s="91"/>
      <c r="Q956" s="91"/>
      <c r="R956" s="91"/>
      <c r="S956" s="91"/>
      <c r="T956" s="91"/>
      <c r="U956" s="91"/>
      <c r="V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102"/>
      <c r="N957" s="91"/>
      <c r="O957" s="91"/>
      <c r="P957" s="91"/>
      <c r="Q957" s="91"/>
      <c r="R957" s="91"/>
      <c r="S957" s="91"/>
      <c r="T957" s="91"/>
      <c r="U957" s="91"/>
      <c r="V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102"/>
      <c r="N958" s="91"/>
      <c r="O958" s="91"/>
      <c r="P958" s="91"/>
      <c r="Q958" s="91"/>
      <c r="R958" s="91"/>
      <c r="S958" s="91"/>
      <c r="T958" s="91"/>
      <c r="U958" s="91"/>
      <c r="V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102"/>
      <c r="N959" s="91"/>
      <c r="O959" s="91"/>
      <c r="P959" s="91"/>
      <c r="Q959" s="91"/>
      <c r="R959" s="91"/>
      <c r="S959" s="91"/>
      <c r="T959" s="91"/>
      <c r="U959" s="91"/>
      <c r="V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102"/>
      <c r="N960" s="91"/>
      <c r="O960" s="91"/>
      <c r="P960" s="91"/>
      <c r="Q960" s="91"/>
      <c r="R960" s="91"/>
      <c r="S960" s="91"/>
      <c r="T960" s="91"/>
      <c r="U960" s="91"/>
      <c r="V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102"/>
      <c r="N961" s="91"/>
      <c r="O961" s="91"/>
      <c r="P961" s="91"/>
      <c r="Q961" s="91"/>
      <c r="R961" s="91"/>
      <c r="S961" s="91"/>
      <c r="T961" s="91"/>
      <c r="U961" s="91"/>
      <c r="V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102"/>
      <c r="N962" s="91"/>
      <c r="O962" s="91"/>
      <c r="P962" s="91"/>
      <c r="Q962" s="91"/>
      <c r="R962" s="91"/>
      <c r="S962" s="91"/>
      <c r="T962" s="91"/>
      <c r="U962" s="91"/>
      <c r="V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102"/>
      <c r="N963" s="91"/>
      <c r="O963" s="91"/>
      <c r="P963" s="91"/>
      <c r="Q963" s="91"/>
      <c r="R963" s="91"/>
      <c r="S963" s="91"/>
      <c r="T963" s="91"/>
      <c r="U963" s="91"/>
      <c r="V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102"/>
      <c r="N964" s="91"/>
      <c r="O964" s="91"/>
      <c r="P964" s="91"/>
      <c r="Q964" s="91"/>
      <c r="R964" s="91"/>
      <c r="S964" s="91"/>
      <c r="T964" s="91"/>
      <c r="U964" s="91"/>
      <c r="V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102"/>
      <c r="N965" s="91"/>
      <c r="O965" s="91"/>
      <c r="P965" s="91"/>
      <c r="Q965" s="91"/>
      <c r="R965" s="91"/>
      <c r="S965" s="91"/>
      <c r="T965" s="91"/>
      <c r="U965" s="91"/>
      <c r="V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102"/>
      <c r="N966" s="91"/>
      <c r="O966" s="91"/>
      <c r="P966" s="91"/>
      <c r="Q966" s="91"/>
      <c r="R966" s="91"/>
      <c r="S966" s="91"/>
      <c r="T966" s="91"/>
      <c r="U966" s="91"/>
      <c r="V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102"/>
      <c r="N967" s="91"/>
      <c r="O967" s="91"/>
      <c r="P967" s="91"/>
      <c r="Q967" s="91"/>
      <c r="R967" s="91"/>
      <c r="S967" s="91"/>
      <c r="T967" s="91"/>
      <c r="U967" s="91"/>
      <c r="V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102"/>
      <c r="N968" s="91"/>
      <c r="O968" s="91"/>
      <c r="P968" s="91"/>
      <c r="Q968" s="91"/>
      <c r="R968" s="91"/>
      <c r="S968" s="91"/>
      <c r="T968" s="91"/>
      <c r="U968" s="91"/>
      <c r="V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102"/>
      <c r="N969" s="91"/>
      <c r="O969" s="91"/>
      <c r="P969" s="91"/>
      <c r="Q969" s="91"/>
      <c r="R969" s="91"/>
      <c r="S969" s="91"/>
      <c r="T969" s="91"/>
      <c r="U969" s="91"/>
      <c r="V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102"/>
      <c r="N970" s="91"/>
      <c r="O970" s="91"/>
      <c r="P970" s="91"/>
      <c r="Q970" s="91"/>
      <c r="R970" s="91"/>
      <c r="S970" s="91"/>
      <c r="T970" s="91"/>
      <c r="U970" s="91"/>
      <c r="V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102"/>
      <c r="N971" s="91"/>
      <c r="O971" s="91"/>
      <c r="P971" s="91"/>
      <c r="Q971" s="91"/>
      <c r="R971" s="91"/>
      <c r="S971" s="91"/>
      <c r="T971" s="91"/>
      <c r="U971" s="91"/>
      <c r="V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102"/>
      <c r="N972" s="91"/>
      <c r="O972" s="91"/>
      <c r="P972" s="91"/>
      <c r="Q972" s="91"/>
      <c r="R972" s="91"/>
      <c r="S972" s="91"/>
      <c r="T972" s="91"/>
      <c r="U972" s="91"/>
      <c r="V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102"/>
      <c r="N973" s="91"/>
      <c r="O973" s="91"/>
      <c r="P973" s="91"/>
      <c r="Q973" s="91"/>
      <c r="R973" s="91"/>
      <c r="S973" s="91"/>
      <c r="T973" s="91"/>
      <c r="U973" s="91"/>
      <c r="V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102"/>
      <c r="N974" s="91"/>
      <c r="O974" s="91"/>
      <c r="P974" s="91"/>
      <c r="Q974" s="91"/>
      <c r="R974" s="91"/>
      <c r="S974" s="91"/>
      <c r="T974" s="91"/>
      <c r="U974" s="91"/>
      <c r="V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102"/>
      <c r="N975" s="91"/>
      <c r="O975" s="91"/>
      <c r="P975" s="91"/>
      <c r="Q975" s="91"/>
      <c r="R975" s="91"/>
      <c r="S975" s="91"/>
      <c r="T975" s="91"/>
      <c r="U975" s="91"/>
      <c r="V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102"/>
      <c r="N976" s="91"/>
      <c r="O976" s="91"/>
      <c r="P976" s="91"/>
      <c r="Q976" s="91"/>
      <c r="R976" s="91"/>
      <c r="S976" s="91"/>
      <c r="T976" s="91"/>
      <c r="U976" s="91"/>
      <c r="V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102"/>
      <c r="N977" s="91"/>
      <c r="O977" s="91"/>
      <c r="P977" s="91"/>
      <c r="Q977" s="91"/>
      <c r="R977" s="91"/>
      <c r="S977" s="91"/>
      <c r="T977" s="91"/>
      <c r="U977" s="91"/>
      <c r="V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102"/>
      <c r="N978" s="91"/>
      <c r="O978" s="91"/>
      <c r="P978" s="91"/>
      <c r="Q978" s="91"/>
      <c r="R978" s="91"/>
      <c r="S978" s="91"/>
      <c r="T978" s="91"/>
      <c r="U978" s="91"/>
      <c r="V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102"/>
      <c r="N979" s="91"/>
      <c r="O979" s="91"/>
      <c r="P979" s="91"/>
      <c r="Q979" s="91"/>
      <c r="R979" s="91"/>
      <c r="S979" s="91"/>
      <c r="T979" s="91"/>
      <c r="U979" s="91"/>
      <c r="V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102"/>
      <c r="N980" s="91"/>
      <c r="O980" s="91"/>
      <c r="P980" s="91"/>
      <c r="Q980" s="91"/>
      <c r="R980" s="91"/>
      <c r="S980" s="91"/>
      <c r="T980" s="91"/>
      <c r="U980" s="91"/>
      <c r="V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102"/>
      <c r="N981" s="91"/>
      <c r="O981" s="91"/>
      <c r="P981" s="91"/>
      <c r="Q981" s="91"/>
      <c r="R981" s="91"/>
      <c r="S981" s="91"/>
      <c r="T981" s="91"/>
      <c r="U981" s="91"/>
      <c r="V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102"/>
      <c r="N982" s="91"/>
      <c r="O982" s="91"/>
      <c r="P982" s="91"/>
      <c r="Q982" s="91"/>
      <c r="R982" s="91"/>
      <c r="S982" s="91"/>
      <c r="T982" s="91"/>
      <c r="U982" s="91"/>
      <c r="V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102"/>
      <c r="N983" s="91"/>
      <c r="O983" s="91"/>
      <c r="P983" s="91"/>
      <c r="Q983" s="91"/>
      <c r="R983" s="91"/>
      <c r="S983" s="91"/>
      <c r="T983" s="91"/>
      <c r="U983" s="91"/>
      <c r="V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102"/>
      <c r="N984" s="91"/>
      <c r="O984" s="91"/>
      <c r="P984" s="91"/>
      <c r="Q984" s="91"/>
      <c r="R984" s="91"/>
      <c r="S984" s="91"/>
      <c r="T984" s="91"/>
      <c r="U984" s="91"/>
      <c r="V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102"/>
      <c r="N985" s="91"/>
      <c r="O985" s="91"/>
      <c r="P985" s="91"/>
      <c r="Q985" s="91"/>
      <c r="R985" s="91"/>
      <c r="S985" s="91"/>
      <c r="T985" s="91"/>
      <c r="U985" s="91"/>
      <c r="V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102"/>
      <c r="N986" s="91"/>
      <c r="O986" s="91"/>
      <c r="P986" s="91"/>
      <c r="Q986" s="91"/>
      <c r="R986" s="91"/>
      <c r="S986" s="91"/>
      <c r="T986" s="91"/>
      <c r="U986" s="91"/>
      <c r="V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102"/>
      <c r="N987" s="91"/>
      <c r="O987" s="91"/>
      <c r="P987" s="91"/>
      <c r="Q987" s="91"/>
      <c r="R987" s="91"/>
      <c r="S987" s="91"/>
      <c r="T987" s="91"/>
      <c r="U987" s="91"/>
      <c r="V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102"/>
      <c r="N988" s="91"/>
      <c r="O988" s="91"/>
      <c r="P988" s="91"/>
      <c r="Q988" s="91"/>
      <c r="R988" s="91"/>
      <c r="S988" s="91"/>
      <c r="T988" s="91"/>
      <c r="U988" s="91"/>
      <c r="V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102"/>
      <c r="N989" s="91"/>
      <c r="O989" s="91"/>
      <c r="P989" s="91"/>
      <c r="Q989" s="91"/>
      <c r="R989" s="91"/>
      <c r="S989" s="91"/>
      <c r="T989" s="91"/>
      <c r="U989" s="91"/>
      <c r="V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102"/>
      <c r="N990" s="91"/>
      <c r="O990" s="91"/>
      <c r="P990" s="91"/>
      <c r="Q990" s="91"/>
      <c r="R990" s="91"/>
      <c r="S990" s="91"/>
      <c r="T990" s="91"/>
      <c r="U990" s="91"/>
      <c r="V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102"/>
      <c r="N991" s="91"/>
      <c r="O991" s="91"/>
      <c r="P991" s="91"/>
      <c r="Q991" s="91"/>
      <c r="R991" s="91"/>
      <c r="S991" s="91"/>
      <c r="T991" s="91"/>
      <c r="U991" s="91"/>
      <c r="V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102"/>
      <c r="N992" s="91"/>
      <c r="O992" s="91"/>
      <c r="P992" s="91"/>
      <c r="Q992" s="91"/>
      <c r="R992" s="91"/>
      <c r="S992" s="91"/>
      <c r="T992" s="91"/>
      <c r="U992" s="91"/>
      <c r="V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102"/>
      <c r="N993" s="91"/>
      <c r="O993" s="91"/>
      <c r="P993" s="91"/>
      <c r="Q993" s="91"/>
      <c r="R993" s="91"/>
      <c r="S993" s="91"/>
      <c r="T993" s="91"/>
      <c r="U993" s="91"/>
      <c r="V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102"/>
      <c r="N994" s="91"/>
      <c r="O994" s="91"/>
      <c r="P994" s="91"/>
      <c r="Q994" s="91"/>
      <c r="R994" s="91"/>
      <c r="S994" s="91"/>
      <c r="T994" s="91"/>
      <c r="U994" s="91"/>
      <c r="V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102"/>
      <c r="N995" s="91"/>
      <c r="O995" s="91"/>
      <c r="P995" s="91"/>
      <c r="Q995" s="91"/>
      <c r="R995" s="91"/>
      <c r="S995" s="91"/>
      <c r="T995" s="91"/>
      <c r="U995" s="91"/>
      <c r="V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102"/>
      <c r="N996" s="91"/>
      <c r="O996" s="91"/>
      <c r="P996" s="91"/>
      <c r="Q996" s="91"/>
      <c r="R996" s="91"/>
      <c r="S996" s="91"/>
      <c r="T996" s="91"/>
      <c r="U996" s="91"/>
      <c r="V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102"/>
      <c r="N997" s="91"/>
      <c r="O997" s="91"/>
      <c r="P997" s="91"/>
      <c r="Q997" s="91"/>
      <c r="R997" s="91"/>
      <c r="S997" s="91"/>
      <c r="T997" s="91"/>
      <c r="U997" s="91"/>
      <c r="V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102"/>
      <c r="N998" s="91"/>
      <c r="O998" s="91"/>
      <c r="P998" s="91"/>
      <c r="Q998" s="91"/>
      <c r="R998" s="91"/>
      <c r="S998" s="91"/>
      <c r="T998" s="91"/>
      <c r="U998" s="91"/>
      <c r="V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102"/>
      <c r="N999" s="91"/>
      <c r="O999" s="91"/>
      <c r="P999" s="91"/>
      <c r="Q999" s="91"/>
      <c r="R999" s="91"/>
      <c r="S999" s="91"/>
      <c r="T999" s="91"/>
      <c r="U999" s="91"/>
      <c r="V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102"/>
      <c r="N1000" s="91"/>
      <c r="O1000" s="91"/>
      <c r="P1000" s="91"/>
      <c r="Q1000" s="91"/>
      <c r="R1000" s="91"/>
      <c r="S1000" s="91"/>
      <c r="T1000" s="91"/>
      <c r="U1000" s="91"/>
      <c r="V1000" s="91"/>
    </row>
    <row r="1001">
      <c r="M1001" s="280"/>
    </row>
    <row r="1002">
      <c r="M1002" s="280"/>
    </row>
    <row r="1003">
      <c r="M1003" s="280"/>
    </row>
    <row r="1004">
      <c r="M1004" s="280"/>
    </row>
    <row r="1005">
      <c r="M1005" s="280"/>
    </row>
    <row r="1006">
      <c r="M1006" s="280"/>
    </row>
  </sheetData>
  <mergeCells count="665"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286:R286"/>
    <mergeCell ref="Q287:R287"/>
    <mergeCell ref="Q288:R288"/>
    <mergeCell ref="Q289:R289"/>
    <mergeCell ref="Q290:R290"/>
    <mergeCell ref="Q291:R291"/>
    <mergeCell ref="Q292:R292"/>
    <mergeCell ref="Q300:R300"/>
    <mergeCell ref="A301:B301"/>
    <mergeCell ref="Q293:R293"/>
    <mergeCell ref="Q294:R294"/>
    <mergeCell ref="Q295:R295"/>
    <mergeCell ref="Q296:R296"/>
    <mergeCell ref="Q297:R297"/>
    <mergeCell ref="Q298:R298"/>
    <mergeCell ref="Q299:R299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30:R330"/>
    <mergeCell ref="Q331:R331"/>
    <mergeCell ref="Q332:R332"/>
    <mergeCell ref="Q333:R333"/>
    <mergeCell ref="Q334:R334"/>
    <mergeCell ref="Q335:R335"/>
    <mergeCell ref="A336:B336"/>
    <mergeCell ref="Q337:R337"/>
    <mergeCell ref="Q338:R338"/>
    <mergeCell ref="Q339:R339"/>
    <mergeCell ref="Q340:R340"/>
    <mergeCell ref="Q341:R341"/>
    <mergeCell ref="Q342:R342"/>
    <mergeCell ref="Q343:R343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7:R397"/>
    <mergeCell ref="Q398:R398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5:R425"/>
    <mergeCell ref="Q426:R426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6:R486"/>
    <mergeCell ref="Q487:R487"/>
    <mergeCell ref="Q488:R488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Q517:R517"/>
    <mergeCell ref="Q518:R518"/>
    <mergeCell ref="Q519:R519"/>
    <mergeCell ref="Q520:R52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9:R549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74:R574"/>
    <mergeCell ref="Q575:R575"/>
    <mergeCell ref="Q576:R576"/>
    <mergeCell ref="Q577:R577"/>
    <mergeCell ref="Q578:R578"/>
    <mergeCell ref="Q579:R579"/>
    <mergeCell ref="Q580:R580"/>
    <mergeCell ref="Q581:R581"/>
    <mergeCell ref="Q582:R582"/>
    <mergeCell ref="Q583:R583"/>
    <mergeCell ref="Q629:R629"/>
    <mergeCell ref="Q630:R630"/>
    <mergeCell ref="Q631:R631"/>
    <mergeCell ref="Q632:R632"/>
    <mergeCell ref="Q633:R633"/>
    <mergeCell ref="Q635:R635"/>
    <mergeCell ref="Q637:R637"/>
    <mergeCell ref="Q638:R638"/>
    <mergeCell ref="Q639:R639"/>
    <mergeCell ref="Q640:R640"/>
    <mergeCell ref="Q641:R641"/>
    <mergeCell ref="Q642:R642"/>
    <mergeCell ref="Q643:R643"/>
    <mergeCell ref="Q644:R644"/>
    <mergeCell ref="Q584:R584"/>
    <mergeCell ref="Q585:R585"/>
    <mergeCell ref="Q586:R586"/>
    <mergeCell ref="Q587:R587"/>
    <mergeCell ref="Q588:R588"/>
    <mergeCell ref="Q589:R589"/>
    <mergeCell ref="Q590:R590"/>
    <mergeCell ref="Q591:R591"/>
    <mergeCell ref="Q592:R592"/>
    <mergeCell ref="Q593:R593"/>
    <mergeCell ref="Q595:R595"/>
    <mergeCell ref="Q596:R596"/>
    <mergeCell ref="Q597:R597"/>
    <mergeCell ref="Q598:R598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9:R609"/>
    <mergeCell ref="Q610:R610"/>
    <mergeCell ref="Q612:R612"/>
    <mergeCell ref="Q613:R613"/>
    <mergeCell ref="Q614:R614"/>
    <mergeCell ref="Q615:R615"/>
    <mergeCell ref="Q616:R616"/>
    <mergeCell ref="Q617:R617"/>
    <mergeCell ref="Q618:R618"/>
    <mergeCell ref="Q619:R619"/>
    <mergeCell ref="Q620:R620"/>
    <mergeCell ref="Q621:R621"/>
    <mergeCell ref="Q622:R622"/>
    <mergeCell ref="Q623:R623"/>
    <mergeCell ref="Q624:R624"/>
    <mergeCell ref="Q625:R625"/>
    <mergeCell ref="Q627:R627"/>
    <mergeCell ref="Q628:R628"/>
    <mergeCell ref="Q654:R654"/>
    <mergeCell ref="Q655:R655"/>
    <mergeCell ref="Q656:R656"/>
    <mergeCell ref="Q657:R657"/>
    <mergeCell ref="Q658:R658"/>
    <mergeCell ref="Q659:R659"/>
    <mergeCell ref="Q646:R646"/>
    <mergeCell ref="Q647:R647"/>
    <mergeCell ref="Q648:R648"/>
    <mergeCell ref="Q649:R649"/>
    <mergeCell ref="Q650:R650"/>
    <mergeCell ref="Q651:R651"/>
    <mergeCell ref="Q653:R653"/>
    <mergeCell ref="A1:S1"/>
    <mergeCell ref="A2:S2"/>
    <mergeCell ref="A3:S3"/>
    <mergeCell ref="A4:S4"/>
    <mergeCell ref="Q5:R5"/>
    <mergeCell ref="A6:B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9:R29"/>
    <mergeCell ref="Q30:R30"/>
    <mergeCell ref="Q31:R31"/>
    <mergeCell ref="Q32:R32"/>
    <mergeCell ref="Q33:R33"/>
    <mergeCell ref="Q34:R34"/>
    <mergeCell ref="Q35:R35"/>
    <mergeCell ref="A36:B36"/>
    <mergeCell ref="Q22:R22"/>
    <mergeCell ref="Q23:R23"/>
    <mergeCell ref="Q24:R24"/>
    <mergeCell ref="Q25:R25"/>
    <mergeCell ref="Q26:R26"/>
    <mergeCell ref="Q27:R27"/>
    <mergeCell ref="Q28:R28"/>
    <mergeCell ref="Q44:R44"/>
    <mergeCell ref="A45:B45"/>
    <mergeCell ref="Q37:R37"/>
    <mergeCell ref="Q38:R38"/>
    <mergeCell ref="Q39:R39"/>
    <mergeCell ref="Q40:R40"/>
    <mergeCell ref="Q41:R41"/>
    <mergeCell ref="Q42:R42"/>
    <mergeCell ref="Q43:R43"/>
    <mergeCell ref="Q46:R46"/>
    <mergeCell ref="Q47:R47"/>
    <mergeCell ref="Q48:R48"/>
    <mergeCell ref="Q49:R49"/>
    <mergeCell ref="Q50:R50"/>
    <mergeCell ref="Q51:R51"/>
    <mergeCell ref="Q52:R52"/>
    <mergeCell ref="Q60:R60"/>
    <mergeCell ref="Q61:R61"/>
    <mergeCell ref="Q62:R62"/>
    <mergeCell ref="Q63:R63"/>
    <mergeCell ref="A64:B64"/>
    <mergeCell ref="Q53:R53"/>
    <mergeCell ref="Q54:R54"/>
    <mergeCell ref="Q55:R55"/>
    <mergeCell ref="Q56:R56"/>
    <mergeCell ref="Q57:R57"/>
    <mergeCell ref="Q58:R58"/>
    <mergeCell ref="Q59:R59"/>
    <mergeCell ref="Q65:R65"/>
    <mergeCell ref="Q66:R66"/>
    <mergeCell ref="Q67:R67"/>
    <mergeCell ref="Q68:R68"/>
    <mergeCell ref="Q69:R69"/>
    <mergeCell ref="Q70:R70"/>
    <mergeCell ref="Q71:R71"/>
    <mergeCell ref="Q79:R79"/>
    <mergeCell ref="Q80:R80"/>
    <mergeCell ref="Q81:R81"/>
    <mergeCell ref="Q82:R82"/>
    <mergeCell ref="Q83:R83"/>
    <mergeCell ref="Q84:R84"/>
    <mergeCell ref="A85:B85"/>
    <mergeCell ref="Q72:R72"/>
    <mergeCell ref="Q73:R73"/>
    <mergeCell ref="Q74:R74"/>
    <mergeCell ref="Q75:R75"/>
    <mergeCell ref="Q76:R76"/>
    <mergeCell ref="Q77:R77"/>
    <mergeCell ref="Q78:R78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7:R107"/>
    <mergeCell ref="A108:B108"/>
    <mergeCell ref="Q100:R100"/>
    <mergeCell ref="Q101:R101"/>
    <mergeCell ref="Q102:R102"/>
    <mergeCell ref="Q103:R103"/>
    <mergeCell ref="Q104:R104"/>
    <mergeCell ref="Q105:R105"/>
    <mergeCell ref="Q106:R106"/>
    <mergeCell ref="Q109:R109"/>
    <mergeCell ref="Q110:R110"/>
    <mergeCell ref="Q111:R111"/>
    <mergeCell ref="Q112:R112"/>
    <mergeCell ref="Q113:R113"/>
    <mergeCell ref="Q114:R114"/>
    <mergeCell ref="Q115:R115"/>
    <mergeCell ref="Q123:R123"/>
    <mergeCell ref="Q124:R124"/>
    <mergeCell ref="A125:B125"/>
    <mergeCell ref="Q116:R116"/>
    <mergeCell ref="Q117:R117"/>
    <mergeCell ref="Q118:R118"/>
    <mergeCell ref="Q119:R119"/>
    <mergeCell ref="Q120:R120"/>
    <mergeCell ref="Q121:R121"/>
    <mergeCell ref="Q122:R122"/>
    <mergeCell ref="A148:B148"/>
    <mergeCell ref="A156:B156"/>
    <mergeCell ref="A165:B165"/>
    <mergeCell ref="A191:B191"/>
    <mergeCell ref="A207:B207"/>
    <mergeCell ref="A231:B231"/>
    <mergeCell ref="Q126:R126"/>
    <mergeCell ref="Q127:R127"/>
    <mergeCell ref="Q128:R128"/>
    <mergeCell ref="Q129:R129"/>
    <mergeCell ref="Q130:R130"/>
    <mergeCell ref="Q131:R131"/>
    <mergeCell ref="A133:B133"/>
    <mergeCell ref="Q132:R132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9:R149"/>
    <mergeCell ref="Q150:R150"/>
    <mergeCell ref="Q151:R151"/>
    <mergeCell ref="Q152:R152"/>
    <mergeCell ref="Q153:R153"/>
    <mergeCell ref="Q154:R154"/>
    <mergeCell ref="Q155:R155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8:R208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9:R229"/>
    <mergeCell ref="Q230:R230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A660:S660"/>
    <mergeCell ref="A661:S661"/>
    <mergeCell ref="A662:S662"/>
    <mergeCell ref="A663:S663"/>
    <mergeCell ref="A664:Q664"/>
    <mergeCell ref="R664:S664"/>
    <mergeCell ref="A594:B594"/>
    <mergeCell ref="A611:B611"/>
    <mergeCell ref="A626:B626"/>
    <mergeCell ref="A634:B634"/>
    <mergeCell ref="A636:B636"/>
    <mergeCell ref="A645:B645"/>
    <mergeCell ref="A652:B652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93:R393"/>
    <mergeCell ref="A394:B394"/>
    <mergeCell ref="Q395:R395"/>
    <mergeCell ref="Q396:R396"/>
    <mergeCell ref="A424:B424"/>
    <mergeCell ref="A485:B485"/>
    <mergeCell ref="A516:B516"/>
    <mergeCell ref="A558:B558"/>
    <mergeCell ref="A573:B5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2.5"/>
  </cols>
  <sheetData>
    <row r="1">
      <c r="A1" s="213" t="s">
        <v>1677</v>
      </c>
      <c r="B1" s="214" t="s">
        <v>1685</v>
      </c>
      <c r="C1" s="215" t="s">
        <v>49</v>
      </c>
      <c r="D1" s="216" t="s">
        <v>1692</v>
      </c>
      <c r="E1" s="217"/>
    </row>
    <row r="2">
      <c r="A2" s="218">
        <v>1.0</v>
      </c>
      <c r="B2" s="219" t="s">
        <v>1699</v>
      </c>
      <c r="C2" s="220" t="s">
        <v>1702</v>
      </c>
      <c r="D2" s="221">
        <f>(39000+42000+43000)/3</f>
        <v>41333.33333</v>
      </c>
      <c r="E2" s="219" t="s">
        <v>57</v>
      </c>
    </row>
    <row r="3">
      <c r="A3" s="222">
        <v>2.0</v>
      </c>
      <c r="B3" s="219" t="s">
        <v>1699</v>
      </c>
      <c r="C3" s="223" t="s">
        <v>1722</v>
      </c>
      <c r="D3" s="221">
        <v>67000.0</v>
      </c>
      <c r="E3" s="219" t="s">
        <v>57</v>
      </c>
    </row>
    <row r="4">
      <c r="A4" s="222">
        <v>3.0</v>
      </c>
      <c r="B4" s="219" t="s">
        <v>1699</v>
      </c>
      <c r="C4" s="223" t="s">
        <v>1725</v>
      </c>
      <c r="D4" s="221">
        <v>63000.0</v>
      </c>
      <c r="E4" s="219" t="s">
        <v>57</v>
      </c>
    </row>
    <row r="5">
      <c r="A5" s="222">
        <v>4.0</v>
      </c>
      <c r="B5" s="219" t="s">
        <v>1699</v>
      </c>
      <c r="C5" s="223" t="s">
        <v>1729</v>
      </c>
      <c r="D5" s="221">
        <v>41500.0</v>
      </c>
      <c r="E5" s="219" t="s">
        <v>1730</v>
      </c>
    </row>
    <row r="6">
      <c r="A6" s="222">
        <v>5.0</v>
      </c>
      <c r="B6" s="219" t="s">
        <v>1699</v>
      </c>
      <c r="C6" s="223" t="s">
        <v>1732</v>
      </c>
      <c r="D6" s="221">
        <v>41500.0</v>
      </c>
      <c r="E6" s="219" t="s">
        <v>1730</v>
      </c>
    </row>
    <row r="7">
      <c r="A7" s="222">
        <v>6.0</v>
      </c>
      <c r="B7" s="219" t="s">
        <v>1699</v>
      </c>
      <c r="C7" s="223" t="s">
        <v>1736</v>
      </c>
      <c r="D7" s="221">
        <v>92000.0</v>
      </c>
      <c r="E7" s="219" t="s">
        <v>57</v>
      </c>
    </row>
    <row r="8">
      <c r="A8" s="222">
        <v>7.0</v>
      </c>
      <c r="B8" s="219" t="s">
        <v>1699</v>
      </c>
      <c r="C8" s="223" t="s">
        <v>1738</v>
      </c>
      <c r="D8" s="224">
        <v>35000.0</v>
      </c>
      <c r="E8" s="219" t="s">
        <v>1730</v>
      </c>
    </row>
    <row r="9">
      <c r="A9" s="222">
        <v>8.0</v>
      </c>
      <c r="B9" s="219" t="s">
        <v>1699</v>
      </c>
      <c r="C9" s="223" t="s">
        <v>1863</v>
      </c>
      <c r="D9" s="221">
        <v>0.0</v>
      </c>
      <c r="E9" s="219" t="s">
        <v>57</v>
      </c>
    </row>
    <row r="10">
      <c r="A10" s="222">
        <v>9.0</v>
      </c>
      <c r="B10" s="219" t="s">
        <v>1699</v>
      </c>
      <c r="C10" s="223" t="s">
        <v>55</v>
      </c>
      <c r="D10" s="221">
        <v>26765.0</v>
      </c>
      <c r="E10" s="219" t="s">
        <v>57</v>
      </c>
    </row>
    <row r="11">
      <c r="A11" s="222">
        <v>10.0</v>
      </c>
      <c r="B11" s="219" t="s">
        <v>1699</v>
      </c>
      <c r="C11" s="223" t="s">
        <v>1873</v>
      </c>
      <c r="D11" s="221">
        <v>17261.5</v>
      </c>
      <c r="E11" s="219" t="s">
        <v>57</v>
      </c>
    </row>
    <row r="12">
      <c r="A12" s="222">
        <v>11.0</v>
      </c>
      <c r="B12" s="219" t="s">
        <v>1699</v>
      </c>
      <c r="C12" s="223" t="s">
        <v>1878</v>
      </c>
      <c r="D12" s="221">
        <v>65000.0</v>
      </c>
      <c r="E12" s="219" t="s">
        <v>57</v>
      </c>
    </row>
    <row r="13">
      <c r="A13" s="222">
        <v>12.0</v>
      </c>
      <c r="B13" s="219" t="s">
        <v>1699</v>
      </c>
      <c r="C13" s="223" t="s">
        <v>1078</v>
      </c>
      <c r="D13" s="221">
        <v>35000.0</v>
      </c>
      <c r="E13" s="219" t="s">
        <v>57</v>
      </c>
    </row>
    <row r="14">
      <c r="A14" s="222">
        <v>13.0</v>
      </c>
      <c r="B14" s="219" t="s">
        <v>1699</v>
      </c>
      <c r="C14" s="223" t="s">
        <v>1884</v>
      </c>
      <c r="D14" s="221">
        <v>0.0</v>
      </c>
      <c r="E14" s="219" t="s">
        <v>57</v>
      </c>
    </row>
    <row r="15">
      <c r="A15" s="222">
        <v>14.0</v>
      </c>
      <c r="B15" s="219" t="s">
        <v>1699</v>
      </c>
      <c r="C15" s="223" t="s">
        <v>1886</v>
      </c>
      <c r="D15" s="221">
        <v>31000.0</v>
      </c>
      <c r="E15" s="219" t="s">
        <v>57</v>
      </c>
    </row>
    <row r="16">
      <c r="A16" s="222">
        <v>15.0</v>
      </c>
      <c r="B16" s="219" t="s">
        <v>1699</v>
      </c>
      <c r="C16" s="223" t="s">
        <v>1889</v>
      </c>
      <c r="D16" s="221">
        <v>36000.0</v>
      </c>
      <c r="E16" s="219" t="s">
        <v>57</v>
      </c>
    </row>
    <row r="17">
      <c r="A17" s="222">
        <v>16.0</v>
      </c>
      <c r="B17" s="219" t="s">
        <v>1699</v>
      </c>
      <c r="C17" s="223" t="s">
        <v>1892</v>
      </c>
      <c r="D17" s="221">
        <v>38000.0</v>
      </c>
      <c r="E17" s="219" t="s">
        <v>57</v>
      </c>
    </row>
    <row r="18">
      <c r="A18" s="222">
        <v>17.0</v>
      </c>
      <c r="B18" s="219" t="s">
        <v>1699</v>
      </c>
      <c r="C18" s="223" t="s">
        <v>54</v>
      </c>
      <c r="D18" s="221">
        <v>27000.0</v>
      </c>
      <c r="E18" s="219" t="s">
        <v>57</v>
      </c>
    </row>
    <row r="19">
      <c r="A19" s="222">
        <v>18.0</v>
      </c>
      <c r="B19" s="219" t="s">
        <v>1699</v>
      </c>
      <c r="C19" s="223" t="s">
        <v>1898</v>
      </c>
      <c r="D19" s="224">
        <v>45000.0</v>
      </c>
      <c r="E19" s="219" t="s">
        <v>57</v>
      </c>
    </row>
    <row r="20">
      <c r="A20" s="222">
        <v>19.0</v>
      </c>
      <c r="B20" s="219" t="s">
        <v>1699</v>
      </c>
      <c r="C20" s="223" t="s">
        <v>1900</v>
      </c>
      <c r="D20" s="221">
        <v>30300.0</v>
      </c>
      <c r="E20" s="219" t="s">
        <v>57</v>
      </c>
    </row>
    <row r="21">
      <c r="A21" s="222">
        <v>20.0</v>
      </c>
      <c r="B21" s="219" t="s">
        <v>1699</v>
      </c>
      <c r="C21" s="223" t="s">
        <v>1905</v>
      </c>
      <c r="D21" s="221">
        <v>30000.0</v>
      </c>
      <c r="E21" s="219" t="s">
        <v>57</v>
      </c>
    </row>
    <row r="22">
      <c r="A22" s="222">
        <v>21.0</v>
      </c>
      <c r="B22" s="219" t="s">
        <v>1699</v>
      </c>
      <c r="C22" s="223" t="s">
        <v>1907</v>
      </c>
      <c r="D22" s="224">
        <v>38000.0</v>
      </c>
      <c r="E22" s="219" t="s">
        <v>57</v>
      </c>
    </row>
    <row r="23">
      <c r="A23" s="222">
        <v>22.0</v>
      </c>
      <c r="B23" s="219" t="s">
        <v>1699</v>
      </c>
      <c r="C23" s="223" t="s">
        <v>1912</v>
      </c>
      <c r="D23" s="221">
        <v>4000.0</v>
      </c>
      <c r="E23" s="219" t="s">
        <v>7</v>
      </c>
    </row>
    <row r="24">
      <c r="A24" s="222">
        <v>23.0</v>
      </c>
      <c r="B24" s="219" t="s">
        <v>1699</v>
      </c>
      <c r="C24" s="223" t="s">
        <v>1914</v>
      </c>
      <c r="D24" s="221">
        <v>3000.0</v>
      </c>
      <c r="E24" s="219" t="s">
        <v>27</v>
      </c>
    </row>
    <row r="25">
      <c r="A25" s="222">
        <v>24.0</v>
      </c>
      <c r="B25" s="219" t="s">
        <v>1699</v>
      </c>
      <c r="C25" s="223" t="s">
        <v>1919</v>
      </c>
      <c r="D25" s="221">
        <v>3000.0</v>
      </c>
      <c r="E25" s="219" t="s">
        <v>27</v>
      </c>
    </row>
    <row r="26">
      <c r="A26" s="222">
        <v>25.0</v>
      </c>
      <c r="B26" s="219" t="s">
        <v>1699</v>
      </c>
      <c r="C26" s="223" t="s">
        <v>1921</v>
      </c>
      <c r="D26" s="221">
        <v>22000.0</v>
      </c>
      <c r="E26" s="219" t="s">
        <v>1922</v>
      </c>
    </row>
    <row r="27">
      <c r="A27" s="222">
        <v>26.0</v>
      </c>
      <c r="B27" s="219" t="s">
        <v>1925</v>
      </c>
      <c r="C27" s="223" t="s">
        <v>1926</v>
      </c>
      <c r="D27" s="221">
        <f>(14334+14667)/2</f>
        <v>14500.5</v>
      </c>
      <c r="E27" s="219" t="s">
        <v>1922</v>
      </c>
    </row>
    <row r="28">
      <c r="A28" s="222">
        <v>27.0</v>
      </c>
      <c r="B28" s="219" t="s">
        <v>1925</v>
      </c>
      <c r="C28" s="223" t="s">
        <v>1940</v>
      </c>
      <c r="D28" s="221">
        <f>(42000+43000)/2</f>
        <v>42500</v>
      </c>
      <c r="E28" s="219" t="s">
        <v>57</v>
      </c>
    </row>
    <row r="29">
      <c r="A29" s="222">
        <v>28.0</v>
      </c>
      <c r="B29" s="219" t="s">
        <v>1925</v>
      </c>
      <c r="C29" s="223" t="s">
        <v>1950</v>
      </c>
      <c r="D29" s="221">
        <v>31000.0</v>
      </c>
      <c r="E29" s="219" t="s">
        <v>57</v>
      </c>
    </row>
    <row r="30">
      <c r="A30" s="222">
        <v>29.0</v>
      </c>
      <c r="B30" s="219" t="s">
        <v>1925</v>
      </c>
      <c r="C30" s="223" t="s">
        <v>1952</v>
      </c>
      <c r="D30" s="224">
        <v>25000.0</v>
      </c>
      <c r="E30" s="219" t="s">
        <v>57</v>
      </c>
    </row>
    <row r="31">
      <c r="A31" s="222">
        <v>30.0</v>
      </c>
      <c r="B31" s="219" t="s">
        <v>1925</v>
      </c>
      <c r="C31" s="223" t="s">
        <v>1959</v>
      </c>
      <c r="D31" s="224">
        <v>18000.0</v>
      </c>
      <c r="E31" s="219" t="s">
        <v>57</v>
      </c>
    </row>
    <row r="32">
      <c r="A32" s="222">
        <v>31.0</v>
      </c>
      <c r="B32" s="219" t="s">
        <v>1925</v>
      </c>
      <c r="C32" s="223" t="s">
        <v>1963</v>
      </c>
      <c r="D32" s="221">
        <v>14447.3</v>
      </c>
      <c r="E32" s="219" t="s">
        <v>1964</v>
      </c>
    </row>
    <row r="33">
      <c r="A33" s="222">
        <v>32.0</v>
      </c>
      <c r="B33" s="219" t="s">
        <v>1925</v>
      </c>
      <c r="C33" s="223" t="s">
        <v>1966</v>
      </c>
      <c r="D33" s="221">
        <v>8750.0</v>
      </c>
      <c r="E33" s="219" t="s">
        <v>7</v>
      </c>
    </row>
    <row r="34">
      <c r="A34" s="222">
        <v>33.0</v>
      </c>
      <c r="B34" s="219" t="s">
        <v>1925</v>
      </c>
      <c r="C34" s="223" t="s">
        <v>1971</v>
      </c>
      <c r="D34" s="221">
        <v>17250.0</v>
      </c>
      <c r="E34" s="219" t="s">
        <v>7</v>
      </c>
    </row>
    <row r="35">
      <c r="A35" s="222">
        <v>34.0</v>
      </c>
      <c r="B35" s="219" t="s">
        <v>1925</v>
      </c>
      <c r="C35" s="223" t="s">
        <v>1974</v>
      </c>
      <c r="D35" s="221">
        <v>38000.0</v>
      </c>
      <c r="E35" s="219" t="s">
        <v>57</v>
      </c>
    </row>
    <row r="36">
      <c r="A36" s="222">
        <v>35.0</v>
      </c>
      <c r="B36" s="219" t="s">
        <v>1925</v>
      </c>
      <c r="C36" s="223" t="s">
        <v>1978</v>
      </c>
      <c r="D36" s="221">
        <f>(13000+12500)/2</f>
        <v>12750</v>
      </c>
      <c r="E36" s="219" t="s">
        <v>7</v>
      </c>
    </row>
    <row r="37">
      <c r="A37" s="222">
        <v>36.0</v>
      </c>
      <c r="B37" s="219" t="s">
        <v>1925</v>
      </c>
      <c r="C37" s="223" t="s">
        <v>1985</v>
      </c>
      <c r="D37" s="221">
        <v>60000.0</v>
      </c>
      <c r="E37" s="219" t="s">
        <v>57</v>
      </c>
    </row>
    <row r="38">
      <c r="A38" s="222">
        <v>37.0</v>
      </c>
      <c r="B38" s="219" t="s">
        <v>1925</v>
      </c>
      <c r="C38" s="223" t="s">
        <v>1990</v>
      </c>
      <c r="D38" s="221">
        <v>3100.0</v>
      </c>
      <c r="E38" s="219" t="s">
        <v>7</v>
      </c>
    </row>
    <row r="39">
      <c r="A39" s="222">
        <v>38.0</v>
      </c>
      <c r="B39" s="219" t="s">
        <v>1925</v>
      </c>
      <c r="C39" s="223" t="s">
        <v>1992</v>
      </c>
      <c r="D39" s="221">
        <v>105450.0</v>
      </c>
      <c r="E39" s="219" t="s">
        <v>509</v>
      </c>
    </row>
    <row r="40">
      <c r="A40" s="222">
        <v>39.0</v>
      </c>
      <c r="B40" s="219" t="s">
        <v>1925</v>
      </c>
      <c r="C40" s="223" t="s">
        <v>1994</v>
      </c>
      <c r="D40" s="221">
        <v>25000.0</v>
      </c>
      <c r="E40" s="219" t="s">
        <v>1922</v>
      </c>
    </row>
    <row r="41">
      <c r="A41" s="222">
        <v>40.0</v>
      </c>
      <c r="B41" s="219" t="s">
        <v>1925</v>
      </c>
      <c r="C41" s="223" t="s">
        <v>1995</v>
      </c>
      <c r="D41" s="221">
        <v>12000.0</v>
      </c>
      <c r="E41" s="219" t="s">
        <v>57</v>
      </c>
    </row>
    <row r="42">
      <c r="A42" s="222">
        <v>41.0</v>
      </c>
      <c r="B42" s="219" t="s">
        <v>1925</v>
      </c>
      <c r="C42" s="223" t="s">
        <v>1997</v>
      </c>
      <c r="D42" s="221">
        <v>8000.0</v>
      </c>
      <c r="E42" s="219" t="s">
        <v>7</v>
      </c>
    </row>
    <row r="43">
      <c r="A43" s="222">
        <v>42.0</v>
      </c>
      <c r="B43" s="219" t="s">
        <v>2000</v>
      </c>
      <c r="C43" s="223" t="s">
        <v>2001</v>
      </c>
      <c r="D43" s="221">
        <v>0.0</v>
      </c>
      <c r="E43" s="219" t="s">
        <v>57</v>
      </c>
    </row>
    <row r="44">
      <c r="A44" s="222">
        <v>43.0</v>
      </c>
      <c r="B44" s="219" t="s">
        <v>2000</v>
      </c>
      <c r="C44" s="223" t="s">
        <v>2005</v>
      </c>
      <c r="D44" s="221">
        <v>46000.0</v>
      </c>
      <c r="E44" s="219" t="s">
        <v>1964</v>
      </c>
    </row>
    <row r="45">
      <c r="A45" s="222">
        <v>44.0</v>
      </c>
      <c r="B45" s="219" t="s">
        <v>2000</v>
      </c>
      <c r="C45" s="223" t="s">
        <v>2007</v>
      </c>
      <c r="D45" s="221">
        <v>37000.0</v>
      </c>
      <c r="E45" s="219" t="s">
        <v>57</v>
      </c>
    </row>
    <row r="46">
      <c r="A46" s="222">
        <v>45.0</v>
      </c>
      <c r="B46" s="219" t="s">
        <v>2000</v>
      </c>
      <c r="C46" s="223" t="s">
        <v>2008</v>
      </c>
      <c r="D46" s="221">
        <f>(43000+44000)/2</f>
        <v>43500</v>
      </c>
      <c r="E46" s="219" t="s">
        <v>57</v>
      </c>
    </row>
    <row r="47">
      <c r="A47" s="222">
        <v>46.0</v>
      </c>
      <c r="B47" s="219" t="s">
        <v>2000</v>
      </c>
      <c r="C47" s="223" t="s">
        <v>2009</v>
      </c>
      <c r="D47" s="221">
        <v>0.0</v>
      </c>
      <c r="E47" s="219" t="s">
        <v>57</v>
      </c>
    </row>
    <row r="48">
      <c r="A48" s="222">
        <v>47.0</v>
      </c>
      <c r="B48" s="219" t="s">
        <v>2000</v>
      </c>
      <c r="C48" s="223" t="s">
        <v>2010</v>
      </c>
      <c r="D48" s="221">
        <v>50000.0</v>
      </c>
      <c r="E48" s="219" t="s">
        <v>57</v>
      </c>
    </row>
    <row r="49">
      <c r="A49" s="222">
        <v>48.0</v>
      </c>
      <c r="B49" s="219" t="s">
        <v>2000</v>
      </c>
      <c r="C49" s="223" t="s">
        <v>2011</v>
      </c>
      <c r="D49" s="221">
        <v>30000.0</v>
      </c>
      <c r="E49" s="219" t="s">
        <v>57</v>
      </c>
    </row>
    <row r="50">
      <c r="A50" s="222">
        <v>49.0</v>
      </c>
      <c r="B50" s="219" t="s">
        <v>2000</v>
      </c>
      <c r="C50" s="223" t="s">
        <v>2012</v>
      </c>
      <c r="D50" s="221">
        <v>0.0</v>
      </c>
      <c r="E50" s="219" t="s">
        <v>57</v>
      </c>
    </row>
    <row r="51">
      <c r="A51" s="222">
        <v>50.0</v>
      </c>
      <c r="B51" s="219" t="s">
        <v>2000</v>
      </c>
      <c r="C51" s="223" t="s">
        <v>2014</v>
      </c>
      <c r="D51" s="221">
        <v>0.0</v>
      </c>
      <c r="E51" s="219" t="s">
        <v>57</v>
      </c>
    </row>
    <row r="52">
      <c r="A52" s="222">
        <v>51.0</v>
      </c>
      <c r="B52" s="219" t="s">
        <v>2000</v>
      </c>
      <c r="C52" s="223" t="s">
        <v>2016</v>
      </c>
      <c r="D52" s="221">
        <v>26000.0</v>
      </c>
      <c r="E52" s="219" t="s">
        <v>57</v>
      </c>
    </row>
    <row r="53">
      <c r="A53" s="222">
        <v>52.0</v>
      </c>
      <c r="B53" s="219" t="s">
        <v>2000</v>
      </c>
      <c r="C53" s="223" t="s">
        <v>2019</v>
      </c>
      <c r="D53" s="221">
        <v>17200.0</v>
      </c>
      <c r="E53" s="219" t="s">
        <v>57</v>
      </c>
    </row>
    <row r="54">
      <c r="A54" s="222">
        <v>53.0</v>
      </c>
      <c r="B54" s="219" t="s">
        <v>2000</v>
      </c>
      <c r="C54" s="223" t="s">
        <v>2022</v>
      </c>
      <c r="D54" s="221">
        <v>32000.0</v>
      </c>
      <c r="E54" s="219" t="s">
        <v>7</v>
      </c>
    </row>
    <row r="55">
      <c r="A55" s="222">
        <v>54.0</v>
      </c>
      <c r="B55" s="219" t="s">
        <v>2000</v>
      </c>
      <c r="C55" s="223" t="s">
        <v>2026</v>
      </c>
      <c r="D55" s="221">
        <v>45045.0</v>
      </c>
      <c r="E55" s="219" t="s">
        <v>57</v>
      </c>
    </row>
    <row r="56">
      <c r="A56" s="222">
        <v>55.0</v>
      </c>
      <c r="B56" s="219" t="s">
        <v>2000</v>
      </c>
      <c r="C56" s="223" t="s">
        <v>2030</v>
      </c>
      <c r="D56" s="221">
        <v>81022.16</v>
      </c>
      <c r="E56" s="219" t="s">
        <v>2031</v>
      </c>
    </row>
    <row r="57">
      <c r="A57" s="222">
        <v>56.0</v>
      </c>
      <c r="B57" s="219" t="s">
        <v>2000</v>
      </c>
      <c r="C57" s="223" t="s">
        <v>2036</v>
      </c>
      <c r="D57" s="221">
        <f>(155598+155210.05)/2</f>
        <v>155404.025</v>
      </c>
      <c r="E57" s="219" t="s">
        <v>2031</v>
      </c>
    </row>
    <row r="58">
      <c r="A58" s="222">
        <v>57.0</v>
      </c>
      <c r="B58" s="219" t="s">
        <v>2000</v>
      </c>
      <c r="C58" s="223" t="s">
        <v>2052</v>
      </c>
      <c r="D58" s="221">
        <v>142500.0</v>
      </c>
      <c r="E58" s="219" t="s">
        <v>57</v>
      </c>
    </row>
    <row r="59">
      <c r="A59" s="222">
        <v>58.0</v>
      </c>
      <c r="B59" s="219" t="s">
        <v>2000</v>
      </c>
      <c r="C59" s="223" t="s">
        <v>2055</v>
      </c>
      <c r="D59" s="221">
        <v>145000.0</v>
      </c>
      <c r="E59" s="219" t="s">
        <v>57</v>
      </c>
    </row>
    <row r="60">
      <c r="A60" s="222">
        <v>59.0</v>
      </c>
      <c r="B60" s="219" t="s">
        <v>2000</v>
      </c>
      <c r="C60" s="223" t="s">
        <v>2056</v>
      </c>
      <c r="D60" s="221">
        <v>0.0</v>
      </c>
      <c r="E60" s="219" t="s">
        <v>57</v>
      </c>
    </row>
    <row r="61">
      <c r="A61" s="222">
        <v>60.0</v>
      </c>
      <c r="B61" s="219" t="s">
        <v>2000</v>
      </c>
      <c r="C61" s="223" t="s">
        <v>2058</v>
      </c>
      <c r="D61" s="221">
        <f>(2050+2000)/2</f>
        <v>2025</v>
      </c>
      <c r="E61" s="219" t="s">
        <v>30</v>
      </c>
    </row>
    <row r="62">
      <c r="A62" s="222">
        <v>61.0</v>
      </c>
      <c r="B62" s="219" t="s">
        <v>2000</v>
      </c>
      <c r="C62" s="223" t="s">
        <v>2066</v>
      </c>
      <c r="D62" s="221">
        <v>20000.0</v>
      </c>
      <c r="E62" s="219" t="s">
        <v>7</v>
      </c>
    </row>
    <row r="63">
      <c r="A63" s="222">
        <v>62.0</v>
      </c>
      <c r="B63" s="219" t="s">
        <v>2000</v>
      </c>
      <c r="C63" s="223" t="s">
        <v>2069</v>
      </c>
      <c r="D63" s="221">
        <v>21300.0</v>
      </c>
      <c r="E63" s="219" t="s">
        <v>7</v>
      </c>
    </row>
    <row r="64">
      <c r="A64" s="222">
        <v>63.0</v>
      </c>
      <c r="B64" s="219" t="s">
        <v>2000</v>
      </c>
      <c r="C64" s="223" t="s">
        <v>2074</v>
      </c>
      <c r="D64" s="221">
        <v>208800.0</v>
      </c>
      <c r="E64" s="219" t="s">
        <v>7</v>
      </c>
    </row>
    <row r="65">
      <c r="A65" s="222">
        <v>64.0</v>
      </c>
      <c r="B65" s="219" t="s">
        <v>2000</v>
      </c>
      <c r="C65" s="223" t="s">
        <v>2077</v>
      </c>
      <c r="D65" s="221">
        <v>241900.0</v>
      </c>
      <c r="E65" s="219" t="s">
        <v>7</v>
      </c>
    </row>
    <row r="66">
      <c r="A66" s="222">
        <v>65.0</v>
      </c>
      <c r="B66" s="219" t="s">
        <v>2000</v>
      </c>
      <c r="C66" s="223" t="s">
        <v>2081</v>
      </c>
      <c r="D66" s="221">
        <f>(108333+44643)/2</f>
        <v>76488</v>
      </c>
      <c r="E66" s="219" t="s">
        <v>2088</v>
      </c>
    </row>
    <row r="67">
      <c r="A67" s="222">
        <v>66.0</v>
      </c>
      <c r="B67" s="219" t="s">
        <v>2000</v>
      </c>
      <c r="C67" s="223" t="s">
        <v>2093</v>
      </c>
      <c r="D67" s="221">
        <v>8880.0</v>
      </c>
      <c r="E67" s="219" t="s">
        <v>57</v>
      </c>
    </row>
    <row r="68">
      <c r="A68" s="222">
        <v>67.0</v>
      </c>
      <c r="B68" s="219" t="s">
        <v>2000</v>
      </c>
      <c r="C68" s="223" t="s">
        <v>2097</v>
      </c>
      <c r="D68" s="221">
        <f>(10583+11250)/2</f>
        <v>10916.5</v>
      </c>
      <c r="E68" s="219" t="s">
        <v>57</v>
      </c>
    </row>
    <row r="69">
      <c r="A69" s="222">
        <v>68.0</v>
      </c>
      <c r="B69" s="219" t="s">
        <v>2000</v>
      </c>
      <c r="C69" s="223" t="s">
        <v>2105</v>
      </c>
      <c r="D69" s="221">
        <v>11200.0</v>
      </c>
      <c r="E69" s="219" t="s">
        <v>57</v>
      </c>
    </row>
    <row r="70">
      <c r="A70" s="222">
        <v>69.0</v>
      </c>
      <c r="B70" s="219" t="s">
        <v>2000</v>
      </c>
      <c r="C70" s="223" t="s">
        <v>2110</v>
      </c>
      <c r="D70" s="221">
        <v>72000.0</v>
      </c>
      <c r="E70" s="219" t="s">
        <v>617</v>
      </c>
    </row>
    <row r="71">
      <c r="A71" s="222">
        <v>70.0</v>
      </c>
      <c r="B71" s="219" t="s">
        <v>2000</v>
      </c>
      <c r="C71" s="223" t="s">
        <v>2113</v>
      </c>
      <c r="D71" s="221">
        <v>72000.0</v>
      </c>
      <c r="E71" s="219" t="s">
        <v>617</v>
      </c>
    </row>
    <row r="72">
      <c r="A72" s="222">
        <v>71.0</v>
      </c>
      <c r="B72" s="219" t="s">
        <v>2000</v>
      </c>
      <c r="C72" s="223" t="s">
        <v>2117</v>
      </c>
      <c r="D72" s="221">
        <v>56000.0</v>
      </c>
      <c r="E72" s="219" t="s">
        <v>617</v>
      </c>
    </row>
    <row r="73">
      <c r="A73" s="222">
        <v>72.0</v>
      </c>
      <c r="B73" s="219" t="s">
        <v>2000</v>
      </c>
      <c r="C73" s="223" t="s">
        <v>2120</v>
      </c>
      <c r="D73" s="221">
        <f>(6600+6850)/2</f>
        <v>6725</v>
      </c>
      <c r="E73" s="219" t="s">
        <v>2126</v>
      </c>
    </row>
    <row r="74">
      <c r="A74" s="222">
        <v>73.0</v>
      </c>
      <c r="B74" s="219" t="s">
        <v>2000</v>
      </c>
      <c r="C74" s="223" t="s">
        <v>2129</v>
      </c>
      <c r="D74" s="221">
        <v>25225.0</v>
      </c>
      <c r="E74" s="219" t="s">
        <v>57</v>
      </c>
    </row>
    <row r="75">
      <c r="A75" s="222">
        <v>74.0</v>
      </c>
      <c r="B75" s="219" t="s">
        <v>2000</v>
      </c>
      <c r="C75" s="223" t="s">
        <v>2132</v>
      </c>
      <c r="D75" s="221">
        <v>19500.0</v>
      </c>
      <c r="E75" s="219" t="s">
        <v>57</v>
      </c>
    </row>
    <row r="76">
      <c r="A76" s="222">
        <v>75.0</v>
      </c>
      <c r="B76" s="219" t="s">
        <v>2000</v>
      </c>
      <c r="C76" s="223" t="s">
        <v>2134</v>
      </c>
      <c r="D76" s="221">
        <v>16650.0</v>
      </c>
      <c r="E76" s="219" t="s">
        <v>57</v>
      </c>
    </row>
    <row r="77">
      <c r="A77" s="222">
        <v>76.0</v>
      </c>
      <c r="B77" s="219" t="s">
        <v>2000</v>
      </c>
      <c r="C77" s="223" t="s">
        <v>2139</v>
      </c>
      <c r="D77" s="221">
        <v>49000.0</v>
      </c>
      <c r="E77" s="219" t="s">
        <v>57</v>
      </c>
    </row>
    <row r="78">
      <c r="A78" s="222">
        <v>77.0</v>
      </c>
      <c r="B78" s="219" t="s">
        <v>2000</v>
      </c>
      <c r="C78" s="223" t="s">
        <v>2141</v>
      </c>
      <c r="D78" s="221">
        <v>78000.0</v>
      </c>
      <c r="E78" s="219" t="s">
        <v>57</v>
      </c>
    </row>
    <row r="79">
      <c r="A79" s="222">
        <v>78.0</v>
      </c>
      <c r="B79" s="219" t="s">
        <v>2000</v>
      </c>
      <c r="C79" s="223" t="s">
        <v>2142</v>
      </c>
      <c r="D79" s="221">
        <f>(38181+46700+42341)/3</f>
        <v>42407.33333</v>
      </c>
      <c r="E79" s="219" t="s">
        <v>57</v>
      </c>
    </row>
    <row r="80">
      <c r="A80" s="222">
        <v>79.0</v>
      </c>
      <c r="B80" s="219" t="s">
        <v>2000</v>
      </c>
      <c r="C80" s="223" t="s">
        <v>2145</v>
      </c>
      <c r="D80" s="221">
        <v>600.0</v>
      </c>
      <c r="E80" s="219" t="s">
        <v>7</v>
      </c>
    </row>
    <row r="81">
      <c r="A81" s="222">
        <v>80.0</v>
      </c>
      <c r="B81" s="219" t="s">
        <v>2000</v>
      </c>
      <c r="C81" s="223" t="s">
        <v>2148</v>
      </c>
      <c r="D81" s="221">
        <v>450.0</v>
      </c>
      <c r="E81" s="219" t="s">
        <v>7</v>
      </c>
    </row>
    <row r="82">
      <c r="A82" s="222">
        <v>81.0</v>
      </c>
      <c r="B82" s="219" t="s">
        <v>2000</v>
      </c>
      <c r="C82" s="223" t="s">
        <v>2150</v>
      </c>
      <c r="D82" s="221">
        <v>19200.0</v>
      </c>
      <c r="E82" s="219" t="s">
        <v>57</v>
      </c>
    </row>
    <row r="83">
      <c r="A83" s="222">
        <v>82.0</v>
      </c>
      <c r="B83" s="219" t="s">
        <v>2000</v>
      </c>
      <c r="C83" s="223" t="s">
        <v>2155</v>
      </c>
      <c r="D83" s="221">
        <v>16000.0</v>
      </c>
      <c r="E83" s="219" t="s">
        <v>57</v>
      </c>
    </row>
    <row r="84">
      <c r="A84" s="222">
        <v>83.0</v>
      </c>
      <c r="B84" s="219" t="s">
        <v>2000</v>
      </c>
      <c r="C84" s="223" t="s">
        <v>2157</v>
      </c>
      <c r="D84" s="221">
        <v>6100.0</v>
      </c>
      <c r="E84" s="219" t="s">
        <v>57</v>
      </c>
    </row>
    <row r="85">
      <c r="A85" s="222">
        <v>84.0</v>
      </c>
      <c r="B85" s="219" t="s">
        <v>2000</v>
      </c>
      <c r="C85" s="223" t="s">
        <v>2160</v>
      </c>
      <c r="D85" s="221">
        <v>57500.0</v>
      </c>
      <c r="E85" s="219" t="s">
        <v>57</v>
      </c>
    </row>
    <row r="86">
      <c r="A86" s="222">
        <v>85.0</v>
      </c>
      <c r="B86" s="219" t="s">
        <v>2000</v>
      </c>
      <c r="C86" s="223" t="s">
        <v>2163</v>
      </c>
      <c r="D86" s="221">
        <v>60000.0</v>
      </c>
      <c r="E86" s="219" t="s">
        <v>509</v>
      </c>
    </row>
    <row r="87">
      <c r="A87" s="222">
        <v>86.0</v>
      </c>
      <c r="B87" s="219" t="s">
        <v>2000</v>
      </c>
      <c r="C87" s="223" t="s">
        <v>2165</v>
      </c>
      <c r="D87" s="221">
        <v>22000.0</v>
      </c>
      <c r="E87" s="219" t="s">
        <v>57</v>
      </c>
    </row>
    <row r="88">
      <c r="A88" s="222">
        <v>87.0</v>
      </c>
      <c r="B88" s="219" t="s">
        <v>2000</v>
      </c>
      <c r="C88" s="223" t="s">
        <v>1369</v>
      </c>
      <c r="D88" s="221">
        <v>71583.0</v>
      </c>
      <c r="E88" s="219" t="s">
        <v>509</v>
      </c>
    </row>
    <row r="89">
      <c r="A89" s="222">
        <v>88.0</v>
      </c>
      <c r="B89" s="219" t="s">
        <v>2000</v>
      </c>
      <c r="C89" s="223" t="s">
        <v>2170</v>
      </c>
      <c r="D89" s="221">
        <v>26000.0</v>
      </c>
      <c r="E89" s="219" t="s">
        <v>57</v>
      </c>
    </row>
    <row r="90">
      <c r="A90" s="222">
        <v>89.0</v>
      </c>
      <c r="B90" s="219" t="s">
        <v>2000</v>
      </c>
      <c r="C90" s="223" t="s">
        <v>2177</v>
      </c>
      <c r="D90" s="221">
        <v>90650.0</v>
      </c>
      <c r="E90" s="219" t="s">
        <v>509</v>
      </c>
    </row>
    <row r="91">
      <c r="A91" s="222">
        <v>90.0</v>
      </c>
      <c r="B91" s="219" t="s">
        <v>2000</v>
      </c>
      <c r="C91" s="223" t="s">
        <v>2182</v>
      </c>
      <c r="D91" s="221">
        <v>0.0</v>
      </c>
      <c r="E91" s="219" t="s">
        <v>57</v>
      </c>
    </row>
    <row r="92">
      <c r="A92" s="222">
        <v>91.0</v>
      </c>
      <c r="B92" s="219" t="s">
        <v>2000</v>
      </c>
      <c r="C92" s="223" t="s">
        <v>2184</v>
      </c>
      <c r="D92" s="221">
        <v>69000.0</v>
      </c>
      <c r="E92" s="219" t="s">
        <v>7</v>
      </c>
    </row>
    <row r="93">
      <c r="A93" s="222">
        <v>92.0</v>
      </c>
      <c r="B93" s="219" t="s">
        <v>2000</v>
      </c>
      <c r="C93" s="223" t="s">
        <v>2188</v>
      </c>
      <c r="D93" s="221">
        <v>65000.0</v>
      </c>
      <c r="E93" s="219" t="s">
        <v>7</v>
      </c>
    </row>
    <row r="94">
      <c r="A94" s="222">
        <v>93.0</v>
      </c>
      <c r="B94" s="219" t="s">
        <v>2000</v>
      </c>
      <c r="C94" s="223" t="s">
        <v>2190</v>
      </c>
      <c r="D94" s="221">
        <v>0.0</v>
      </c>
      <c r="E94" s="219" t="s">
        <v>57</v>
      </c>
    </row>
    <row r="95">
      <c r="A95" s="222">
        <v>94.0</v>
      </c>
      <c r="B95" s="219" t="s">
        <v>2000</v>
      </c>
      <c r="C95" s="223" t="s">
        <v>2191</v>
      </c>
      <c r="D95" s="221">
        <v>25000.0</v>
      </c>
      <c r="E95" s="219" t="s">
        <v>57</v>
      </c>
    </row>
    <row r="96">
      <c r="A96" s="222">
        <v>95.0</v>
      </c>
      <c r="B96" s="219" t="s">
        <v>2000</v>
      </c>
      <c r="C96" s="223" t="s">
        <v>2193</v>
      </c>
      <c r="D96" s="221">
        <v>12000.0</v>
      </c>
      <c r="E96" s="219" t="s">
        <v>57</v>
      </c>
    </row>
    <row r="97">
      <c r="A97" s="222">
        <v>96.0</v>
      </c>
      <c r="B97" s="219" t="s">
        <v>2000</v>
      </c>
      <c r="C97" s="223" t="s">
        <v>2196</v>
      </c>
      <c r="D97" s="221">
        <v>40100.0</v>
      </c>
      <c r="E97" s="219" t="s">
        <v>57</v>
      </c>
    </row>
    <row r="98">
      <c r="A98" s="222">
        <v>97.0</v>
      </c>
      <c r="B98" s="219" t="s">
        <v>2000</v>
      </c>
      <c r="C98" s="223" t="s">
        <v>2198</v>
      </c>
      <c r="D98" s="221">
        <f>57443</f>
        <v>57443</v>
      </c>
      <c r="E98" s="219" t="s">
        <v>57</v>
      </c>
    </row>
    <row r="99">
      <c r="A99" s="222">
        <v>98.0</v>
      </c>
      <c r="B99" s="219" t="s">
        <v>2000</v>
      </c>
      <c r="C99" s="223" t="s">
        <v>2206</v>
      </c>
      <c r="D99" s="221">
        <v>0.0</v>
      </c>
      <c r="E99" s="219" t="s">
        <v>617</v>
      </c>
    </row>
    <row r="100">
      <c r="A100" s="222">
        <v>99.0</v>
      </c>
      <c r="B100" s="219" t="s">
        <v>2000</v>
      </c>
      <c r="C100" s="223" t="s">
        <v>2208</v>
      </c>
      <c r="D100" s="221">
        <f>(17500+48500)/2</f>
        <v>33000</v>
      </c>
      <c r="E100" s="219" t="s">
        <v>617</v>
      </c>
    </row>
    <row r="101">
      <c r="A101" s="222">
        <v>100.0</v>
      </c>
      <c r="B101" s="219" t="s">
        <v>2000</v>
      </c>
      <c r="C101" s="223" t="s">
        <v>2218</v>
      </c>
      <c r="D101" s="221">
        <v>6500.0</v>
      </c>
      <c r="E101" s="219" t="s">
        <v>617</v>
      </c>
    </row>
    <row r="102">
      <c r="A102" s="222">
        <v>101.0</v>
      </c>
      <c r="B102" s="219" t="s">
        <v>2000</v>
      </c>
      <c r="C102" s="223" t="s">
        <v>1482</v>
      </c>
      <c r="D102" s="221">
        <f>44417</f>
        <v>44417</v>
      </c>
      <c r="E102" s="219" t="s">
        <v>57</v>
      </c>
    </row>
    <row r="103">
      <c r="A103" s="222">
        <v>102.0</v>
      </c>
      <c r="B103" s="219" t="s">
        <v>2000</v>
      </c>
      <c r="C103" s="223" t="s">
        <v>2224</v>
      </c>
      <c r="D103" s="221">
        <v>17250.0</v>
      </c>
      <c r="E103" s="219" t="s">
        <v>57</v>
      </c>
    </row>
    <row r="104">
      <c r="A104" s="222">
        <v>103.0</v>
      </c>
      <c r="B104" s="219" t="s">
        <v>2000</v>
      </c>
      <c r="C104" s="223" t="s">
        <v>1559</v>
      </c>
      <c r="D104" s="221">
        <v>17250.0</v>
      </c>
      <c r="E104" s="219" t="s">
        <v>57</v>
      </c>
    </row>
    <row r="105">
      <c r="A105" s="222">
        <v>104.0</v>
      </c>
      <c r="B105" s="219" t="s">
        <v>2000</v>
      </c>
      <c r="C105" s="223" t="s">
        <v>2230</v>
      </c>
      <c r="D105" s="221">
        <v>15000.0</v>
      </c>
      <c r="E105" s="219" t="s">
        <v>57</v>
      </c>
    </row>
    <row r="106">
      <c r="A106" s="222">
        <v>105.0</v>
      </c>
      <c r="B106" s="219" t="s">
        <v>2000</v>
      </c>
      <c r="C106" s="223" t="s">
        <v>2232</v>
      </c>
      <c r="D106" s="221">
        <v>62500.0</v>
      </c>
      <c r="E106" s="219" t="s">
        <v>57</v>
      </c>
    </row>
    <row r="107">
      <c r="A107" s="222">
        <v>106.0</v>
      </c>
      <c r="B107" s="219" t="s">
        <v>2000</v>
      </c>
      <c r="C107" s="223" t="s">
        <v>2235</v>
      </c>
      <c r="D107" s="221">
        <v>12000.0</v>
      </c>
      <c r="E107" s="219" t="s">
        <v>57</v>
      </c>
    </row>
    <row r="108">
      <c r="A108" s="222">
        <v>107.0</v>
      </c>
      <c r="B108" s="219" t="s">
        <v>2000</v>
      </c>
      <c r="C108" s="223" t="s">
        <v>2238</v>
      </c>
      <c r="D108" s="221">
        <v>27917.0</v>
      </c>
      <c r="E108" s="219" t="s">
        <v>2088</v>
      </c>
    </row>
    <row r="109">
      <c r="A109" s="222">
        <v>108.0</v>
      </c>
      <c r="B109" s="219" t="s">
        <v>2000</v>
      </c>
      <c r="C109" s="223" t="s">
        <v>2241</v>
      </c>
      <c r="D109" s="221">
        <v>68000.0</v>
      </c>
      <c r="E109" s="219" t="s">
        <v>509</v>
      </c>
    </row>
    <row r="110">
      <c r="A110" s="222">
        <v>109.0</v>
      </c>
      <c r="B110" s="219" t="s">
        <v>2000</v>
      </c>
      <c r="C110" s="223" t="s">
        <v>2245</v>
      </c>
      <c r="D110" s="221">
        <v>17000.0</v>
      </c>
      <c r="E110" s="219" t="s">
        <v>57</v>
      </c>
    </row>
    <row r="111">
      <c r="A111" s="222">
        <v>110.0</v>
      </c>
      <c r="B111" s="219" t="s">
        <v>2000</v>
      </c>
      <c r="C111" s="223" t="s">
        <v>2247</v>
      </c>
      <c r="D111" s="221">
        <v>25834.0</v>
      </c>
      <c r="E111" s="219" t="s">
        <v>509</v>
      </c>
    </row>
    <row r="112">
      <c r="A112" s="222">
        <v>111.0</v>
      </c>
      <c r="B112" s="219" t="s">
        <v>2000</v>
      </c>
      <c r="C112" s="223" t="s">
        <v>2252</v>
      </c>
      <c r="D112" s="221">
        <v>70000.0</v>
      </c>
      <c r="E112" s="219" t="s">
        <v>509</v>
      </c>
    </row>
    <row r="113">
      <c r="A113" s="222">
        <v>112.0</v>
      </c>
      <c r="B113" s="219" t="s">
        <v>2000</v>
      </c>
      <c r="C113" s="223" t="s">
        <v>2254</v>
      </c>
      <c r="D113" s="221">
        <v>88000.0</v>
      </c>
      <c r="E113" s="219" t="s">
        <v>57</v>
      </c>
    </row>
    <row r="114">
      <c r="A114" s="222">
        <v>113.0</v>
      </c>
      <c r="B114" s="219" t="s">
        <v>2000</v>
      </c>
      <c r="C114" s="223" t="s">
        <v>2256</v>
      </c>
      <c r="D114" s="221">
        <v>40000.0</v>
      </c>
      <c r="E114" s="219" t="s">
        <v>57</v>
      </c>
    </row>
    <row r="115">
      <c r="A115" s="222">
        <v>114.0</v>
      </c>
      <c r="B115" s="219" t="s">
        <v>2000</v>
      </c>
      <c r="C115" s="223" t="s">
        <v>2257</v>
      </c>
      <c r="D115" s="221">
        <v>20750.0</v>
      </c>
      <c r="E115" s="219" t="s">
        <v>617</v>
      </c>
    </row>
    <row r="116">
      <c r="A116" s="222">
        <v>115.0</v>
      </c>
      <c r="B116" s="219" t="s">
        <v>2000</v>
      </c>
      <c r="C116" s="223" t="s">
        <v>2258</v>
      </c>
      <c r="D116" s="221">
        <v>0.0</v>
      </c>
      <c r="E116" s="219" t="s">
        <v>57</v>
      </c>
    </row>
    <row r="117">
      <c r="A117" s="222">
        <v>116.0</v>
      </c>
      <c r="B117" s="219" t="s">
        <v>2000</v>
      </c>
      <c r="C117" s="223" t="s">
        <v>2262</v>
      </c>
      <c r="D117" s="221">
        <v>1250000.0</v>
      </c>
      <c r="E117" s="219" t="s">
        <v>2264</v>
      </c>
    </row>
    <row r="118">
      <c r="A118" s="222">
        <v>117.0</v>
      </c>
      <c r="B118" s="219" t="s">
        <v>2000</v>
      </c>
      <c r="C118" s="223" t="s">
        <v>2265</v>
      </c>
      <c r="D118" s="221">
        <v>14167.0</v>
      </c>
      <c r="E118" s="219" t="s">
        <v>2088</v>
      </c>
    </row>
    <row r="119">
      <c r="A119" s="222">
        <v>118.0</v>
      </c>
      <c r="B119" s="219" t="s">
        <v>2000</v>
      </c>
      <c r="C119" s="223" t="s">
        <v>2267</v>
      </c>
      <c r="D119" s="221">
        <v>80000.0</v>
      </c>
      <c r="E119" s="219" t="s">
        <v>57</v>
      </c>
    </row>
    <row r="120">
      <c r="A120" s="222">
        <v>119.0</v>
      </c>
      <c r="B120" s="219" t="s">
        <v>2000</v>
      </c>
      <c r="C120" s="223" t="s">
        <v>502</v>
      </c>
      <c r="D120" s="221">
        <v>15000.0</v>
      </c>
      <c r="E120" s="219" t="s">
        <v>509</v>
      </c>
    </row>
    <row r="121">
      <c r="A121" s="222">
        <v>120.0</v>
      </c>
      <c r="B121" s="219" t="s">
        <v>2000</v>
      </c>
      <c r="C121" s="223" t="s">
        <v>2273</v>
      </c>
      <c r="D121" s="221">
        <f>(119000+115000)/2</f>
        <v>117000</v>
      </c>
      <c r="E121" s="219" t="s">
        <v>509</v>
      </c>
    </row>
    <row r="122">
      <c r="A122" s="222">
        <v>121.0</v>
      </c>
      <c r="B122" s="219" t="s">
        <v>2000</v>
      </c>
      <c r="C122" s="223" t="s">
        <v>1655</v>
      </c>
      <c r="D122" s="221">
        <v>29860.0</v>
      </c>
      <c r="E122" s="219" t="s">
        <v>57</v>
      </c>
    </row>
    <row r="123">
      <c r="A123" s="222">
        <v>122.0</v>
      </c>
      <c r="B123" s="219" t="s">
        <v>2000</v>
      </c>
      <c r="C123" s="223" t="s">
        <v>2283</v>
      </c>
      <c r="D123" s="221">
        <v>160000.0</v>
      </c>
      <c r="E123" s="219" t="s">
        <v>617</v>
      </c>
    </row>
    <row r="124">
      <c r="A124" s="222">
        <v>123.0</v>
      </c>
      <c r="B124" s="219" t="s">
        <v>2000</v>
      </c>
      <c r="C124" s="223" t="s">
        <v>614</v>
      </c>
      <c r="D124" s="221">
        <v>550000.0</v>
      </c>
      <c r="E124" s="219" t="s">
        <v>617</v>
      </c>
    </row>
    <row r="125">
      <c r="A125" s="222">
        <v>124.0</v>
      </c>
      <c r="B125" s="219" t="s">
        <v>2000</v>
      </c>
      <c r="C125" s="223" t="s">
        <v>2289</v>
      </c>
      <c r="D125" s="221">
        <v>30700.0</v>
      </c>
      <c r="E125" s="219" t="s">
        <v>617</v>
      </c>
    </row>
    <row r="126">
      <c r="A126" s="222">
        <v>125.0</v>
      </c>
      <c r="B126" s="219" t="s">
        <v>2000</v>
      </c>
      <c r="C126" s="223" t="s">
        <v>2291</v>
      </c>
      <c r="D126" s="221">
        <v>1600.0</v>
      </c>
      <c r="E126" s="219" t="s">
        <v>7</v>
      </c>
    </row>
    <row r="127">
      <c r="A127" s="222">
        <v>126.0</v>
      </c>
      <c r="B127" s="219" t="s">
        <v>2000</v>
      </c>
      <c r="C127" s="223" t="s">
        <v>2296</v>
      </c>
      <c r="D127" s="221">
        <v>2000.0</v>
      </c>
      <c r="E127" s="219" t="s">
        <v>7</v>
      </c>
    </row>
    <row r="128">
      <c r="A128" s="222">
        <v>127.0</v>
      </c>
      <c r="B128" s="219" t="s">
        <v>2000</v>
      </c>
      <c r="C128" s="223" t="s">
        <v>2298</v>
      </c>
      <c r="D128" s="221">
        <v>10000.0</v>
      </c>
      <c r="E128" s="219" t="s">
        <v>617</v>
      </c>
    </row>
    <row r="129">
      <c r="A129" s="222">
        <v>128.0</v>
      </c>
      <c r="B129" s="219" t="s">
        <v>2000</v>
      </c>
      <c r="C129" s="223" t="s">
        <v>2303</v>
      </c>
      <c r="D129" s="221">
        <v>500.0</v>
      </c>
      <c r="E129" s="219" t="s">
        <v>7</v>
      </c>
    </row>
    <row r="130">
      <c r="A130" s="222">
        <v>129.0</v>
      </c>
      <c r="B130" s="219" t="s">
        <v>2000</v>
      </c>
      <c r="C130" s="223" t="s">
        <v>2306</v>
      </c>
      <c r="D130" s="221">
        <v>500.0</v>
      </c>
      <c r="E130" s="219" t="s">
        <v>7</v>
      </c>
    </row>
    <row r="131">
      <c r="A131" s="222">
        <v>130.0</v>
      </c>
      <c r="B131" s="219" t="s">
        <v>2000</v>
      </c>
      <c r="C131" s="223" t="s">
        <v>2310</v>
      </c>
      <c r="D131" s="228">
        <f>(14540+15880)/2</f>
        <v>15210</v>
      </c>
      <c r="E131" s="219" t="s">
        <v>617</v>
      </c>
    </row>
    <row r="132">
      <c r="A132" s="222">
        <v>131.0</v>
      </c>
      <c r="B132" s="219" t="s">
        <v>2000</v>
      </c>
      <c r="C132" s="223" t="s">
        <v>2339</v>
      </c>
      <c r="D132" s="228">
        <v>12000.0</v>
      </c>
      <c r="E132" s="219" t="s">
        <v>617</v>
      </c>
    </row>
    <row r="133">
      <c r="A133" s="222">
        <v>132.0</v>
      </c>
      <c r="B133" s="219" t="s">
        <v>2000</v>
      </c>
      <c r="C133" s="223" t="s">
        <v>2342</v>
      </c>
      <c r="D133" s="228">
        <v>8000.0</v>
      </c>
      <c r="E133" s="219" t="s">
        <v>617</v>
      </c>
    </row>
    <row r="134">
      <c r="A134" s="222">
        <v>133.0</v>
      </c>
      <c r="B134" s="219" t="s">
        <v>2000</v>
      </c>
      <c r="C134" s="223" t="s">
        <v>2345</v>
      </c>
      <c r="D134" s="228">
        <v>23000.0</v>
      </c>
      <c r="E134" s="219" t="s">
        <v>617</v>
      </c>
    </row>
    <row r="135">
      <c r="A135" s="222">
        <v>134.0</v>
      </c>
      <c r="B135" s="219" t="s">
        <v>2000</v>
      </c>
      <c r="C135" s="223" t="s">
        <v>2349</v>
      </c>
      <c r="D135" s="221">
        <v>47250.0</v>
      </c>
      <c r="E135" s="219" t="s">
        <v>57</v>
      </c>
    </row>
    <row r="136">
      <c r="A136" s="222">
        <v>135.0</v>
      </c>
      <c r="B136" s="219" t="s">
        <v>2000</v>
      </c>
      <c r="C136" s="223" t="s">
        <v>2351</v>
      </c>
      <c r="D136" s="221">
        <v>91000.0</v>
      </c>
      <c r="E136" s="219" t="s">
        <v>57</v>
      </c>
    </row>
    <row r="137">
      <c r="A137" s="222">
        <v>136.0</v>
      </c>
      <c r="B137" s="219" t="s">
        <v>2000</v>
      </c>
      <c r="C137" s="223" t="s">
        <v>2355</v>
      </c>
      <c r="D137" s="221">
        <v>88000.0</v>
      </c>
      <c r="E137" s="219" t="s">
        <v>57</v>
      </c>
    </row>
    <row r="138">
      <c r="A138" s="222">
        <v>137.0</v>
      </c>
      <c r="B138" s="219" t="s">
        <v>2000</v>
      </c>
      <c r="C138" s="223" t="s">
        <v>2358</v>
      </c>
      <c r="D138" s="221">
        <v>130000.0</v>
      </c>
      <c r="E138" s="219" t="s">
        <v>57</v>
      </c>
    </row>
    <row r="139">
      <c r="A139" s="222">
        <v>138.0</v>
      </c>
      <c r="B139" s="219" t="s">
        <v>2000</v>
      </c>
      <c r="C139" s="223" t="s">
        <v>2361</v>
      </c>
      <c r="D139" s="221">
        <v>11000.0</v>
      </c>
      <c r="E139" s="219" t="s">
        <v>617</v>
      </c>
    </row>
    <row r="140">
      <c r="A140" s="222">
        <v>139.0</v>
      </c>
      <c r="B140" s="219" t="s">
        <v>2000</v>
      </c>
      <c r="C140" s="223" t="s">
        <v>2364</v>
      </c>
      <c r="D140" s="221">
        <v>12000.0</v>
      </c>
      <c r="E140" s="219" t="s">
        <v>617</v>
      </c>
    </row>
    <row r="141">
      <c r="A141" s="222">
        <v>140.0</v>
      </c>
      <c r="B141" s="219" t="s">
        <v>2000</v>
      </c>
      <c r="C141" s="223" t="s">
        <v>2367</v>
      </c>
      <c r="D141" s="221">
        <v>11000.0</v>
      </c>
      <c r="E141" s="219" t="s">
        <v>617</v>
      </c>
    </row>
    <row r="142">
      <c r="A142" s="222">
        <v>141.0</v>
      </c>
      <c r="B142" s="219" t="s">
        <v>2000</v>
      </c>
      <c r="C142" s="223" t="s">
        <v>2371</v>
      </c>
      <c r="D142" s="221">
        <v>12500.0</v>
      </c>
      <c r="E142" s="219" t="s">
        <v>617</v>
      </c>
    </row>
    <row r="143">
      <c r="A143" s="222">
        <v>142.0</v>
      </c>
      <c r="B143" s="219" t="s">
        <v>2000</v>
      </c>
      <c r="C143" s="223" t="s">
        <v>2373</v>
      </c>
      <c r="D143" s="221">
        <v>33000.0</v>
      </c>
      <c r="E143" s="219" t="s">
        <v>617</v>
      </c>
    </row>
    <row r="144">
      <c r="A144" s="222">
        <v>143.0</v>
      </c>
      <c r="B144" s="219" t="s">
        <v>2000</v>
      </c>
      <c r="C144" s="223" t="s">
        <v>2378</v>
      </c>
      <c r="D144" s="221">
        <v>125000.0</v>
      </c>
      <c r="E144" s="219" t="s">
        <v>617</v>
      </c>
    </row>
    <row r="145">
      <c r="A145" s="222">
        <v>144.0</v>
      </c>
      <c r="B145" s="219" t="s">
        <v>2000</v>
      </c>
      <c r="C145" s="223" t="s">
        <v>2380</v>
      </c>
      <c r="D145" s="221">
        <v>22000.0</v>
      </c>
      <c r="E145" s="219" t="s">
        <v>2381</v>
      </c>
    </row>
    <row r="146">
      <c r="A146" s="222">
        <v>145.0</v>
      </c>
      <c r="B146" s="219" t="s">
        <v>2000</v>
      </c>
      <c r="C146" s="223" t="s">
        <v>2385</v>
      </c>
      <c r="D146" s="221">
        <f>(387500+378000)/2</f>
        <v>382750</v>
      </c>
      <c r="E146" s="219" t="s">
        <v>2391</v>
      </c>
    </row>
    <row r="147">
      <c r="A147" s="222">
        <v>146.0</v>
      </c>
      <c r="B147" s="219" t="s">
        <v>2000</v>
      </c>
      <c r="C147" s="223" t="s">
        <v>2393</v>
      </c>
      <c r="D147" s="221">
        <v>2675.4</v>
      </c>
      <c r="E147" s="219" t="s">
        <v>7</v>
      </c>
    </row>
    <row r="148">
      <c r="A148" s="222">
        <v>147.0</v>
      </c>
      <c r="B148" s="219" t="s">
        <v>2000</v>
      </c>
      <c r="C148" s="223" t="s">
        <v>2397</v>
      </c>
      <c r="D148" s="221">
        <v>6500.0</v>
      </c>
      <c r="E148" s="219" t="s">
        <v>7</v>
      </c>
    </row>
    <row r="149">
      <c r="A149" s="222">
        <v>148.0</v>
      </c>
      <c r="B149" s="219" t="s">
        <v>2000</v>
      </c>
      <c r="C149" s="223" t="s">
        <v>2400</v>
      </c>
      <c r="D149" s="221">
        <v>6959.0</v>
      </c>
      <c r="E149" s="219" t="s">
        <v>7</v>
      </c>
    </row>
    <row r="150">
      <c r="A150" s="222">
        <v>149.0</v>
      </c>
      <c r="B150" s="219" t="s">
        <v>2000</v>
      </c>
      <c r="C150" s="223" t="s">
        <v>2402</v>
      </c>
      <c r="D150" s="221">
        <v>7250.0</v>
      </c>
      <c r="E150" s="219" t="s">
        <v>7</v>
      </c>
    </row>
    <row r="151">
      <c r="A151" s="222">
        <v>150.0</v>
      </c>
      <c r="B151" s="219" t="s">
        <v>2000</v>
      </c>
      <c r="C151" s="223" t="s">
        <v>2407</v>
      </c>
      <c r="D151" s="221">
        <v>20834.0</v>
      </c>
      <c r="E151" s="219" t="s">
        <v>617</v>
      </c>
    </row>
    <row r="152">
      <c r="A152" s="222">
        <v>151.0</v>
      </c>
      <c r="B152" s="219" t="s">
        <v>2000</v>
      </c>
      <c r="C152" s="223" t="s">
        <v>2409</v>
      </c>
      <c r="D152" s="221">
        <v>56000.0</v>
      </c>
      <c r="E152" s="219" t="s">
        <v>7</v>
      </c>
    </row>
    <row r="153">
      <c r="A153" s="222">
        <v>152.0</v>
      </c>
      <c r="B153" s="219" t="s">
        <v>2000</v>
      </c>
      <c r="C153" s="223" t="s">
        <v>2414</v>
      </c>
      <c r="D153" s="221">
        <v>1400.0</v>
      </c>
      <c r="E153" s="219" t="s">
        <v>7</v>
      </c>
    </row>
    <row r="154">
      <c r="A154" s="222">
        <v>153.0</v>
      </c>
      <c r="B154" s="219" t="s">
        <v>2000</v>
      </c>
      <c r="C154" s="223" t="s">
        <v>2416</v>
      </c>
      <c r="D154" s="221">
        <v>720.0</v>
      </c>
      <c r="E154" s="219" t="s">
        <v>7</v>
      </c>
    </row>
    <row r="155">
      <c r="A155" s="222">
        <v>154.0</v>
      </c>
      <c r="B155" s="219" t="s">
        <v>2000</v>
      </c>
      <c r="C155" s="223" t="s">
        <v>2419</v>
      </c>
      <c r="D155" s="221">
        <v>30900.0</v>
      </c>
      <c r="E155" s="219" t="s">
        <v>7</v>
      </c>
    </row>
    <row r="156">
      <c r="A156" s="222">
        <v>155.0</v>
      </c>
      <c r="B156" s="219" t="s">
        <v>2000</v>
      </c>
      <c r="C156" s="223" t="s">
        <v>2422</v>
      </c>
      <c r="D156" s="221">
        <v>78000.0</v>
      </c>
      <c r="E156" s="219" t="s">
        <v>617</v>
      </c>
    </row>
    <row r="157">
      <c r="A157" s="222">
        <v>156.0</v>
      </c>
      <c r="B157" s="219" t="s">
        <v>2000</v>
      </c>
      <c r="C157" s="223" t="s">
        <v>2424</v>
      </c>
      <c r="D157" s="221">
        <v>14000.0</v>
      </c>
      <c r="E157" s="219" t="s">
        <v>617</v>
      </c>
    </row>
    <row r="158">
      <c r="A158" s="222">
        <v>157.0</v>
      </c>
      <c r="B158" s="219" t="s">
        <v>2000</v>
      </c>
      <c r="C158" s="223" t="s">
        <v>2429</v>
      </c>
      <c r="D158" s="221">
        <v>40835.0</v>
      </c>
      <c r="E158" s="219" t="s">
        <v>617</v>
      </c>
    </row>
    <row r="159">
      <c r="A159" s="222">
        <v>158.0</v>
      </c>
      <c r="B159" s="219" t="s">
        <v>2000</v>
      </c>
      <c r="C159" s="223" t="s">
        <v>2431</v>
      </c>
      <c r="D159" s="221">
        <f>(36850+31760)/2</f>
        <v>34305</v>
      </c>
      <c r="E159" s="219" t="s">
        <v>617</v>
      </c>
    </row>
    <row r="160">
      <c r="A160" s="222">
        <v>159.0</v>
      </c>
      <c r="B160" s="219" t="s">
        <v>2000</v>
      </c>
      <c r="C160" s="223" t="s">
        <v>2439</v>
      </c>
      <c r="D160" s="221">
        <v>144450.04</v>
      </c>
      <c r="E160" s="219" t="s">
        <v>728</v>
      </c>
    </row>
    <row r="161">
      <c r="A161" s="222">
        <v>160.0</v>
      </c>
      <c r="B161" s="219" t="s">
        <v>2000</v>
      </c>
      <c r="C161" s="223" t="s">
        <v>726</v>
      </c>
      <c r="D161" s="221">
        <v>110391.82</v>
      </c>
      <c r="E161" s="219" t="s">
        <v>728</v>
      </c>
    </row>
    <row r="162">
      <c r="A162" s="222">
        <v>161.0</v>
      </c>
      <c r="B162" s="219" t="s">
        <v>2000</v>
      </c>
      <c r="C162" s="223" t="s">
        <v>2444</v>
      </c>
      <c r="D162" s="221">
        <v>38000.0</v>
      </c>
      <c r="E162" s="219" t="s">
        <v>509</v>
      </c>
    </row>
    <row r="163">
      <c r="A163" s="222">
        <v>162.0</v>
      </c>
      <c r="B163" s="219" t="s">
        <v>2000</v>
      </c>
      <c r="C163" s="223" t="s">
        <v>2448</v>
      </c>
      <c r="D163" s="221">
        <v>169150.0</v>
      </c>
      <c r="E163" s="219" t="s">
        <v>509</v>
      </c>
    </row>
    <row r="164">
      <c r="A164" s="222">
        <v>163.0</v>
      </c>
      <c r="B164" s="219" t="s">
        <v>2000</v>
      </c>
      <c r="C164" s="223" t="s">
        <v>2453</v>
      </c>
      <c r="D164" s="221">
        <v>50000.0</v>
      </c>
      <c r="E164" s="219" t="s">
        <v>509</v>
      </c>
    </row>
    <row r="165">
      <c r="A165" s="222">
        <v>164.0</v>
      </c>
      <c r="B165" s="219" t="s">
        <v>2000</v>
      </c>
      <c r="C165" s="223" t="s">
        <v>2456</v>
      </c>
      <c r="D165" s="221">
        <v>296779.6</v>
      </c>
      <c r="E165" s="219" t="s">
        <v>728</v>
      </c>
    </row>
    <row r="166">
      <c r="A166" s="222">
        <v>165.0</v>
      </c>
      <c r="B166" s="219" t="s">
        <v>2000</v>
      </c>
      <c r="C166" s="223" t="s">
        <v>2460</v>
      </c>
      <c r="D166" s="221">
        <v>6696.0</v>
      </c>
      <c r="E166" s="219" t="s">
        <v>617</v>
      </c>
    </row>
    <row r="167">
      <c r="A167" s="222">
        <v>166.0</v>
      </c>
      <c r="B167" s="219" t="s">
        <v>2000</v>
      </c>
      <c r="C167" s="223" t="s">
        <v>2462</v>
      </c>
      <c r="D167" s="221">
        <v>985.0</v>
      </c>
      <c r="E167" s="219" t="s">
        <v>7</v>
      </c>
    </row>
    <row r="168">
      <c r="A168" s="222">
        <v>167.0</v>
      </c>
      <c r="B168" s="219" t="s">
        <v>2000</v>
      </c>
      <c r="C168" s="223" t="s">
        <v>2465</v>
      </c>
      <c r="D168" s="221">
        <f>(207000+220000+235000)/3</f>
        <v>220666.6667</v>
      </c>
      <c r="E168" s="219" t="s">
        <v>2469</v>
      </c>
    </row>
    <row r="169">
      <c r="A169" s="222">
        <v>168.0</v>
      </c>
      <c r="B169" s="219" t="s">
        <v>2000</v>
      </c>
      <c r="C169" s="223" t="s">
        <v>2470</v>
      </c>
      <c r="D169" s="221">
        <f>(120000+116000)/2</f>
        <v>118000</v>
      </c>
      <c r="E169" s="219" t="s">
        <v>57</v>
      </c>
    </row>
    <row r="170">
      <c r="A170" s="222">
        <v>169.0</v>
      </c>
      <c r="B170" s="219" t="s">
        <v>2000</v>
      </c>
      <c r="C170" s="223" t="s">
        <v>2471</v>
      </c>
      <c r="D170" s="221">
        <v>7000.0</v>
      </c>
      <c r="E170" s="219" t="s">
        <v>617</v>
      </c>
    </row>
    <row r="171">
      <c r="A171" s="222">
        <v>170.0</v>
      </c>
      <c r="B171" s="219" t="s">
        <v>2000</v>
      </c>
      <c r="C171" s="223" t="s">
        <v>2472</v>
      </c>
      <c r="D171" s="221">
        <f>52000</f>
        <v>52000</v>
      </c>
      <c r="E171" s="219" t="s">
        <v>617</v>
      </c>
    </row>
    <row r="172">
      <c r="A172" s="222">
        <v>171.0</v>
      </c>
      <c r="B172" s="219" t="s">
        <v>2000</v>
      </c>
      <c r="C172" s="223" t="s">
        <v>2473</v>
      </c>
      <c r="D172" s="221">
        <f t="shared" ref="D172:D173" si="1">62000</f>
        <v>62000</v>
      </c>
      <c r="E172" s="219" t="s">
        <v>617</v>
      </c>
    </row>
    <row r="173">
      <c r="A173" s="222">
        <v>172.0</v>
      </c>
      <c r="B173" s="219" t="s">
        <v>2000</v>
      </c>
      <c r="C173" s="223" t="s">
        <v>2474</v>
      </c>
      <c r="D173" s="221">
        <f t="shared" si="1"/>
        <v>62000</v>
      </c>
      <c r="E173" s="219" t="s">
        <v>617</v>
      </c>
    </row>
    <row r="174">
      <c r="A174" s="222">
        <v>173.0</v>
      </c>
      <c r="B174" s="219" t="s">
        <v>2000</v>
      </c>
      <c r="C174" s="223" t="s">
        <v>2475</v>
      </c>
      <c r="D174" s="221">
        <v>3750.0</v>
      </c>
      <c r="E174" s="219" t="s">
        <v>617</v>
      </c>
    </row>
    <row r="175">
      <c r="A175" s="222">
        <v>174.0</v>
      </c>
      <c r="B175" s="219" t="s">
        <v>2000</v>
      </c>
      <c r="C175" s="223" t="s">
        <v>2476</v>
      </c>
      <c r="D175" s="221">
        <v>25000.0</v>
      </c>
      <c r="E175" s="219" t="s">
        <v>617</v>
      </c>
    </row>
    <row r="176">
      <c r="A176" s="222">
        <v>175.0</v>
      </c>
      <c r="B176" s="219" t="s">
        <v>2000</v>
      </c>
      <c r="C176" s="223" t="s">
        <v>2477</v>
      </c>
      <c r="D176" s="221">
        <v>56000.0</v>
      </c>
      <c r="E176" s="219" t="s">
        <v>617</v>
      </c>
    </row>
    <row r="177">
      <c r="A177" s="222">
        <v>176.0</v>
      </c>
      <c r="B177" s="219" t="s">
        <v>2000</v>
      </c>
      <c r="C177" s="223" t="s">
        <v>2478</v>
      </c>
      <c r="D177" s="221">
        <v>5364.0</v>
      </c>
      <c r="E177" s="219" t="s">
        <v>617</v>
      </c>
    </row>
    <row r="178">
      <c r="A178" s="222">
        <v>177.0</v>
      </c>
      <c r="B178" s="219" t="s">
        <v>1699</v>
      </c>
      <c r="C178" s="223" t="s">
        <v>2479</v>
      </c>
      <c r="D178" s="221">
        <v>6000.0</v>
      </c>
      <c r="E178" s="219" t="s">
        <v>2480</v>
      </c>
    </row>
    <row r="179">
      <c r="A179" s="222">
        <v>178.0</v>
      </c>
      <c r="B179" s="219" t="s">
        <v>1699</v>
      </c>
      <c r="C179" s="223" t="s">
        <v>2481</v>
      </c>
      <c r="D179" s="221">
        <v>6000.0</v>
      </c>
      <c r="E179" s="219" t="s">
        <v>2480</v>
      </c>
    </row>
    <row r="180">
      <c r="A180" s="222">
        <v>179.0</v>
      </c>
      <c r="B180" s="219" t="s">
        <v>1699</v>
      </c>
      <c r="C180" s="223" t="s">
        <v>2482</v>
      </c>
      <c r="D180" s="221">
        <v>6000.0</v>
      </c>
      <c r="E180" s="219" t="s">
        <v>2480</v>
      </c>
    </row>
    <row r="181">
      <c r="A181" s="222">
        <v>180.0</v>
      </c>
      <c r="B181" s="219" t="s">
        <v>1699</v>
      </c>
      <c r="C181" s="223" t="s">
        <v>2484</v>
      </c>
      <c r="D181" s="221">
        <v>25000.0</v>
      </c>
      <c r="E181" s="219" t="s">
        <v>1730</v>
      </c>
    </row>
    <row r="182">
      <c r="A182" s="222">
        <v>181.0</v>
      </c>
      <c r="B182" s="219" t="s">
        <v>1699</v>
      </c>
      <c r="C182" s="223" t="s">
        <v>2485</v>
      </c>
      <c r="D182" s="221">
        <v>79500.0</v>
      </c>
      <c r="E182" s="219" t="s">
        <v>2391</v>
      </c>
    </row>
    <row r="183">
      <c r="A183" s="222">
        <v>182.0</v>
      </c>
      <c r="B183" s="219" t="s">
        <v>2000</v>
      </c>
      <c r="C183" s="223" t="s">
        <v>2486</v>
      </c>
      <c r="D183" s="221">
        <v>20559.0</v>
      </c>
      <c r="E183" s="219" t="s">
        <v>617</v>
      </c>
    </row>
    <row r="184">
      <c r="A184" s="222">
        <v>183.0</v>
      </c>
      <c r="B184" s="219" t="s">
        <v>1699</v>
      </c>
      <c r="C184" s="223" t="s">
        <v>2487</v>
      </c>
      <c r="D184" s="221">
        <v>128709.606</v>
      </c>
      <c r="E184" s="219" t="s">
        <v>57</v>
      </c>
    </row>
    <row r="185">
      <c r="A185" s="222">
        <v>184.0</v>
      </c>
      <c r="B185" s="219" t="s">
        <v>1699</v>
      </c>
      <c r="C185" s="223" t="s">
        <v>2488</v>
      </c>
      <c r="D185" s="221">
        <v>106627.56</v>
      </c>
      <c r="E185" s="219" t="s">
        <v>57</v>
      </c>
    </row>
    <row r="186">
      <c r="A186" s="229">
        <v>185.0</v>
      </c>
      <c r="B186" s="219" t="s">
        <v>1699</v>
      </c>
      <c r="C186" s="230" t="s">
        <v>2489</v>
      </c>
      <c r="D186" s="221">
        <v>106627.86</v>
      </c>
      <c r="E186" s="231" t="s">
        <v>57</v>
      </c>
    </row>
    <row r="187">
      <c r="A187" s="229">
        <v>185.0</v>
      </c>
      <c r="B187" s="10"/>
      <c r="C187" s="10" t="str">
        <f>'BPP Dapur'!A86</f>
        <v>Kacang Teriyaki</v>
      </c>
      <c r="D187" s="232">
        <f>'BPP Dapur'!O89/'BPP Dapur'!I86*1000</f>
        <v>42706.8</v>
      </c>
      <c r="E187" s="233" t="s">
        <v>57</v>
      </c>
    </row>
    <row r="188">
      <c r="A188" s="3"/>
      <c r="B188" s="3"/>
      <c r="C188" s="3"/>
      <c r="D188" s="234"/>
      <c r="E188" s="3"/>
    </row>
    <row r="189">
      <c r="A189" s="3"/>
      <c r="B189" s="3"/>
      <c r="C189" s="3"/>
      <c r="D189" s="234"/>
      <c r="E189" s="3"/>
    </row>
    <row r="190">
      <c r="A190" s="3"/>
      <c r="B190" s="3"/>
      <c r="C190" s="3"/>
      <c r="D190" s="234"/>
      <c r="E190" s="3"/>
    </row>
    <row r="191">
      <c r="A191" s="3"/>
      <c r="B191" s="3"/>
      <c r="C191" s="3"/>
      <c r="D191" s="234"/>
      <c r="E191" s="3"/>
    </row>
    <row r="192">
      <c r="A192" s="3"/>
      <c r="B192" s="3"/>
      <c r="C192" s="3"/>
      <c r="D192" s="234"/>
      <c r="E192" s="3"/>
    </row>
    <row r="193">
      <c r="A193" s="3"/>
      <c r="B193" s="3"/>
      <c r="C193" s="3"/>
      <c r="D193" s="234"/>
      <c r="E193" s="3"/>
    </row>
    <row r="194">
      <c r="A194" s="3"/>
      <c r="B194" s="3"/>
      <c r="C194" s="3"/>
      <c r="D194" s="234"/>
      <c r="E194" s="3"/>
    </row>
    <row r="195">
      <c r="A195" s="3"/>
      <c r="B195" s="3"/>
      <c r="C195" s="3"/>
      <c r="D195" s="234"/>
      <c r="E195" s="3"/>
    </row>
    <row r="196">
      <c r="A196" s="3"/>
      <c r="B196" s="3"/>
      <c r="C196" s="3"/>
      <c r="D196" s="234"/>
      <c r="E196" s="3"/>
    </row>
    <row r="197">
      <c r="A197" s="3"/>
      <c r="B197" s="3"/>
      <c r="C197" s="3"/>
      <c r="D197" s="234"/>
      <c r="E197" s="3"/>
    </row>
    <row r="198">
      <c r="A198" s="3"/>
      <c r="B198" s="3"/>
      <c r="C198" s="3"/>
      <c r="D198" s="234"/>
      <c r="E198" s="3"/>
    </row>
    <row r="199">
      <c r="A199" s="3"/>
      <c r="B199" s="3"/>
      <c r="C199" s="3"/>
      <c r="D199" s="234"/>
      <c r="E199" s="3"/>
    </row>
    <row r="200">
      <c r="A200" s="3"/>
      <c r="B200" s="3"/>
      <c r="C200" s="3"/>
      <c r="D200" s="234"/>
      <c r="E200" s="3"/>
    </row>
    <row r="201">
      <c r="A201" s="3"/>
      <c r="B201" s="3"/>
      <c r="C201" s="3"/>
      <c r="D201" s="234"/>
      <c r="E201" s="3"/>
    </row>
    <row r="202">
      <c r="A202" s="3"/>
      <c r="B202" s="3"/>
      <c r="C202" s="3"/>
      <c r="D202" s="234"/>
      <c r="E202" s="3"/>
    </row>
    <row r="203">
      <c r="A203" s="3"/>
      <c r="B203" s="3"/>
      <c r="C203" s="3"/>
      <c r="D203" s="234"/>
      <c r="E203" s="3"/>
    </row>
    <row r="204">
      <c r="A204" s="3"/>
      <c r="B204" s="3"/>
      <c r="C204" s="3"/>
      <c r="D204" s="234"/>
      <c r="E204" s="3"/>
    </row>
    <row r="205">
      <c r="A205" s="3"/>
      <c r="B205" s="3"/>
      <c r="C205" s="3"/>
      <c r="D205" s="234"/>
      <c r="E205" s="3"/>
    </row>
    <row r="206">
      <c r="A206" s="3"/>
      <c r="B206" s="3"/>
      <c r="C206" s="3"/>
      <c r="D206" s="234"/>
      <c r="E206" s="3"/>
    </row>
    <row r="207">
      <c r="A207" s="3"/>
      <c r="B207" s="3"/>
      <c r="C207" s="3"/>
      <c r="D207" s="234"/>
      <c r="E207" s="3"/>
    </row>
    <row r="208">
      <c r="A208" s="3"/>
      <c r="B208" s="3"/>
      <c r="C208" s="3"/>
      <c r="D208" s="234"/>
      <c r="E208" s="3"/>
    </row>
    <row r="209">
      <c r="A209" s="3"/>
      <c r="B209" s="3"/>
      <c r="C209" s="3"/>
      <c r="D209" s="234"/>
      <c r="E209" s="3"/>
    </row>
    <row r="210">
      <c r="A210" s="3"/>
      <c r="B210" s="3"/>
      <c r="C210" s="3"/>
      <c r="D210" s="234"/>
      <c r="E210" s="3"/>
    </row>
    <row r="211">
      <c r="A211" s="3"/>
      <c r="B211" s="3"/>
      <c r="C211" s="3"/>
      <c r="D211" s="234"/>
      <c r="E211" s="3"/>
    </row>
    <row r="212">
      <c r="A212" s="3"/>
      <c r="B212" s="3"/>
      <c r="C212" s="3"/>
      <c r="D212" s="234"/>
      <c r="E212" s="3"/>
    </row>
    <row r="213">
      <c r="A213" s="3"/>
      <c r="B213" s="3"/>
      <c r="C213" s="3"/>
      <c r="D213" s="234"/>
      <c r="E213" s="3"/>
    </row>
    <row r="214">
      <c r="A214" s="3"/>
      <c r="B214" s="3"/>
      <c r="C214" s="3"/>
      <c r="D214" s="234"/>
      <c r="E214" s="3"/>
    </row>
    <row r="215">
      <c r="A215" s="3"/>
      <c r="B215" s="3"/>
      <c r="C215" s="3"/>
      <c r="D215" s="234"/>
      <c r="E215" s="3"/>
    </row>
    <row r="216">
      <c r="A216" s="3"/>
      <c r="B216" s="3"/>
      <c r="C216" s="3"/>
      <c r="D216" s="234"/>
      <c r="E216" s="3"/>
    </row>
    <row r="217">
      <c r="A217" s="3"/>
      <c r="B217" s="3"/>
      <c r="C217" s="3"/>
      <c r="D217" s="234"/>
      <c r="E217" s="3"/>
    </row>
    <row r="218">
      <c r="A218" s="3"/>
      <c r="B218" s="3"/>
      <c r="C218" s="3"/>
      <c r="D218" s="234"/>
      <c r="E218" s="3"/>
    </row>
    <row r="219">
      <c r="A219" s="3"/>
      <c r="B219" s="3"/>
      <c r="C219" s="3"/>
      <c r="D219" s="234"/>
      <c r="E219" s="3"/>
    </row>
    <row r="220">
      <c r="A220" s="3"/>
      <c r="B220" s="3"/>
      <c r="C220" s="3"/>
      <c r="D220" s="234"/>
      <c r="E220" s="3"/>
    </row>
    <row r="221">
      <c r="A221" s="3"/>
      <c r="B221" s="3"/>
      <c r="C221" s="3"/>
      <c r="D221" s="234"/>
      <c r="E221" s="3"/>
    </row>
    <row r="222">
      <c r="A222" s="3"/>
      <c r="B222" s="3"/>
      <c r="C222" s="3"/>
      <c r="D222" s="234"/>
      <c r="E222" s="3"/>
    </row>
    <row r="223">
      <c r="A223" s="3"/>
      <c r="B223" s="3"/>
      <c r="C223" s="3"/>
      <c r="D223" s="234"/>
      <c r="E223" s="3"/>
    </row>
    <row r="224">
      <c r="A224" s="3"/>
      <c r="B224" s="3"/>
      <c r="C224" s="3"/>
      <c r="D224" s="234"/>
      <c r="E224" s="3"/>
    </row>
    <row r="225">
      <c r="A225" s="3"/>
      <c r="B225" s="3"/>
      <c r="C225" s="3"/>
      <c r="D225" s="234"/>
      <c r="E225" s="3"/>
    </row>
    <row r="226">
      <c r="A226" s="3"/>
      <c r="B226" s="3"/>
      <c r="C226" s="3"/>
      <c r="D226" s="234"/>
      <c r="E226" s="3"/>
    </row>
    <row r="227">
      <c r="A227" s="3"/>
      <c r="B227" s="3"/>
      <c r="C227" s="3"/>
      <c r="D227" s="234"/>
      <c r="E227" s="3"/>
    </row>
    <row r="228">
      <c r="A228" s="3"/>
      <c r="B228" s="3"/>
      <c r="C228" s="3"/>
      <c r="D228" s="234"/>
      <c r="E228" s="3"/>
    </row>
    <row r="229">
      <c r="A229" s="3"/>
      <c r="B229" s="3"/>
      <c r="C229" s="3"/>
      <c r="D229" s="234"/>
      <c r="E229" s="3"/>
    </row>
    <row r="230">
      <c r="A230" s="3"/>
      <c r="B230" s="3"/>
      <c r="C230" s="3"/>
      <c r="D230" s="234"/>
      <c r="E230" s="3"/>
    </row>
    <row r="231">
      <c r="A231" s="3"/>
      <c r="B231" s="3"/>
      <c r="C231" s="3"/>
      <c r="D231" s="234"/>
      <c r="E231" s="3"/>
    </row>
    <row r="232">
      <c r="A232" s="3"/>
      <c r="B232" s="3"/>
      <c r="C232" s="3"/>
      <c r="D232" s="234"/>
      <c r="E232" s="3"/>
    </row>
    <row r="233">
      <c r="A233" s="3"/>
      <c r="B233" s="3"/>
      <c r="C233" s="3"/>
      <c r="D233" s="234"/>
      <c r="E233" s="3"/>
    </row>
    <row r="234">
      <c r="A234" s="3"/>
      <c r="B234" s="3"/>
      <c r="C234" s="3"/>
      <c r="D234" s="234"/>
      <c r="E234" s="3"/>
    </row>
    <row r="235">
      <c r="A235" s="3"/>
      <c r="B235" s="3"/>
      <c r="C235" s="3"/>
      <c r="D235" s="234"/>
      <c r="E235" s="3"/>
    </row>
    <row r="236">
      <c r="A236" s="3"/>
      <c r="B236" s="3"/>
      <c r="C236" s="3"/>
      <c r="D236" s="234"/>
      <c r="E236" s="3"/>
    </row>
    <row r="237">
      <c r="A237" s="3"/>
      <c r="B237" s="3"/>
      <c r="C237" s="3"/>
      <c r="D237" s="234"/>
      <c r="E237" s="3"/>
    </row>
    <row r="238">
      <c r="A238" s="3"/>
      <c r="B238" s="3"/>
      <c r="C238" s="3"/>
      <c r="D238" s="234"/>
      <c r="E238" s="3"/>
    </row>
    <row r="239">
      <c r="A239" s="3"/>
      <c r="B239" s="3"/>
      <c r="C239" s="3"/>
      <c r="D239" s="234"/>
      <c r="E239" s="3"/>
    </row>
    <row r="240">
      <c r="A240" s="3"/>
      <c r="B240" s="3"/>
      <c r="C240" s="3"/>
      <c r="D240" s="234"/>
      <c r="E240" s="3"/>
    </row>
    <row r="241">
      <c r="A241" s="3"/>
      <c r="B241" s="3"/>
      <c r="C241" s="3"/>
      <c r="D241" s="234"/>
      <c r="E241" s="3"/>
    </row>
    <row r="242">
      <c r="A242" s="3"/>
      <c r="B242" s="3"/>
      <c r="C242" s="3"/>
      <c r="D242" s="234"/>
      <c r="E242" s="3"/>
    </row>
    <row r="243">
      <c r="A243" s="3"/>
      <c r="B243" s="3"/>
      <c r="C243" s="3"/>
      <c r="D243" s="234"/>
      <c r="E243" s="3"/>
    </row>
    <row r="244">
      <c r="A244" s="3"/>
      <c r="B244" s="3"/>
      <c r="C244" s="3"/>
      <c r="D244" s="234"/>
      <c r="E244" s="3"/>
    </row>
    <row r="245">
      <c r="A245" s="3"/>
      <c r="B245" s="3"/>
      <c r="C245" s="3"/>
      <c r="D245" s="234"/>
      <c r="E245" s="3"/>
    </row>
    <row r="246">
      <c r="A246" s="3"/>
      <c r="B246" s="3"/>
      <c r="C246" s="3"/>
      <c r="D246" s="234"/>
      <c r="E246" s="3"/>
    </row>
    <row r="247">
      <c r="A247" s="3"/>
      <c r="B247" s="3"/>
      <c r="C247" s="3"/>
      <c r="D247" s="234"/>
      <c r="E247" s="3"/>
    </row>
    <row r="248">
      <c r="A248" s="3"/>
      <c r="B248" s="3"/>
      <c r="C248" s="3"/>
      <c r="D248" s="234"/>
      <c r="E248" s="3"/>
    </row>
    <row r="249">
      <c r="A249" s="3"/>
      <c r="B249" s="3"/>
      <c r="C249" s="3"/>
      <c r="D249" s="234"/>
      <c r="E249" s="3"/>
    </row>
    <row r="250">
      <c r="A250" s="3"/>
      <c r="B250" s="3"/>
      <c r="C250" s="3"/>
      <c r="D250" s="234"/>
      <c r="E250" s="3"/>
    </row>
    <row r="251">
      <c r="A251" s="3"/>
      <c r="B251" s="3"/>
      <c r="C251" s="3"/>
      <c r="D251" s="234"/>
      <c r="E251" s="3"/>
    </row>
    <row r="252">
      <c r="A252" s="3"/>
      <c r="B252" s="3"/>
      <c r="C252" s="3"/>
      <c r="D252" s="234"/>
      <c r="E252" s="3"/>
    </row>
    <row r="253">
      <c r="A253" s="3"/>
      <c r="B253" s="3"/>
      <c r="C253" s="3"/>
      <c r="D253" s="234"/>
      <c r="E253" s="3"/>
    </row>
    <row r="254">
      <c r="A254" s="3"/>
      <c r="B254" s="3"/>
      <c r="C254" s="3"/>
      <c r="D254" s="234"/>
      <c r="E254" s="3"/>
    </row>
    <row r="255">
      <c r="A255" s="3"/>
      <c r="B255" s="3"/>
      <c r="C255" s="3"/>
      <c r="D255" s="234"/>
      <c r="E255" s="3"/>
    </row>
    <row r="256">
      <c r="A256" s="3"/>
      <c r="B256" s="3"/>
      <c r="C256" s="3"/>
      <c r="D256" s="234"/>
      <c r="E256" s="3"/>
    </row>
    <row r="257">
      <c r="A257" s="3"/>
      <c r="B257" s="3"/>
      <c r="C257" s="3"/>
      <c r="D257" s="234"/>
      <c r="E257" s="3"/>
    </row>
    <row r="258">
      <c r="A258" s="3"/>
      <c r="B258" s="3"/>
      <c r="C258" s="3"/>
      <c r="D258" s="234"/>
      <c r="E258" s="3"/>
    </row>
    <row r="259">
      <c r="A259" s="3"/>
      <c r="B259" s="3"/>
      <c r="C259" s="3"/>
      <c r="D259" s="234"/>
      <c r="E259" s="3"/>
    </row>
    <row r="260">
      <c r="A260" s="3"/>
      <c r="B260" s="3"/>
      <c r="C260" s="3"/>
      <c r="D260" s="234"/>
      <c r="E260" s="3"/>
    </row>
    <row r="261">
      <c r="A261" s="3"/>
      <c r="B261" s="3"/>
      <c r="C261" s="3"/>
      <c r="D261" s="234"/>
      <c r="E261" s="3"/>
    </row>
    <row r="262">
      <c r="A262" s="3"/>
      <c r="B262" s="3"/>
      <c r="C262" s="3"/>
      <c r="D262" s="234"/>
      <c r="E262" s="3"/>
    </row>
    <row r="263">
      <c r="A263" s="3"/>
      <c r="B263" s="3"/>
      <c r="C263" s="3"/>
      <c r="D263" s="234"/>
      <c r="E263" s="3"/>
    </row>
    <row r="264">
      <c r="A264" s="3"/>
      <c r="B264" s="3"/>
      <c r="C264" s="3"/>
      <c r="D264" s="234"/>
      <c r="E264" s="3"/>
    </row>
    <row r="265">
      <c r="A265" s="3"/>
      <c r="B265" s="3"/>
      <c r="C265" s="3"/>
      <c r="D265" s="234"/>
      <c r="E265" s="3"/>
    </row>
    <row r="266">
      <c r="A266" s="3"/>
      <c r="B266" s="3"/>
      <c r="C266" s="3"/>
      <c r="D266" s="234"/>
      <c r="E266" s="3"/>
    </row>
    <row r="267">
      <c r="A267" s="3"/>
      <c r="B267" s="3"/>
      <c r="C267" s="3"/>
      <c r="D267" s="234"/>
      <c r="E267" s="3"/>
    </row>
    <row r="268">
      <c r="A268" s="3"/>
      <c r="B268" s="3"/>
      <c r="C268" s="3"/>
      <c r="D268" s="234"/>
      <c r="E268" s="3"/>
    </row>
    <row r="269">
      <c r="A269" s="3"/>
      <c r="B269" s="3"/>
      <c r="C269" s="3"/>
      <c r="D269" s="234"/>
      <c r="E269" s="3"/>
    </row>
    <row r="270">
      <c r="A270" s="3"/>
      <c r="B270" s="3"/>
      <c r="C270" s="3"/>
      <c r="D270" s="234"/>
      <c r="E270" s="3"/>
    </row>
    <row r="271">
      <c r="A271" s="3"/>
      <c r="B271" s="3"/>
      <c r="C271" s="3"/>
      <c r="D271" s="234"/>
      <c r="E271" s="3"/>
    </row>
    <row r="272">
      <c r="A272" s="3"/>
      <c r="B272" s="3"/>
      <c r="C272" s="3"/>
      <c r="D272" s="234"/>
      <c r="E272" s="3"/>
    </row>
    <row r="273">
      <c r="A273" s="3"/>
      <c r="B273" s="3"/>
      <c r="C273" s="3"/>
      <c r="D273" s="234"/>
      <c r="E273" s="3"/>
    </row>
    <row r="274">
      <c r="A274" s="3"/>
      <c r="B274" s="3"/>
      <c r="C274" s="3"/>
      <c r="D274" s="234"/>
      <c r="E274" s="3"/>
    </row>
    <row r="275">
      <c r="A275" s="3"/>
      <c r="B275" s="3"/>
      <c r="C275" s="3"/>
      <c r="D275" s="234"/>
      <c r="E275" s="3"/>
    </row>
    <row r="276">
      <c r="A276" s="3"/>
      <c r="B276" s="3"/>
      <c r="C276" s="3"/>
      <c r="D276" s="234"/>
      <c r="E276" s="3"/>
    </row>
    <row r="277">
      <c r="A277" s="3"/>
      <c r="B277" s="3"/>
      <c r="C277" s="3"/>
      <c r="D277" s="234"/>
      <c r="E277" s="3"/>
    </row>
    <row r="278">
      <c r="A278" s="3"/>
      <c r="B278" s="3"/>
      <c r="C278" s="3"/>
      <c r="D278" s="234"/>
      <c r="E278" s="3"/>
    </row>
    <row r="279">
      <c r="A279" s="3"/>
      <c r="B279" s="3"/>
      <c r="C279" s="3"/>
      <c r="D279" s="234"/>
      <c r="E279" s="3"/>
    </row>
    <row r="280">
      <c r="A280" s="3"/>
      <c r="B280" s="3"/>
      <c r="C280" s="3"/>
      <c r="D280" s="234"/>
      <c r="E280" s="3"/>
    </row>
    <row r="281">
      <c r="A281" s="3"/>
      <c r="B281" s="3"/>
      <c r="C281" s="3"/>
      <c r="D281" s="234"/>
      <c r="E281" s="3"/>
    </row>
    <row r="282">
      <c r="A282" s="3"/>
      <c r="B282" s="3"/>
      <c r="C282" s="3"/>
      <c r="D282" s="234"/>
      <c r="E282" s="3"/>
    </row>
    <row r="283">
      <c r="A283" s="3"/>
      <c r="B283" s="3"/>
      <c r="C283" s="3"/>
      <c r="D283" s="234"/>
      <c r="E283" s="3"/>
    </row>
    <row r="284">
      <c r="A284" s="3"/>
      <c r="B284" s="3"/>
      <c r="C284" s="3"/>
      <c r="D284" s="234"/>
      <c r="E284" s="3"/>
    </row>
    <row r="285">
      <c r="A285" s="3"/>
      <c r="B285" s="3"/>
      <c r="C285" s="3"/>
      <c r="D285" s="234"/>
      <c r="E285" s="3"/>
    </row>
    <row r="286">
      <c r="A286" s="3"/>
      <c r="B286" s="3"/>
      <c r="C286" s="3"/>
      <c r="D286" s="234"/>
      <c r="E286" s="3"/>
    </row>
    <row r="287">
      <c r="A287" s="3"/>
      <c r="B287" s="3"/>
      <c r="C287" s="3"/>
      <c r="D287" s="234"/>
      <c r="E287" s="3"/>
    </row>
    <row r="288">
      <c r="A288" s="3"/>
      <c r="B288" s="3"/>
      <c r="C288" s="3"/>
      <c r="D288" s="234"/>
      <c r="E288" s="3"/>
    </row>
    <row r="289">
      <c r="A289" s="3"/>
      <c r="B289" s="3"/>
      <c r="C289" s="3"/>
      <c r="D289" s="234"/>
      <c r="E289" s="3"/>
    </row>
    <row r="290">
      <c r="A290" s="3"/>
      <c r="B290" s="3"/>
      <c r="C290" s="3"/>
      <c r="D290" s="234"/>
      <c r="E290" s="3"/>
    </row>
    <row r="291">
      <c r="A291" s="3"/>
      <c r="B291" s="3"/>
      <c r="C291" s="3"/>
      <c r="D291" s="234"/>
      <c r="E291" s="3"/>
    </row>
    <row r="292">
      <c r="A292" s="3"/>
      <c r="B292" s="3"/>
      <c r="C292" s="3"/>
      <c r="D292" s="234"/>
      <c r="E292" s="3"/>
    </row>
    <row r="293">
      <c r="A293" s="3"/>
      <c r="B293" s="3"/>
      <c r="C293" s="3"/>
      <c r="D293" s="234"/>
      <c r="E293" s="3"/>
    </row>
    <row r="294">
      <c r="A294" s="3"/>
      <c r="B294" s="3"/>
      <c r="C294" s="3"/>
      <c r="D294" s="234"/>
      <c r="E294" s="3"/>
    </row>
    <row r="295">
      <c r="A295" s="3"/>
      <c r="B295" s="3"/>
      <c r="C295" s="3"/>
      <c r="D295" s="234"/>
      <c r="E295" s="3"/>
    </row>
    <row r="296">
      <c r="A296" s="3"/>
      <c r="B296" s="3"/>
      <c r="C296" s="3"/>
      <c r="D296" s="234"/>
      <c r="E296" s="3"/>
    </row>
    <row r="297">
      <c r="A297" s="3"/>
      <c r="B297" s="3"/>
      <c r="C297" s="3"/>
      <c r="D297" s="234"/>
      <c r="E297" s="3"/>
    </row>
    <row r="298">
      <c r="A298" s="3"/>
      <c r="B298" s="3"/>
      <c r="C298" s="3"/>
      <c r="D298" s="234"/>
      <c r="E298" s="3"/>
    </row>
    <row r="299">
      <c r="A299" s="3"/>
      <c r="B299" s="3"/>
      <c r="C299" s="3"/>
      <c r="D299" s="234"/>
      <c r="E299" s="3"/>
    </row>
    <row r="300">
      <c r="A300" s="3"/>
      <c r="B300" s="3"/>
      <c r="C300" s="3"/>
      <c r="D300" s="234"/>
      <c r="E300" s="3"/>
    </row>
    <row r="301">
      <c r="A301" s="3"/>
      <c r="B301" s="3"/>
      <c r="C301" s="3"/>
      <c r="D301" s="234"/>
      <c r="E301" s="3"/>
    </row>
    <row r="302">
      <c r="A302" s="3"/>
      <c r="B302" s="3"/>
      <c r="C302" s="3"/>
      <c r="D302" s="234"/>
      <c r="E302" s="3"/>
    </row>
    <row r="303">
      <c r="A303" s="3"/>
      <c r="B303" s="3"/>
      <c r="C303" s="3"/>
      <c r="D303" s="234"/>
      <c r="E303" s="3"/>
    </row>
    <row r="304">
      <c r="A304" s="3"/>
      <c r="B304" s="3"/>
      <c r="C304" s="3"/>
      <c r="D304" s="234"/>
      <c r="E304" s="3"/>
    </row>
    <row r="305">
      <c r="A305" s="3"/>
      <c r="B305" s="3"/>
      <c r="C305" s="3"/>
      <c r="D305" s="234"/>
      <c r="E305" s="3"/>
    </row>
    <row r="306">
      <c r="A306" s="3"/>
      <c r="B306" s="3"/>
      <c r="C306" s="3"/>
      <c r="D306" s="234"/>
      <c r="E306" s="3"/>
    </row>
    <row r="307">
      <c r="A307" s="3"/>
      <c r="B307" s="3"/>
      <c r="C307" s="3"/>
      <c r="D307" s="234"/>
      <c r="E307" s="3"/>
    </row>
    <row r="308">
      <c r="A308" s="3"/>
      <c r="B308" s="3"/>
      <c r="C308" s="3"/>
      <c r="D308" s="234"/>
      <c r="E308" s="3"/>
    </row>
    <row r="309">
      <c r="A309" s="3"/>
      <c r="B309" s="3"/>
      <c r="C309" s="3"/>
      <c r="D309" s="234"/>
      <c r="E309" s="3"/>
    </row>
    <row r="310">
      <c r="A310" s="3"/>
      <c r="B310" s="3"/>
      <c r="C310" s="3"/>
      <c r="D310" s="234"/>
      <c r="E310" s="3"/>
    </row>
    <row r="311">
      <c r="A311" s="3"/>
      <c r="B311" s="3"/>
      <c r="C311" s="3"/>
      <c r="D311" s="234"/>
      <c r="E311" s="3"/>
    </row>
    <row r="312">
      <c r="A312" s="3"/>
      <c r="B312" s="3"/>
      <c r="C312" s="3"/>
      <c r="D312" s="234"/>
      <c r="E312" s="3"/>
    </row>
    <row r="313">
      <c r="A313" s="3"/>
      <c r="B313" s="3"/>
      <c r="C313" s="3"/>
      <c r="D313" s="234"/>
      <c r="E313" s="3"/>
    </row>
    <row r="314">
      <c r="A314" s="3"/>
      <c r="B314" s="3"/>
      <c r="C314" s="3"/>
      <c r="D314" s="234"/>
      <c r="E314" s="3"/>
    </row>
    <row r="315">
      <c r="A315" s="3"/>
      <c r="B315" s="3"/>
      <c r="C315" s="3"/>
      <c r="D315" s="234"/>
      <c r="E315" s="3"/>
    </row>
    <row r="316">
      <c r="A316" s="3"/>
      <c r="B316" s="3"/>
      <c r="C316" s="3"/>
      <c r="D316" s="234"/>
      <c r="E316" s="3"/>
    </row>
    <row r="317">
      <c r="A317" s="3"/>
      <c r="B317" s="3"/>
      <c r="C317" s="3"/>
      <c r="D317" s="234"/>
      <c r="E317" s="3"/>
    </row>
    <row r="318">
      <c r="A318" s="3"/>
      <c r="B318" s="3"/>
      <c r="C318" s="3"/>
      <c r="D318" s="234"/>
      <c r="E318" s="3"/>
    </row>
    <row r="319">
      <c r="A319" s="3"/>
      <c r="B319" s="3"/>
      <c r="C319" s="3"/>
      <c r="D319" s="234"/>
      <c r="E319" s="3"/>
    </row>
    <row r="320">
      <c r="A320" s="3"/>
      <c r="B320" s="3"/>
      <c r="C320" s="3"/>
      <c r="D320" s="234"/>
      <c r="E320" s="3"/>
    </row>
    <row r="321">
      <c r="A321" s="3"/>
      <c r="B321" s="3"/>
      <c r="C321" s="3"/>
      <c r="D321" s="234"/>
      <c r="E321" s="3"/>
    </row>
    <row r="322">
      <c r="A322" s="3"/>
      <c r="B322" s="3"/>
      <c r="C322" s="3"/>
      <c r="D322" s="234"/>
      <c r="E322" s="3"/>
    </row>
    <row r="323">
      <c r="A323" s="3"/>
      <c r="B323" s="3"/>
      <c r="C323" s="3"/>
      <c r="D323" s="234"/>
      <c r="E323" s="3"/>
    </row>
    <row r="324">
      <c r="A324" s="3"/>
      <c r="B324" s="3"/>
      <c r="C324" s="3"/>
      <c r="D324" s="234"/>
      <c r="E324" s="3"/>
    </row>
    <row r="325">
      <c r="A325" s="3"/>
      <c r="B325" s="3"/>
      <c r="C325" s="3"/>
      <c r="D325" s="234"/>
      <c r="E325" s="3"/>
    </row>
    <row r="326">
      <c r="A326" s="3"/>
      <c r="B326" s="3"/>
      <c r="C326" s="3"/>
      <c r="D326" s="234"/>
      <c r="E326" s="3"/>
    </row>
    <row r="327">
      <c r="A327" s="3"/>
      <c r="B327" s="3"/>
      <c r="C327" s="3"/>
      <c r="D327" s="234"/>
      <c r="E327" s="3"/>
    </row>
    <row r="328">
      <c r="A328" s="3"/>
      <c r="B328" s="3"/>
      <c r="C328" s="3"/>
      <c r="D328" s="234"/>
      <c r="E328" s="3"/>
    </row>
    <row r="329">
      <c r="A329" s="3"/>
      <c r="B329" s="3"/>
      <c r="C329" s="3"/>
      <c r="D329" s="234"/>
      <c r="E329" s="3"/>
    </row>
    <row r="330">
      <c r="A330" s="3"/>
      <c r="B330" s="3"/>
      <c r="C330" s="3"/>
      <c r="D330" s="234"/>
      <c r="E330" s="3"/>
    </row>
    <row r="331">
      <c r="A331" s="3"/>
      <c r="B331" s="3"/>
      <c r="C331" s="3"/>
      <c r="D331" s="234"/>
      <c r="E331" s="3"/>
    </row>
    <row r="332">
      <c r="A332" s="3"/>
      <c r="B332" s="3"/>
      <c r="C332" s="3"/>
      <c r="D332" s="234"/>
      <c r="E332" s="3"/>
    </row>
    <row r="333">
      <c r="A333" s="3"/>
      <c r="B333" s="3"/>
      <c r="C333" s="3"/>
      <c r="D333" s="234"/>
      <c r="E333" s="3"/>
    </row>
    <row r="334">
      <c r="A334" s="3"/>
      <c r="B334" s="3"/>
      <c r="C334" s="3"/>
      <c r="D334" s="234"/>
      <c r="E334" s="3"/>
    </row>
    <row r="335">
      <c r="A335" s="3"/>
      <c r="B335" s="3"/>
      <c r="C335" s="3"/>
      <c r="D335" s="234"/>
      <c r="E335" s="3"/>
    </row>
    <row r="336">
      <c r="A336" s="3"/>
      <c r="B336" s="3"/>
      <c r="C336" s="3"/>
      <c r="D336" s="234"/>
      <c r="E336" s="3"/>
    </row>
    <row r="337">
      <c r="A337" s="3"/>
      <c r="B337" s="3"/>
      <c r="C337" s="3"/>
      <c r="D337" s="234"/>
      <c r="E337" s="3"/>
    </row>
    <row r="338">
      <c r="A338" s="3"/>
      <c r="B338" s="3"/>
      <c r="C338" s="3"/>
      <c r="D338" s="234"/>
      <c r="E338" s="3"/>
    </row>
    <row r="339">
      <c r="A339" s="3"/>
      <c r="B339" s="3"/>
      <c r="C339" s="3"/>
      <c r="D339" s="234"/>
      <c r="E339" s="3"/>
    </row>
    <row r="340">
      <c r="A340" s="3"/>
      <c r="B340" s="3"/>
      <c r="C340" s="3"/>
      <c r="D340" s="234"/>
      <c r="E340" s="3"/>
    </row>
    <row r="341">
      <c r="A341" s="3"/>
      <c r="B341" s="3"/>
      <c r="C341" s="3"/>
      <c r="D341" s="234"/>
      <c r="E341" s="3"/>
    </row>
    <row r="342">
      <c r="A342" s="3"/>
      <c r="B342" s="3"/>
      <c r="C342" s="3"/>
      <c r="D342" s="234"/>
      <c r="E342" s="3"/>
    </row>
    <row r="343">
      <c r="A343" s="3"/>
      <c r="B343" s="3"/>
      <c r="C343" s="3"/>
      <c r="D343" s="234"/>
      <c r="E343" s="3"/>
    </row>
    <row r="344">
      <c r="A344" s="3"/>
      <c r="B344" s="3"/>
      <c r="C344" s="3"/>
      <c r="D344" s="234"/>
      <c r="E344" s="3"/>
    </row>
    <row r="345">
      <c r="A345" s="3"/>
      <c r="B345" s="3"/>
      <c r="C345" s="3"/>
      <c r="D345" s="234"/>
      <c r="E345" s="3"/>
    </row>
    <row r="346">
      <c r="A346" s="3"/>
      <c r="B346" s="3"/>
      <c r="C346" s="3"/>
      <c r="D346" s="234"/>
      <c r="E346" s="3"/>
    </row>
    <row r="347">
      <c r="A347" s="3"/>
      <c r="B347" s="3"/>
      <c r="C347" s="3"/>
      <c r="D347" s="234"/>
      <c r="E347" s="3"/>
    </row>
    <row r="348">
      <c r="A348" s="3"/>
      <c r="B348" s="3"/>
      <c r="C348" s="3"/>
      <c r="D348" s="234"/>
      <c r="E348" s="3"/>
    </row>
    <row r="349">
      <c r="A349" s="3"/>
      <c r="B349" s="3"/>
      <c r="C349" s="3"/>
      <c r="D349" s="234"/>
      <c r="E349" s="3"/>
    </row>
    <row r="350">
      <c r="A350" s="3"/>
      <c r="B350" s="3"/>
      <c r="C350" s="3"/>
      <c r="D350" s="234"/>
      <c r="E350" s="3"/>
    </row>
    <row r="351">
      <c r="A351" s="3"/>
      <c r="B351" s="3"/>
      <c r="C351" s="3"/>
      <c r="D351" s="234"/>
      <c r="E351" s="3"/>
    </row>
    <row r="352">
      <c r="A352" s="3"/>
      <c r="B352" s="3"/>
      <c r="C352" s="3"/>
      <c r="D352" s="234"/>
      <c r="E352" s="3"/>
    </row>
    <row r="353">
      <c r="A353" s="3"/>
      <c r="B353" s="3"/>
      <c r="C353" s="3"/>
      <c r="D353" s="234"/>
      <c r="E353" s="3"/>
    </row>
    <row r="354">
      <c r="A354" s="3"/>
      <c r="B354" s="3"/>
      <c r="C354" s="3"/>
      <c r="D354" s="234"/>
      <c r="E354" s="3"/>
    </row>
    <row r="355">
      <c r="A355" s="3"/>
      <c r="B355" s="3"/>
      <c r="C355" s="3"/>
      <c r="D355" s="234"/>
      <c r="E355" s="3"/>
    </row>
    <row r="356">
      <c r="A356" s="3"/>
      <c r="B356" s="3"/>
      <c r="C356" s="3"/>
      <c r="D356" s="234"/>
      <c r="E356" s="3"/>
    </row>
    <row r="357">
      <c r="A357" s="3"/>
      <c r="B357" s="3"/>
      <c r="C357" s="3"/>
      <c r="D357" s="234"/>
      <c r="E357" s="3"/>
    </row>
    <row r="358">
      <c r="A358" s="3"/>
      <c r="B358" s="3"/>
      <c r="C358" s="3"/>
      <c r="D358" s="234"/>
      <c r="E358" s="3"/>
    </row>
    <row r="359">
      <c r="A359" s="3"/>
      <c r="B359" s="3"/>
      <c r="C359" s="3"/>
      <c r="D359" s="234"/>
      <c r="E359" s="3"/>
    </row>
    <row r="360">
      <c r="A360" s="3"/>
      <c r="B360" s="3"/>
      <c r="C360" s="3"/>
      <c r="D360" s="234"/>
      <c r="E360" s="3"/>
    </row>
    <row r="361">
      <c r="A361" s="3"/>
      <c r="B361" s="3"/>
      <c r="C361" s="3"/>
      <c r="D361" s="234"/>
      <c r="E361" s="3"/>
    </row>
    <row r="362">
      <c r="A362" s="3"/>
      <c r="B362" s="3"/>
      <c r="C362" s="3"/>
      <c r="D362" s="234"/>
      <c r="E362" s="3"/>
    </row>
    <row r="363">
      <c r="A363" s="3"/>
      <c r="B363" s="3"/>
      <c r="C363" s="3"/>
      <c r="D363" s="234"/>
      <c r="E363" s="3"/>
    </row>
    <row r="364">
      <c r="A364" s="3"/>
      <c r="B364" s="3"/>
      <c r="C364" s="3"/>
      <c r="D364" s="234"/>
      <c r="E364" s="3"/>
    </row>
    <row r="365">
      <c r="A365" s="3"/>
      <c r="B365" s="3"/>
      <c r="C365" s="3"/>
      <c r="D365" s="234"/>
      <c r="E365" s="3"/>
    </row>
    <row r="366">
      <c r="A366" s="3"/>
      <c r="B366" s="3"/>
      <c r="C366" s="3"/>
      <c r="D366" s="234"/>
      <c r="E366" s="3"/>
    </row>
    <row r="367">
      <c r="A367" s="3"/>
      <c r="B367" s="3"/>
      <c r="C367" s="3"/>
      <c r="D367" s="234"/>
      <c r="E367" s="3"/>
    </row>
    <row r="368">
      <c r="A368" s="3"/>
      <c r="B368" s="3"/>
      <c r="C368" s="3"/>
      <c r="D368" s="234"/>
      <c r="E368" s="3"/>
    </row>
    <row r="369">
      <c r="A369" s="3"/>
      <c r="B369" s="3"/>
      <c r="C369" s="3"/>
      <c r="D369" s="234"/>
      <c r="E369" s="3"/>
    </row>
    <row r="370">
      <c r="A370" s="3"/>
      <c r="B370" s="3"/>
      <c r="C370" s="3"/>
      <c r="D370" s="234"/>
      <c r="E370" s="3"/>
    </row>
    <row r="371">
      <c r="A371" s="3"/>
      <c r="B371" s="3"/>
      <c r="C371" s="3"/>
      <c r="D371" s="234"/>
      <c r="E371" s="3"/>
    </row>
    <row r="372">
      <c r="A372" s="3"/>
      <c r="B372" s="3"/>
      <c r="C372" s="3"/>
      <c r="D372" s="234"/>
      <c r="E372" s="3"/>
    </row>
    <row r="373">
      <c r="A373" s="3"/>
      <c r="B373" s="3"/>
      <c r="C373" s="3"/>
      <c r="D373" s="234"/>
      <c r="E373" s="3"/>
    </row>
    <row r="374">
      <c r="A374" s="3"/>
      <c r="B374" s="3"/>
      <c r="C374" s="3"/>
      <c r="D374" s="234"/>
      <c r="E374" s="3"/>
    </row>
    <row r="375">
      <c r="A375" s="3"/>
      <c r="B375" s="3"/>
      <c r="C375" s="3"/>
      <c r="D375" s="234"/>
      <c r="E375" s="3"/>
    </row>
    <row r="376">
      <c r="A376" s="3"/>
      <c r="B376" s="3"/>
      <c r="C376" s="3"/>
      <c r="D376" s="234"/>
      <c r="E376" s="3"/>
    </row>
    <row r="377">
      <c r="A377" s="3"/>
      <c r="B377" s="3"/>
      <c r="C377" s="3"/>
      <c r="D377" s="234"/>
      <c r="E377" s="3"/>
    </row>
    <row r="378">
      <c r="A378" s="3"/>
      <c r="B378" s="3"/>
      <c r="C378" s="3"/>
      <c r="D378" s="234"/>
      <c r="E378" s="3"/>
    </row>
    <row r="379">
      <c r="A379" s="3"/>
      <c r="B379" s="3"/>
      <c r="C379" s="3"/>
      <c r="D379" s="234"/>
      <c r="E379" s="3"/>
    </row>
    <row r="380">
      <c r="A380" s="3"/>
      <c r="B380" s="3"/>
      <c r="C380" s="3"/>
      <c r="D380" s="234"/>
      <c r="E380" s="3"/>
    </row>
    <row r="381">
      <c r="A381" s="3"/>
      <c r="B381" s="3"/>
      <c r="C381" s="3"/>
      <c r="D381" s="234"/>
      <c r="E381" s="3"/>
    </row>
    <row r="382">
      <c r="A382" s="3"/>
      <c r="B382" s="3"/>
      <c r="C382" s="3"/>
      <c r="D382" s="234"/>
      <c r="E382" s="3"/>
    </row>
    <row r="383">
      <c r="A383" s="3"/>
      <c r="B383" s="3"/>
      <c r="C383" s="3"/>
      <c r="D383" s="234"/>
      <c r="E383" s="3"/>
    </row>
    <row r="384">
      <c r="A384" s="3"/>
      <c r="B384" s="3"/>
      <c r="C384" s="3"/>
      <c r="D384" s="234"/>
      <c r="E384" s="3"/>
    </row>
    <row r="385">
      <c r="A385" s="3"/>
      <c r="B385" s="3"/>
      <c r="C385" s="3"/>
      <c r="D385" s="234"/>
      <c r="E385" s="3"/>
    </row>
    <row r="386">
      <c r="A386" s="3"/>
      <c r="B386" s="3"/>
      <c r="C386" s="3"/>
      <c r="D386" s="234"/>
      <c r="E386" s="3"/>
    </row>
    <row r="387">
      <c r="A387" s="3"/>
      <c r="B387" s="3"/>
      <c r="C387" s="3"/>
      <c r="D387" s="234"/>
      <c r="E387" s="3"/>
    </row>
    <row r="388">
      <c r="A388" s="3"/>
      <c r="B388" s="3"/>
      <c r="C388" s="3"/>
      <c r="D388" s="234"/>
      <c r="E388" s="3"/>
    </row>
    <row r="389">
      <c r="A389" s="3"/>
      <c r="B389" s="3"/>
      <c r="C389" s="3"/>
      <c r="D389" s="234"/>
      <c r="E389" s="3"/>
    </row>
    <row r="390">
      <c r="A390" s="3"/>
      <c r="B390" s="3"/>
      <c r="C390" s="3"/>
      <c r="D390" s="234"/>
      <c r="E390" s="3"/>
    </row>
    <row r="391">
      <c r="A391" s="3"/>
      <c r="B391" s="3"/>
      <c r="C391" s="3"/>
      <c r="D391" s="234"/>
      <c r="E391" s="3"/>
    </row>
    <row r="392">
      <c r="A392" s="3"/>
      <c r="B392" s="3"/>
      <c r="C392" s="3"/>
      <c r="D392" s="234"/>
      <c r="E392" s="3"/>
    </row>
    <row r="393">
      <c r="A393" s="3"/>
      <c r="B393" s="3"/>
      <c r="C393" s="3"/>
      <c r="D393" s="234"/>
      <c r="E393" s="3"/>
    </row>
    <row r="394">
      <c r="A394" s="3"/>
      <c r="B394" s="3"/>
      <c r="C394" s="3"/>
      <c r="D394" s="234"/>
      <c r="E394" s="3"/>
    </row>
    <row r="395">
      <c r="A395" s="3"/>
      <c r="B395" s="3"/>
      <c r="C395" s="3"/>
      <c r="D395" s="234"/>
      <c r="E395" s="3"/>
    </row>
    <row r="396">
      <c r="A396" s="3"/>
      <c r="B396" s="3"/>
      <c r="C396" s="3"/>
      <c r="D396" s="234"/>
      <c r="E396" s="3"/>
    </row>
    <row r="397">
      <c r="A397" s="3"/>
      <c r="B397" s="3"/>
      <c r="C397" s="3"/>
      <c r="D397" s="234"/>
      <c r="E397" s="3"/>
    </row>
    <row r="398">
      <c r="A398" s="3"/>
      <c r="B398" s="3"/>
      <c r="C398" s="3"/>
      <c r="D398" s="234"/>
      <c r="E398" s="3"/>
    </row>
    <row r="399">
      <c r="A399" s="3"/>
      <c r="B399" s="3"/>
      <c r="C399" s="3"/>
      <c r="D399" s="234"/>
      <c r="E399" s="3"/>
    </row>
    <row r="400">
      <c r="A400" s="3"/>
      <c r="B400" s="3"/>
      <c r="C400" s="3"/>
      <c r="D400" s="234"/>
      <c r="E400" s="3"/>
    </row>
    <row r="401">
      <c r="A401" s="3"/>
      <c r="B401" s="3"/>
      <c r="C401" s="3"/>
      <c r="D401" s="234"/>
      <c r="E401" s="3"/>
    </row>
    <row r="402">
      <c r="A402" s="3"/>
      <c r="B402" s="3"/>
      <c r="C402" s="3"/>
      <c r="D402" s="234"/>
      <c r="E402" s="3"/>
    </row>
    <row r="403">
      <c r="A403" s="3"/>
      <c r="B403" s="3"/>
      <c r="C403" s="3"/>
      <c r="D403" s="234"/>
      <c r="E403" s="3"/>
    </row>
    <row r="404">
      <c r="A404" s="3"/>
      <c r="B404" s="3"/>
      <c r="C404" s="3"/>
      <c r="D404" s="234"/>
      <c r="E404" s="3"/>
    </row>
    <row r="405">
      <c r="A405" s="3"/>
      <c r="B405" s="3"/>
      <c r="C405" s="3"/>
      <c r="D405" s="234"/>
      <c r="E405" s="3"/>
    </row>
    <row r="406">
      <c r="A406" s="3"/>
      <c r="B406" s="3"/>
      <c r="C406" s="3"/>
      <c r="D406" s="234"/>
      <c r="E406" s="3"/>
    </row>
    <row r="407">
      <c r="A407" s="3"/>
      <c r="B407" s="3"/>
      <c r="C407" s="3"/>
      <c r="D407" s="234"/>
      <c r="E407" s="3"/>
    </row>
    <row r="408">
      <c r="A408" s="3"/>
      <c r="B408" s="3"/>
      <c r="C408" s="3"/>
      <c r="D408" s="234"/>
      <c r="E408" s="3"/>
    </row>
    <row r="409">
      <c r="A409" s="3"/>
      <c r="B409" s="3"/>
      <c r="C409" s="3"/>
      <c r="D409" s="234"/>
      <c r="E409" s="3"/>
    </row>
    <row r="410">
      <c r="A410" s="3"/>
      <c r="B410" s="3"/>
      <c r="C410" s="3"/>
      <c r="D410" s="234"/>
      <c r="E410" s="3"/>
    </row>
    <row r="411">
      <c r="A411" s="3"/>
      <c r="B411" s="3"/>
      <c r="C411" s="3"/>
      <c r="D411" s="234"/>
      <c r="E411" s="3"/>
    </row>
    <row r="412">
      <c r="A412" s="3"/>
      <c r="B412" s="3"/>
      <c r="C412" s="3"/>
      <c r="D412" s="234"/>
      <c r="E412" s="3"/>
    </row>
    <row r="413">
      <c r="A413" s="3"/>
      <c r="B413" s="3"/>
      <c r="C413" s="3"/>
      <c r="D413" s="234"/>
      <c r="E413" s="3"/>
    </row>
    <row r="414">
      <c r="A414" s="3"/>
      <c r="B414" s="3"/>
      <c r="C414" s="3"/>
      <c r="D414" s="234"/>
      <c r="E414" s="3"/>
    </row>
    <row r="415">
      <c r="A415" s="3"/>
      <c r="B415" s="3"/>
      <c r="C415" s="3"/>
      <c r="D415" s="234"/>
      <c r="E415" s="3"/>
    </row>
    <row r="416">
      <c r="A416" s="3"/>
      <c r="B416" s="3"/>
      <c r="C416" s="3"/>
      <c r="D416" s="234"/>
      <c r="E416" s="3"/>
    </row>
    <row r="417">
      <c r="A417" s="3"/>
      <c r="B417" s="3"/>
      <c r="C417" s="3"/>
      <c r="D417" s="234"/>
      <c r="E417" s="3"/>
    </row>
    <row r="418">
      <c r="A418" s="3"/>
      <c r="B418" s="3"/>
      <c r="C418" s="3"/>
      <c r="D418" s="234"/>
      <c r="E418" s="3"/>
    </row>
    <row r="419">
      <c r="A419" s="3"/>
      <c r="B419" s="3"/>
      <c r="C419" s="3"/>
      <c r="D419" s="234"/>
      <c r="E419" s="3"/>
    </row>
    <row r="420">
      <c r="A420" s="3"/>
      <c r="B420" s="3"/>
      <c r="C420" s="3"/>
      <c r="D420" s="234"/>
      <c r="E420" s="3"/>
    </row>
    <row r="421">
      <c r="A421" s="3"/>
      <c r="B421" s="3"/>
      <c r="C421" s="3"/>
      <c r="D421" s="234"/>
      <c r="E421" s="3"/>
    </row>
    <row r="422">
      <c r="A422" s="3"/>
      <c r="B422" s="3"/>
      <c r="C422" s="3"/>
      <c r="D422" s="234"/>
      <c r="E422" s="3"/>
    </row>
    <row r="423">
      <c r="A423" s="3"/>
      <c r="B423" s="3"/>
      <c r="C423" s="3"/>
      <c r="D423" s="234"/>
      <c r="E423" s="3"/>
    </row>
    <row r="424">
      <c r="A424" s="3"/>
      <c r="B424" s="3"/>
      <c r="C424" s="3"/>
      <c r="D424" s="234"/>
      <c r="E424" s="3"/>
    </row>
    <row r="425">
      <c r="A425" s="3"/>
      <c r="B425" s="3"/>
      <c r="C425" s="3"/>
      <c r="D425" s="234"/>
      <c r="E425" s="3"/>
    </row>
    <row r="426">
      <c r="A426" s="3"/>
      <c r="B426" s="3"/>
      <c r="C426" s="3"/>
      <c r="D426" s="234"/>
      <c r="E426" s="3"/>
    </row>
    <row r="427">
      <c r="A427" s="3"/>
      <c r="B427" s="3"/>
      <c r="C427" s="3"/>
      <c r="D427" s="234"/>
      <c r="E427" s="3"/>
    </row>
    <row r="428">
      <c r="A428" s="3"/>
      <c r="B428" s="3"/>
      <c r="C428" s="3"/>
      <c r="D428" s="234"/>
      <c r="E428" s="3"/>
    </row>
    <row r="429">
      <c r="A429" s="3"/>
      <c r="B429" s="3"/>
      <c r="C429" s="3"/>
      <c r="D429" s="234"/>
      <c r="E429" s="3"/>
    </row>
    <row r="430">
      <c r="A430" s="3"/>
      <c r="B430" s="3"/>
      <c r="C430" s="3"/>
      <c r="D430" s="234"/>
      <c r="E430" s="3"/>
    </row>
    <row r="431">
      <c r="A431" s="3"/>
      <c r="B431" s="3"/>
      <c r="C431" s="3"/>
      <c r="D431" s="234"/>
      <c r="E431" s="3"/>
    </row>
    <row r="432">
      <c r="A432" s="3"/>
      <c r="B432" s="3"/>
      <c r="C432" s="3"/>
      <c r="D432" s="234"/>
      <c r="E432" s="3"/>
    </row>
    <row r="433">
      <c r="A433" s="3"/>
      <c r="B433" s="3"/>
      <c r="C433" s="3"/>
      <c r="D433" s="234"/>
      <c r="E433" s="3"/>
    </row>
    <row r="434">
      <c r="A434" s="3"/>
      <c r="B434" s="3"/>
      <c r="C434" s="3"/>
      <c r="D434" s="234"/>
      <c r="E434" s="3"/>
    </row>
    <row r="435">
      <c r="A435" s="3"/>
      <c r="B435" s="3"/>
      <c r="C435" s="3"/>
      <c r="D435" s="234"/>
      <c r="E435" s="3"/>
    </row>
    <row r="436">
      <c r="A436" s="3"/>
      <c r="B436" s="3"/>
      <c r="C436" s="3"/>
      <c r="D436" s="234"/>
      <c r="E436" s="3"/>
    </row>
    <row r="437">
      <c r="A437" s="3"/>
      <c r="B437" s="3"/>
      <c r="C437" s="3"/>
      <c r="D437" s="234"/>
      <c r="E437" s="3"/>
    </row>
    <row r="438">
      <c r="A438" s="3"/>
      <c r="B438" s="3"/>
      <c r="C438" s="3"/>
      <c r="D438" s="234"/>
      <c r="E438" s="3"/>
    </row>
    <row r="439">
      <c r="A439" s="3"/>
      <c r="B439" s="3"/>
      <c r="C439" s="3"/>
      <c r="D439" s="234"/>
      <c r="E439" s="3"/>
    </row>
    <row r="440">
      <c r="A440" s="3"/>
      <c r="B440" s="3"/>
      <c r="C440" s="3"/>
      <c r="D440" s="234"/>
      <c r="E440" s="3"/>
    </row>
    <row r="441">
      <c r="A441" s="3"/>
      <c r="B441" s="3"/>
      <c r="C441" s="3"/>
      <c r="D441" s="234"/>
      <c r="E441" s="3"/>
    </row>
    <row r="442">
      <c r="A442" s="3"/>
      <c r="B442" s="3"/>
      <c r="C442" s="3"/>
      <c r="D442" s="234"/>
      <c r="E442" s="3"/>
    </row>
    <row r="443">
      <c r="A443" s="3"/>
      <c r="B443" s="3"/>
      <c r="C443" s="3"/>
      <c r="D443" s="234"/>
      <c r="E443" s="3"/>
    </row>
    <row r="444">
      <c r="A444" s="3"/>
      <c r="B444" s="3"/>
      <c r="C444" s="3"/>
      <c r="D444" s="234"/>
      <c r="E444" s="3"/>
    </row>
    <row r="445">
      <c r="A445" s="3"/>
      <c r="B445" s="3"/>
      <c r="C445" s="3"/>
      <c r="D445" s="234"/>
      <c r="E445" s="3"/>
    </row>
    <row r="446">
      <c r="A446" s="3"/>
      <c r="B446" s="3"/>
      <c r="C446" s="3"/>
      <c r="D446" s="234"/>
      <c r="E446" s="3"/>
    </row>
    <row r="447">
      <c r="A447" s="3"/>
      <c r="B447" s="3"/>
      <c r="C447" s="3"/>
      <c r="D447" s="234"/>
      <c r="E447" s="3"/>
    </row>
    <row r="448">
      <c r="A448" s="3"/>
      <c r="B448" s="3"/>
      <c r="C448" s="3"/>
      <c r="D448" s="234"/>
      <c r="E448" s="3"/>
    </row>
    <row r="449">
      <c r="A449" s="3"/>
      <c r="B449" s="3"/>
      <c r="C449" s="3"/>
      <c r="D449" s="234"/>
      <c r="E449" s="3"/>
    </row>
    <row r="450">
      <c r="A450" s="3"/>
      <c r="B450" s="3"/>
      <c r="C450" s="3"/>
      <c r="D450" s="234"/>
      <c r="E450" s="3"/>
    </row>
    <row r="451">
      <c r="A451" s="3"/>
      <c r="B451" s="3"/>
      <c r="C451" s="3"/>
      <c r="D451" s="234"/>
      <c r="E451" s="3"/>
    </row>
    <row r="452">
      <c r="A452" s="3"/>
      <c r="B452" s="3"/>
      <c r="C452" s="3"/>
      <c r="D452" s="234"/>
      <c r="E452" s="3"/>
    </row>
    <row r="453">
      <c r="A453" s="3"/>
      <c r="B453" s="3"/>
      <c r="C453" s="3"/>
      <c r="D453" s="234"/>
      <c r="E453" s="3"/>
    </row>
    <row r="454">
      <c r="A454" s="3"/>
      <c r="B454" s="3"/>
      <c r="C454" s="3"/>
      <c r="D454" s="234"/>
      <c r="E454" s="3"/>
    </row>
    <row r="455">
      <c r="A455" s="3"/>
      <c r="B455" s="3"/>
      <c r="C455" s="3"/>
      <c r="D455" s="234"/>
      <c r="E455" s="3"/>
    </row>
    <row r="456">
      <c r="A456" s="3"/>
      <c r="B456" s="3"/>
      <c r="C456" s="3"/>
      <c r="D456" s="234"/>
      <c r="E456" s="3"/>
    </row>
    <row r="457">
      <c r="A457" s="3"/>
      <c r="B457" s="3"/>
      <c r="C457" s="3"/>
      <c r="D457" s="234"/>
      <c r="E457" s="3"/>
    </row>
    <row r="458">
      <c r="A458" s="3"/>
      <c r="B458" s="3"/>
      <c r="C458" s="3"/>
      <c r="D458" s="234"/>
      <c r="E458" s="3"/>
    </row>
    <row r="459">
      <c r="A459" s="3"/>
      <c r="B459" s="3"/>
      <c r="C459" s="3"/>
      <c r="D459" s="234"/>
      <c r="E459" s="3"/>
    </row>
    <row r="460">
      <c r="A460" s="3"/>
      <c r="B460" s="3"/>
      <c r="C460" s="3"/>
      <c r="D460" s="234"/>
      <c r="E460" s="3"/>
    </row>
    <row r="461">
      <c r="A461" s="3"/>
      <c r="B461" s="3"/>
      <c r="C461" s="3"/>
      <c r="D461" s="234"/>
      <c r="E461" s="3"/>
    </row>
    <row r="462">
      <c r="A462" s="3"/>
      <c r="B462" s="3"/>
      <c r="C462" s="3"/>
      <c r="D462" s="234"/>
      <c r="E462" s="3"/>
    </row>
    <row r="463">
      <c r="A463" s="3"/>
      <c r="B463" s="3"/>
      <c r="C463" s="3"/>
      <c r="D463" s="234"/>
      <c r="E463" s="3"/>
    </row>
    <row r="464">
      <c r="A464" s="3"/>
      <c r="B464" s="3"/>
      <c r="C464" s="3"/>
      <c r="D464" s="234"/>
      <c r="E464" s="3"/>
    </row>
    <row r="465">
      <c r="A465" s="3"/>
      <c r="B465" s="3"/>
      <c r="C465" s="3"/>
      <c r="D465" s="234"/>
      <c r="E465" s="3"/>
    </row>
    <row r="466">
      <c r="A466" s="3"/>
      <c r="B466" s="3"/>
      <c r="C466" s="3"/>
      <c r="D466" s="234"/>
      <c r="E466" s="3"/>
    </row>
    <row r="467">
      <c r="A467" s="3"/>
      <c r="B467" s="3"/>
      <c r="C467" s="3"/>
      <c r="D467" s="234"/>
      <c r="E467" s="3"/>
    </row>
    <row r="468">
      <c r="A468" s="3"/>
      <c r="B468" s="3"/>
      <c r="C468" s="3"/>
      <c r="D468" s="234"/>
      <c r="E468" s="3"/>
    </row>
    <row r="469">
      <c r="A469" s="3"/>
      <c r="B469" s="3"/>
      <c r="C469" s="3"/>
      <c r="D469" s="234"/>
      <c r="E469" s="3"/>
    </row>
    <row r="470">
      <c r="A470" s="3"/>
      <c r="B470" s="3"/>
      <c r="C470" s="3"/>
      <c r="D470" s="234"/>
      <c r="E470" s="3"/>
    </row>
    <row r="471">
      <c r="A471" s="3"/>
      <c r="B471" s="3"/>
      <c r="C471" s="3"/>
      <c r="D471" s="234"/>
      <c r="E471" s="3"/>
    </row>
    <row r="472">
      <c r="A472" s="3"/>
      <c r="B472" s="3"/>
      <c r="C472" s="3"/>
      <c r="D472" s="234"/>
      <c r="E472" s="3"/>
    </row>
    <row r="473">
      <c r="A473" s="3"/>
      <c r="B473" s="3"/>
      <c r="C473" s="3"/>
      <c r="D473" s="234"/>
      <c r="E473" s="3"/>
    </row>
    <row r="474">
      <c r="A474" s="3"/>
      <c r="B474" s="3"/>
      <c r="C474" s="3"/>
      <c r="D474" s="234"/>
      <c r="E474" s="3"/>
    </row>
    <row r="475">
      <c r="A475" s="3"/>
      <c r="B475" s="3"/>
      <c r="C475" s="3"/>
      <c r="D475" s="234"/>
      <c r="E475" s="3"/>
    </row>
    <row r="476">
      <c r="A476" s="3"/>
      <c r="B476" s="3"/>
      <c r="C476" s="3"/>
      <c r="D476" s="234"/>
      <c r="E476" s="3"/>
    </row>
    <row r="477">
      <c r="A477" s="3"/>
      <c r="B477" s="3"/>
      <c r="C477" s="3"/>
      <c r="D477" s="234"/>
      <c r="E477" s="3"/>
    </row>
    <row r="478">
      <c r="A478" s="3"/>
      <c r="B478" s="3"/>
      <c r="C478" s="3"/>
      <c r="D478" s="234"/>
      <c r="E478" s="3"/>
    </row>
    <row r="479">
      <c r="A479" s="3"/>
      <c r="B479" s="3"/>
      <c r="C479" s="3"/>
      <c r="D479" s="234"/>
      <c r="E479" s="3"/>
    </row>
    <row r="480">
      <c r="A480" s="3"/>
      <c r="B480" s="3"/>
      <c r="C480" s="3"/>
      <c r="D480" s="234"/>
      <c r="E480" s="3"/>
    </row>
    <row r="481">
      <c r="A481" s="3"/>
      <c r="B481" s="3"/>
      <c r="C481" s="3"/>
      <c r="D481" s="234"/>
      <c r="E481" s="3"/>
    </row>
    <row r="482">
      <c r="A482" s="3"/>
      <c r="B482" s="3"/>
      <c r="C482" s="3"/>
      <c r="D482" s="234"/>
      <c r="E482" s="3"/>
    </row>
    <row r="483">
      <c r="A483" s="3"/>
      <c r="B483" s="3"/>
      <c r="C483" s="3"/>
      <c r="D483" s="234"/>
      <c r="E483" s="3"/>
    </row>
    <row r="484">
      <c r="A484" s="3"/>
      <c r="B484" s="3"/>
      <c r="C484" s="3"/>
      <c r="D484" s="234"/>
      <c r="E484" s="3"/>
    </row>
    <row r="485">
      <c r="A485" s="3"/>
      <c r="B485" s="3"/>
      <c r="C485" s="3"/>
      <c r="D485" s="234"/>
      <c r="E485" s="3"/>
    </row>
    <row r="486">
      <c r="A486" s="3"/>
      <c r="B486" s="3"/>
      <c r="C486" s="3"/>
      <c r="D486" s="234"/>
      <c r="E486" s="3"/>
    </row>
    <row r="487">
      <c r="A487" s="3"/>
      <c r="B487" s="3"/>
      <c r="C487" s="3"/>
      <c r="D487" s="234"/>
      <c r="E487" s="3"/>
    </row>
    <row r="488">
      <c r="A488" s="3"/>
      <c r="B488" s="3"/>
      <c r="C488" s="3"/>
      <c r="D488" s="234"/>
      <c r="E488" s="3"/>
    </row>
    <row r="489">
      <c r="A489" s="3"/>
      <c r="B489" s="3"/>
      <c r="C489" s="3"/>
      <c r="D489" s="234"/>
      <c r="E489" s="3"/>
    </row>
    <row r="490">
      <c r="A490" s="3"/>
      <c r="B490" s="3"/>
      <c r="C490" s="3"/>
      <c r="D490" s="234"/>
      <c r="E490" s="3"/>
    </row>
    <row r="491">
      <c r="A491" s="3"/>
      <c r="B491" s="3"/>
      <c r="C491" s="3"/>
      <c r="D491" s="234"/>
      <c r="E491" s="3"/>
    </row>
    <row r="492">
      <c r="A492" s="3"/>
      <c r="B492" s="3"/>
      <c r="C492" s="3"/>
      <c r="D492" s="234"/>
      <c r="E492" s="3"/>
    </row>
    <row r="493">
      <c r="A493" s="3"/>
      <c r="B493" s="3"/>
      <c r="C493" s="3"/>
      <c r="D493" s="234"/>
      <c r="E493" s="3"/>
    </row>
    <row r="494">
      <c r="A494" s="3"/>
      <c r="B494" s="3"/>
      <c r="C494" s="3"/>
      <c r="D494" s="234"/>
      <c r="E494" s="3"/>
    </row>
    <row r="495">
      <c r="A495" s="3"/>
      <c r="B495" s="3"/>
      <c r="C495" s="3"/>
      <c r="D495" s="234"/>
      <c r="E495" s="3"/>
    </row>
    <row r="496">
      <c r="A496" s="3"/>
      <c r="B496" s="3"/>
      <c r="C496" s="3"/>
      <c r="D496" s="234"/>
      <c r="E496" s="3"/>
    </row>
    <row r="497">
      <c r="A497" s="3"/>
      <c r="B497" s="3"/>
      <c r="C497" s="3"/>
      <c r="D497" s="234"/>
      <c r="E497" s="3"/>
    </row>
    <row r="498">
      <c r="A498" s="3"/>
      <c r="B498" s="3"/>
      <c r="C498" s="3"/>
      <c r="D498" s="234"/>
      <c r="E498" s="3"/>
    </row>
    <row r="499">
      <c r="A499" s="3"/>
      <c r="B499" s="3"/>
      <c r="C499" s="3"/>
      <c r="D499" s="234"/>
      <c r="E499" s="3"/>
    </row>
    <row r="500">
      <c r="A500" s="3"/>
      <c r="B500" s="3"/>
      <c r="C500" s="3"/>
      <c r="D500" s="234"/>
      <c r="E500" s="3"/>
    </row>
    <row r="501">
      <c r="A501" s="3"/>
      <c r="B501" s="3"/>
      <c r="C501" s="3"/>
      <c r="D501" s="234"/>
      <c r="E501" s="3"/>
    </row>
    <row r="502">
      <c r="A502" s="3"/>
      <c r="B502" s="3"/>
      <c r="C502" s="3"/>
      <c r="D502" s="234"/>
      <c r="E502" s="3"/>
    </row>
    <row r="503">
      <c r="A503" s="3"/>
      <c r="B503" s="3"/>
      <c r="C503" s="3"/>
      <c r="D503" s="234"/>
      <c r="E503" s="3"/>
    </row>
    <row r="504">
      <c r="A504" s="3"/>
      <c r="B504" s="3"/>
      <c r="C504" s="3"/>
      <c r="D504" s="234"/>
      <c r="E504" s="3"/>
    </row>
    <row r="505">
      <c r="A505" s="3"/>
      <c r="B505" s="3"/>
      <c r="C505" s="3"/>
      <c r="D505" s="234"/>
      <c r="E505" s="3"/>
    </row>
    <row r="506">
      <c r="A506" s="3"/>
      <c r="B506" s="3"/>
      <c r="C506" s="3"/>
      <c r="D506" s="234"/>
      <c r="E506" s="3"/>
    </row>
    <row r="507">
      <c r="A507" s="3"/>
      <c r="B507" s="3"/>
      <c r="C507" s="3"/>
      <c r="D507" s="234"/>
      <c r="E507" s="3"/>
    </row>
    <row r="508">
      <c r="A508" s="3"/>
      <c r="B508" s="3"/>
      <c r="C508" s="3"/>
      <c r="D508" s="234"/>
      <c r="E508" s="3"/>
    </row>
    <row r="509">
      <c r="A509" s="3"/>
      <c r="B509" s="3"/>
      <c r="C509" s="3"/>
      <c r="D509" s="234"/>
      <c r="E509" s="3"/>
    </row>
    <row r="510">
      <c r="A510" s="3"/>
      <c r="B510" s="3"/>
      <c r="C510" s="3"/>
      <c r="D510" s="234"/>
      <c r="E510" s="3"/>
    </row>
    <row r="511">
      <c r="A511" s="3"/>
      <c r="B511" s="3"/>
      <c r="C511" s="3"/>
      <c r="D511" s="234"/>
      <c r="E511" s="3"/>
    </row>
    <row r="512">
      <c r="A512" s="3"/>
      <c r="B512" s="3"/>
      <c r="C512" s="3"/>
      <c r="D512" s="234"/>
      <c r="E512" s="3"/>
    </row>
    <row r="513">
      <c r="A513" s="3"/>
      <c r="B513" s="3"/>
      <c r="C513" s="3"/>
      <c r="D513" s="234"/>
      <c r="E513" s="3"/>
    </row>
    <row r="514">
      <c r="A514" s="3"/>
      <c r="B514" s="3"/>
      <c r="C514" s="3"/>
      <c r="D514" s="234"/>
      <c r="E514" s="3"/>
    </row>
    <row r="515">
      <c r="A515" s="3"/>
      <c r="B515" s="3"/>
      <c r="C515" s="3"/>
      <c r="D515" s="234"/>
      <c r="E515" s="3"/>
    </row>
    <row r="516">
      <c r="A516" s="3"/>
      <c r="B516" s="3"/>
      <c r="C516" s="3"/>
      <c r="D516" s="234"/>
      <c r="E516" s="3"/>
    </row>
    <row r="517">
      <c r="A517" s="3"/>
      <c r="B517" s="3"/>
      <c r="C517" s="3"/>
      <c r="D517" s="234"/>
      <c r="E517" s="3"/>
    </row>
    <row r="518">
      <c r="A518" s="3"/>
      <c r="B518" s="3"/>
      <c r="C518" s="3"/>
      <c r="D518" s="234"/>
      <c r="E518" s="3"/>
    </row>
    <row r="519">
      <c r="A519" s="3"/>
      <c r="B519" s="3"/>
      <c r="C519" s="3"/>
      <c r="D519" s="234"/>
      <c r="E519" s="3"/>
    </row>
    <row r="520">
      <c r="A520" s="3"/>
      <c r="B520" s="3"/>
      <c r="C520" s="3"/>
      <c r="D520" s="234"/>
      <c r="E520" s="3"/>
    </row>
    <row r="521">
      <c r="A521" s="3"/>
      <c r="B521" s="3"/>
      <c r="C521" s="3"/>
      <c r="D521" s="234"/>
      <c r="E521" s="3"/>
    </row>
    <row r="522">
      <c r="A522" s="3"/>
      <c r="B522" s="3"/>
      <c r="C522" s="3"/>
      <c r="D522" s="234"/>
      <c r="E522" s="3"/>
    </row>
    <row r="523">
      <c r="A523" s="3"/>
      <c r="B523" s="3"/>
      <c r="C523" s="3"/>
      <c r="D523" s="234"/>
      <c r="E523" s="3"/>
    </row>
    <row r="524">
      <c r="A524" s="3"/>
      <c r="B524" s="3"/>
      <c r="C524" s="3"/>
      <c r="D524" s="234"/>
      <c r="E524" s="3"/>
    </row>
    <row r="525">
      <c r="A525" s="3"/>
      <c r="B525" s="3"/>
      <c r="C525" s="3"/>
      <c r="D525" s="234"/>
      <c r="E525" s="3"/>
    </row>
    <row r="526">
      <c r="A526" s="3"/>
      <c r="B526" s="3"/>
      <c r="C526" s="3"/>
      <c r="D526" s="234"/>
      <c r="E526" s="3"/>
    </row>
    <row r="527">
      <c r="A527" s="3"/>
      <c r="B527" s="3"/>
      <c r="C527" s="3"/>
      <c r="D527" s="234"/>
      <c r="E527" s="3"/>
    </row>
    <row r="528">
      <c r="A528" s="3"/>
      <c r="B528" s="3"/>
      <c r="C528" s="3"/>
      <c r="D528" s="234"/>
      <c r="E528" s="3"/>
    </row>
    <row r="529">
      <c r="A529" s="3"/>
      <c r="B529" s="3"/>
      <c r="C529" s="3"/>
      <c r="D529" s="234"/>
      <c r="E529" s="3"/>
    </row>
    <row r="530">
      <c r="A530" s="3"/>
      <c r="B530" s="3"/>
      <c r="C530" s="3"/>
      <c r="D530" s="234"/>
      <c r="E530" s="3"/>
    </row>
    <row r="531">
      <c r="A531" s="3"/>
      <c r="B531" s="3"/>
      <c r="C531" s="3"/>
      <c r="D531" s="234"/>
      <c r="E531" s="3"/>
    </row>
    <row r="532">
      <c r="A532" s="3"/>
      <c r="B532" s="3"/>
      <c r="C532" s="3"/>
      <c r="D532" s="234"/>
      <c r="E532" s="3"/>
    </row>
    <row r="533">
      <c r="A533" s="3"/>
      <c r="B533" s="3"/>
      <c r="C533" s="3"/>
      <c r="D533" s="234"/>
      <c r="E533" s="3"/>
    </row>
    <row r="534">
      <c r="A534" s="3"/>
      <c r="B534" s="3"/>
      <c r="C534" s="3"/>
      <c r="D534" s="234"/>
      <c r="E534" s="3"/>
    </row>
    <row r="535">
      <c r="A535" s="3"/>
      <c r="B535" s="3"/>
      <c r="C535" s="3"/>
      <c r="D535" s="234"/>
      <c r="E535" s="3"/>
    </row>
    <row r="536">
      <c r="A536" s="3"/>
      <c r="B536" s="3"/>
      <c r="C536" s="3"/>
      <c r="D536" s="234"/>
      <c r="E536" s="3"/>
    </row>
    <row r="537">
      <c r="A537" s="3"/>
      <c r="B537" s="3"/>
      <c r="C537" s="3"/>
      <c r="D537" s="234"/>
      <c r="E537" s="3"/>
    </row>
    <row r="538">
      <c r="A538" s="3"/>
      <c r="B538" s="3"/>
      <c r="C538" s="3"/>
      <c r="D538" s="234"/>
      <c r="E538" s="3"/>
    </row>
    <row r="539">
      <c r="A539" s="3"/>
      <c r="B539" s="3"/>
      <c r="C539" s="3"/>
      <c r="D539" s="234"/>
      <c r="E539" s="3"/>
    </row>
    <row r="540">
      <c r="A540" s="3"/>
      <c r="B540" s="3"/>
      <c r="C540" s="3"/>
      <c r="D540" s="234"/>
      <c r="E540" s="3"/>
    </row>
    <row r="541">
      <c r="A541" s="3"/>
      <c r="B541" s="3"/>
      <c r="C541" s="3"/>
      <c r="D541" s="234"/>
      <c r="E541" s="3"/>
    </row>
    <row r="542">
      <c r="A542" s="3"/>
      <c r="B542" s="3"/>
      <c r="C542" s="3"/>
      <c r="D542" s="234"/>
      <c r="E542" s="3"/>
    </row>
    <row r="543">
      <c r="A543" s="3"/>
      <c r="B543" s="3"/>
      <c r="C543" s="3"/>
      <c r="D543" s="234"/>
      <c r="E543" s="3"/>
    </row>
    <row r="544">
      <c r="A544" s="3"/>
      <c r="B544" s="3"/>
      <c r="C544" s="3"/>
      <c r="D544" s="234"/>
      <c r="E544" s="3"/>
    </row>
    <row r="545">
      <c r="A545" s="3"/>
      <c r="B545" s="3"/>
      <c r="C545" s="3"/>
      <c r="D545" s="234"/>
      <c r="E545" s="3"/>
    </row>
    <row r="546">
      <c r="A546" s="3"/>
      <c r="B546" s="3"/>
      <c r="C546" s="3"/>
      <c r="D546" s="234"/>
      <c r="E546" s="3"/>
    </row>
    <row r="547">
      <c r="A547" s="3"/>
      <c r="B547" s="3"/>
      <c r="C547" s="3"/>
      <c r="D547" s="234"/>
      <c r="E547" s="3"/>
    </row>
    <row r="548">
      <c r="A548" s="3"/>
      <c r="B548" s="3"/>
      <c r="C548" s="3"/>
      <c r="D548" s="234"/>
      <c r="E548" s="3"/>
    </row>
    <row r="549">
      <c r="A549" s="3"/>
      <c r="B549" s="3"/>
      <c r="C549" s="3"/>
      <c r="D549" s="234"/>
      <c r="E549" s="3"/>
    </row>
    <row r="550">
      <c r="A550" s="3"/>
      <c r="B550" s="3"/>
      <c r="C550" s="3"/>
      <c r="D550" s="234"/>
      <c r="E550" s="3"/>
    </row>
    <row r="551">
      <c r="A551" s="3"/>
      <c r="B551" s="3"/>
      <c r="C551" s="3"/>
      <c r="D551" s="234"/>
      <c r="E551" s="3"/>
    </row>
    <row r="552">
      <c r="A552" s="3"/>
      <c r="B552" s="3"/>
      <c r="C552" s="3"/>
      <c r="D552" s="234"/>
      <c r="E552" s="3"/>
    </row>
    <row r="553">
      <c r="A553" s="3"/>
      <c r="B553" s="3"/>
      <c r="C553" s="3"/>
      <c r="D553" s="234"/>
      <c r="E553" s="3"/>
    </row>
    <row r="554">
      <c r="A554" s="3"/>
      <c r="B554" s="3"/>
      <c r="C554" s="3"/>
      <c r="D554" s="234"/>
      <c r="E554" s="3"/>
    </row>
    <row r="555">
      <c r="A555" s="3"/>
      <c r="B555" s="3"/>
      <c r="C555" s="3"/>
      <c r="D555" s="234"/>
      <c r="E555" s="3"/>
    </row>
    <row r="556">
      <c r="A556" s="3"/>
      <c r="B556" s="3"/>
      <c r="C556" s="3"/>
      <c r="D556" s="234"/>
      <c r="E556" s="3"/>
    </row>
    <row r="557">
      <c r="A557" s="3"/>
      <c r="B557" s="3"/>
      <c r="C557" s="3"/>
      <c r="D557" s="234"/>
      <c r="E557" s="3"/>
    </row>
    <row r="558">
      <c r="A558" s="3"/>
      <c r="B558" s="3"/>
      <c r="C558" s="3"/>
      <c r="D558" s="234"/>
      <c r="E558" s="3"/>
    </row>
    <row r="559">
      <c r="A559" s="3"/>
      <c r="B559" s="3"/>
      <c r="C559" s="3"/>
      <c r="D559" s="234"/>
      <c r="E559" s="3"/>
    </row>
    <row r="560">
      <c r="A560" s="3"/>
      <c r="B560" s="3"/>
      <c r="C560" s="3"/>
      <c r="D560" s="234"/>
      <c r="E560" s="3"/>
    </row>
    <row r="561">
      <c r="A561" s="3"/>
      <c r="B561" s="3"/>
      <c r="C561" s="3"/>
      <c r="D561" s="234"/>
      <c r="E561" s="3"/>
    </row>
    <row r="562">
      <c r="A562" s="3"/>
      <c r="B562" s="3"/>
      <c r="C562" s="3"/>
      <c r="D562" s="234"/>
      <c r="E562" s="3"/>
    </row>
    <row r="563">
      <c r="A563" s="3"/>
      <c r="B563" s="3"/>
      <c r="C563" s="3"/>
      <c r="D563" s="234"/>
      <c r="E563" s="3"/>
    </row>
    <row r="564">
      <c r="A564" s="3"/>
      <c r="B564" s="3"/>
      <c r="C564" s="3"/>
      <c r="D564" s="234"/>
      <c r="E564" s="3"/>
    </row>
    <row r="565">
      <c r="A565" s="3"/>
      <c r="B565" s="3"/>
      <c r="C565" s="3"/>
      <c r="D565" s="234"/>
      <c r="E565" s="3"/>
    </row>
    <row r="566">
      <c r="A566" s="3"/>
      <c r="B566" s="3"/>
      <c r="C566" s="3"/>
      <c r="D566" s="234"/>
      <c r="E566" s="3"/>
    </row>
    <row r="567">
      <c r="A567" s="3"/>
      <c r="B567" s="3"/>
      <c r="C567" s="3"/>
      <c r="D567" s="234"/>
      <c r="E567" s="3"/>
    </row>
    <row r="568">
      <c r="A568" s="3"/>
      <c r="B568" s="3"/>
      <c r="C568" s="3"/>
      <c r="D568" s="234"/>
      <c r="E568" s="3"/>
    </row>
    <row r="569">
      <c r="A569" s="3"/>
      <c r="B569" s="3"/>
      <c r="C569" s="3"/>
      <c r="D569" s="234"/>
      <c r="E569" s="3"/>
    </row>
    <row r="570">
      <c r="A570" s="3"/>
      <c r="B570" s="3"/>
      <c r="C570" s="3"/>
      <c r="D570" s="234"/>
      <c r="E570" s="3"/>
    </row>
    <row r="571">
      <c r="A571" s="3"/>
      <c r="B571" s="3"/>
      <c r="C571" s="3"/>
      <c r="D571" s="234"/>
      <c r="E571" s="3"/>
    </row>
    <row r="572">
      <c r="A572" s="3"/>
      <c r="B572" s="3"/>
      <c r="C572" s="3"/>
      <c r="D572" s="234"/>
      <c r="E572" s="3"/>
    </row>
    <row r="573">
      <c r="A573" s="3"/>
      <c r="B573" s="3"/>
      <c r="C573" s="3"/>
      <c r="D573" s="234"/>
      <c r="E573" s="3"/>
    </row>
    <row r="574">
      <c r="A574" s="3"/>
      <c r="B574" s="3"/>
      <c r="C574" s="3"/>
      <c r="D574" s="234"/>
      <c r="E574" s="3"/>
    </row>
    <row r="575">
      <c r="A575" s="3"/>
      <c r="B575" s="3"/>
      <c r="C575" s="3"/>
      <c r="D575" s="234"/>
      <c r="E575" s="3"/>
    </row>
    <row r="576">
      <c r="A576" s="3"/>
      <c r="B576" s="3"/>
      <c r="C576" s="3"/>
      <c r="D576" s="234"/>
      <c r="E576" s="3"/>
    </row>
    <row r="577">
      <c r="A577" s="3"/>
      <c r="B577" s="3"/>
      <c r="C577" s="3"/>
      <c r="D577" s="234"/>
      <c r="E577" s="3"/>
    </row>
    <row r="578">
      <c r="A578" s="3"/>
      <c r="B578" s="3"/>
      <c r="C578" s="3"/>
      <c r="D578" s="234"/>
      <c r="E578" s="3"/>
    </row>
    <row r="579">
      <c r="A579" s="3"/>
      <c r="B579" s="3"/>
      <c r="C579" s="3"/>
      <c r="D579" s="234"/>
      <c r="E579" s="3"/>
    </row>
    <row r="580">
      <c r="A580" s="3"/>
      <c r="B580" s="3"/>
      <c r="C580" s="3"/>
      <c r="D580" s="234"/>
      <c r="E580" s="3"/>
    </row>
    <row r="581">
      <c r="A581" s="3"/>
      <c r="B581" s="3"/>
      <c r="C581" s="3"/>
      <c r="D581" s="234"/>
      <c r="E581" s="3"/>
    </row>
    <row r="582">
      <c r="A582" s="3"/>
      <c r="B582" s="3"/>
      <c r="C582" s="3"/>
      <c r="D582" s="234"/>
      <c r="E582" s="3"/>
    </row>
    <row r="583">
      <c r="A583" s="3"/>
      <c r="B583" s="3"/>
      <c r="C583" s="3"/>
      <c r="D583" s="234"/>
      <c r="E583" s="3"/>
    </row>
    <row r="584">
      <c r="A584" s="3"/>
      <c r="B584" s="3"/>
      <c r="C584" s="3"/>
      <c r="D584" s="234"/>
      <c r="E584" s="3"/>
    </row>
    <row r="585">
      <c r="A585" s="3"/>
      <c r="B585" s="3"/>
      <c r="C585" s="3"/>
      <c r="D585" s="234"/>
      <c r="E585" s="3"/>
    </row>
    <row r="586">
      <c r="A586" s="3"/>
      <c r="B586" s="3"/>
      <c r="C586" s="3"/>
      <c r="D586" s="234"/>
      <c r="E586" s="3"/>
    </row>
    <row r="587">
      <c r="A587" s="3"/>
      <c r="B587" s="3"/>
      <c r="C587" s="3"/>
      <c r="D587" s="234"/>
      <c r="E587" s="3"/>
    </row>
    <row r="588">
      <c r="A588" s="3"/>
      <c r="B588" s="3"/>
      <c r="C588" s="3"/>
      <c r="D588" s="234"/>
      <c r="E588" s="3"/>
    </row>
    <row r="589">
      <c r="A589" s="3"/>
      <c r="B589" s="3"/>
      <c r="C589" s="3"/>
      <c r="D589" s="234"/>
      <c r="E589" s="3"/>
    </row>
    <row r="590">
      <c r="A590" s="3"/>
      <c r="B590" s="3"/>
      <c r="C590" s="3"/>
      <c r="D590" s="234"/>
      <c r="E590" s="3"/>
    </row>
    <row r="591">
      <c r="A591" s="3"/>
      <c r="B591" s="3"/>
      <c r="C591" s="3"/>
      <c r="D591" s="234"/>
      <c r="E591" s="3"/>
    </row>
    <row r="592">
      <c r="A592" s="3"/>
      <c r="B592" s="3"/>
      <c r="C592" s="3"/>
      <c r="D592" s="234"/>
      <c r="E592" s="3"/>
    </row>
    <row r="593">
      <c r="A593" s="3"/>
      <c r="B593" s="3"/>
      <c r="C593" s="3"/>
      <c r="D593" s="234"/>
      <c r="E593" s="3"/>
    </row>
    <row r="594">
      <c r="A594" s="3"/>
      <c r="B594" s="3"/>
      <c r="C594" s="3"/>
      <c r="D594" s="234"/>
      <c r="E594" s="3"/>
    </row>
    <row r="595">
      <c r="A595" s="3"/>
      <c r="B595" s="3"/>
      <c r="C595" s="3"/>
      <c r="D595" s="234"/>
      <c r="E595" s="3"/>
    </row>
    <row r="596">
      <c r="A596" s="3"/>
      <c r="B596" s="3"/>
      <c r="C596" s="3"/>
      <c r="D596" s="234"/>
      <c r="E596" s="3"/>
    </row>
    <row r="597">
      <c r="A597" s="3"/>
      <c r="B597" s="3"/>
      <c r="C597" s="3"/>
      <c r="D597" s="234"/>
      <c r="E597" s="3"/>
    </row>
    <row r="598">
      <c r="A598" s="3"/>
      <c r="B598" s="3"/>
      <c r="C598" s="3"/>
      <c r="D598" s="234"/>
      <c r="E598" s="3"/>
    </row>
    <row r="599">
      <c r="A599" s="3"/>
      <c r="B599" s="3"/>
      <c r="C599" s="3"/>
      <c r="D599" s="234"/>
      <c r="E599" s="3"/>
    </row>
    <row r="600">
      <c r="A600" s="3"/>
      <c r="B600" s="3"/>
      <c r="C600" s="3"/>
      <c r="D600" s="234"/>
      <c r="E600" s="3"/>
    </row>
    <row r="601">
      <c r="A601" s="3"/>
      <c r="B601" s="3"/>
      <c r="C601" s="3"/>
      <c r="D601" s="234"/>
      <c r="E601" s="3"/>
    </row>
    <row r="602">
      <c r="A602" s="3"/>
      <c r="B602" s="3"/>
      <c r="C602" s="3"/>
      <c r="D602" s="234"/>
      <c r="E602" s="3"/>
    </row>
    <row r="603">
      <c r="A603" s="3"/>
      <c r="B603" s="3"/>
      <c r="C603" s="3"/>
      <c r="D603" s="234"/>
      <c r="E603" s="3"/>
    </row>
    <row r="604">
      <c r="A604" s="3"/>
      <c r="B604" s="3"/>
      <c r="C604" s="3"/>
      <c r="D604" s="234"/>
      <c r="E604" s="3"/>
    </row>
    <row r="605">
      <c r="A605" s="3"/>
      <c r="B605" s="3"/>
      <c r="C605" s="3"/>
      <c r="D605" s="234"/>
      <c r="E605" s="3"/>
    </row>
    <row r="606">
      <c r="A606" s="3"/>
      <c r="B606" s="3"/>
      <c r="C606" s="3"/>
      <c r="D606" s="234"/>
      <c r="E606" s="3"/>
    </row>
    <row r="607">
      <c r="A607" s="3"/>
      <c r="B607" s="3"/>
      <c r="C607" s="3"/>
      <c r="D607" s="234"/>
      <c r="E607" s="3"/>
    </row>
    <row r="608">
      <c r="A608" s="3"/>
      <c r="B608" s="3"/>
      <c r="C608" s="3"/>
      <c r="D608" s="234"/>
      <c r="E608" s="3"/>
    </row>
    <row r="609">
      <c r="A609" s="3"/>
      <c r="B609" s="3"/>
      <c r="C609" s="3"/>
      <c r="D609" s="234"/>
      <c r="E609" s="3"/>
    </row>
    <row r="610">
      <c r="A610" s="3"/>
      <c r="B610" s="3"/>
      <c r="C610" s="3"/>
      <c r="D610" s="234"/>
      <c r="E610" s="3"/>
    </row>
    <row r="611">
      <c r="A611" s="3"/>
      <c r="B611" s="3"/>
      <c r="C611" s="3"/>
      <c r="D611" s="234"/>
      <c r="E611" s="3"/>
    </row>
    <row r="612">
      <c r="A612" s="3"/>
      <c r="B612" s="3"/>
      <c r="C612" s="3"/>
      <c r="D612" s="234"/>
      <c r="E612" s="3"/>
    </row>
    <row r="613">
      <c r="A613" s="3"/>
      <c r="B613" s="3"/>
      <c r="C613" s="3"/>
      <c r="D613" s="234"/>
      <c r="E613" s="3"/>
    </row>
    <row r="614">
      <c r="A614" s="3"/>
      <c r="B614" s="3"/>
      <c r="C614" s="3"/>
      <c r="D614" s="234"/>
      <c r="E614" s="3"/>
    </row>
    <row r="615">
      <c r="A615" s="3"/>
      <c r="B615" s="3"/>
      <c r="C615" s="3"/>
      <c r="D615" s="234"/>
      <c r="E615" s="3"/>
    </row>
    <row r="616">
      <c r="A616" s="3"/>
      <c r="B616" s="3"/>
      <c r="C616" s="3"/>
      <c r="D616" s="234"/>
      <c r="E616" s="3"/>
    </row>
    <row r="617">
      <c r="A617" s="3"/>
      <c r="B617" s="3"/>
      <c r="C617" s="3"/>
      <c r="D617" s="234"/>
      <c r="E617" s="3"/>
    </row>
    <row r="618">
      <c r="A618" s="3"/>
      <c r="B618" s="3"/>
      <c r="C618" s="3"/>
      <c r="D618" s="234"/>
      <c r="E618" s="3"/>
    </row>
    <row r="619">
      <c r="A619" s="3"/>
      <c r="B619" s="3"/>
      <c r="C619" s="3"/>
      <c r="D619" s="234"/>
      <c r="E619" s="3"/>
    </row>
    <row r="620">
      <c r="A620" s="3"/>
      <c r="B620" s="3"/>
      <c r="C620" s="3"/>
      <c r="D620" s="234"/>
      <c r="E620" s="3"/>
    </row>
    <row r="621">
      <c r="A621" s="3"/>
      <c r="B621" s="3"/>
      <c r="C621" s="3"/>
      <c r="D621" s="234"/>
      <c r="E621" s="3"/>
    </row>
    <row r="622">
      <c r="A622" s="3"/>
      <c r="B622" s="3"/>
      <c r="C622" s="3"/>
      <c r="D622" s="234"/>
      <c r="E622" s="3"/>
    </row>
    <row r="623">
      <c r="A623" s="3"/>
      <c r="B623" s="3"/>
      <c r="C623" s="3"/>
      <c r="D623" s="234"/>
      <c r="E623" s="3"/>
    </row>
    <row r="624">
      <c r="A624" s="3"/>
      <c r="B624" s="3"/>
      <c r="C624" s="3"/>
      <c r="D624" s="234"/>
      <c r="E624" s="3"/>
    </row>
    <row r="625">
      <c r="A625" s="3"/>
      <c r="B625" s="3"/>
      <c r="C625" s="3"/>
      <c r="D625" s="234"/>
      <c r="E625" s="3"/>
    </row>
    <row r="626">
      <c r="A626" s="3"/>
      <c r="B626" s="3"/>
      <c r="C626" s="3"/>
      <c r="D626" s="234"/>
      <c r="E626" s="3"/>
    </row>
    <row r="627">
      <c r="A627" s="3"/>
      <c r="B627" s="3"/>
      <c r="C627" s="3"/>
      <c r="D627" s="234"/>
      <c r="E627" s="3"/>
    </row>
    <row r="628">
      <c r="A628" s="3"/>
      <c r="B628" s="3"/>
      <c r="C628" s="3"/>
      <c r="D628" s="234"/>
      <c r="E628" s="3"/>
    </row>
    <row r="629">
      <c r="A629" s="3"/>
      <c r="B629" s="3"/>
      <c r="C629" s="3"/>
      <c r="D629" s="234"/>
      <c r="E629" s="3"/>
    </row>
    <row r="630">
      <c r="A630" s="3"/>
      <c r="B630" s="3"/>
      <c r="C630" s="3"/>
      <c r="D630" s="234"/>
      <c r="E630" s="3"/>
    </row>
    <row r="631">
      <c r="A631" s="3"/>
      <c r="B631" s="3"/>
      <c r="C631" s="3"/>
      <c r="D631" s="234"/>
      <c r="E631" s="3"/>
    </row>
    <row r="632">
      <c r="A632" s="3"/>
      <c r="B632" s="3"/>
      <c r="C632" s="3"/>
      <c r="D632" s="234"/>
      <c r="E632" s="3"/>
    </row>
    <row r="633">
      <c r="A633" s="3"/>
      <c r="B633" s="3"/>
      <c r="C633" s="3"/>
      <c r="D633" s="234"/>
      <c r="E633" s="3"/>
    </row>
    <row r="634">
      <c r="A634" s="3"/>
      <c r="B634" s="3"/>
      <c r="C634" s="3"/>
      <c r="D634" s="234"/>
      <c r="E634" s="3"/>
    </row>
    <row r="635">
      <c r="A635" s="3"/>
      <c r="B635" s="3"/>
      <c r="C635" s="3"/>
      <c r="D635" s="234"/>
      <c r="E635" s="3"/>
    </row>
    <row r="636">
      <c r="A636" s="3"/>
      <c r="B636" s="3"/>
      <c r="C636" s="3"/>
      <c r="D636" s="234"/>
      <c r="E636" s="3"/>
    </row>
    <row r="637">
      <c r="A637" s="3"/>
      <c r="B637" s="3"/>
      <c r="C637" s="3"/>
      <c r="D637" s="234"/>
      <c r="E637" s="3"/>
    </row>
    <row r="638">
      <c r="A638" s="3"/>
      <c r="B638" s="3"/>
      <c r="C638" s="3"/>
      <c r="D638" s="234"/>
      <c r="E638" s="3"/>
    </row>
    <row r="639">
      <c r="A639" s="3"/>
      <c r="B639" s="3"/>
      <c r="C639" s="3"/>
      <c r="D639" s="234"/>
      <c r="E639" s="3"/>
    </row>
    <row r="640">
      <c r="A640" s="3"/>
      <c r="B640" s="3"/>
      <c r="C640" s="3"/>
      <c r="D640" s="234"/>
      <c r="E640" s="3"/>
    </row>
    <row r="641">
      <c r="A641" s="3"/>
      <c r="B641" s="3"/>
      <c r="C641" s="3"/>
      <c r="D641" s="234"/>
      <c r="E641" s="3"/>
    </row>
    <row r="642">
      <c r="A642" s="3"/>
      <c r="B642" s="3"/>
      <c r="C642" s="3"/>
      <c r="D642" s="234"/>
      <c r="E642" s="3"/>
    </row>
    <row r="643">
      <c r="A643" s="3"/>
      <c r="B643" s="3"/>
      <c r="C643" s="3"/>
      <c r="D643" s="234"/>
      <c r="E643" s="3"/>
    </row>
    <row r="644">
      <c r="A644" s="3"/>
      <c r="B644" s="3"/>
      <c r="C644" s="3"/>
      <c r="D644" s="234"/>
      <c r="E644" s="3"/>
    </row>
    <row r="645">
      <c r="A645" s="3"/>
      <c r="B645" s="3"/>
      <c r="C645" s="3"/>
      <c r="D645" s="234"/>
      <c r="E645" s="3"/>
    </row>
    <row r="646">
      <c r="A646" s="3"/>
      <c r="B646" s="3"/>
      <c r="C646" s="3"/>
      <c r="D646" s="234"/>
      <c r="E646" s="3"/>
    </row>
    <row r="647">
      <c r="A647" s="3"/>
      <c r="B647" s="3"/>
      <c r="C647" s="3"/>
      <c r="D647" s="234"/>
      <c r="E647" s="3"/>
    </row>
    <row r="648">
      <c r="A648" s="3"/>
      <c r="B648" s="3"/>
      <c r="C648" s="3"/>
      <c r="D648" s="234"/>
      <c r="E648" s="3"/>
    </row>
    <row r="649">
      <c r="A649" s="3"/>
      <c r="B649" s="3"/>
      <c r="C649" s="3"/>
      <c r="D649" s="234"/>
      <c r="E649" s="3"/>
    </row>
    <row r="650">
      <c r="A650" s="3"/>
      <c r="B650" s="3"/>
      <c r="C650" s="3"/>
      <c r="D650" s="234"/>
      <c r="E650" s="3"/>
    </row>
    <row r="651">
      <c r="A651" s="3"/>
      <c r="B651" s="3"/>
      <c r="C651" s="3"/>
      <c r="D651" s="234"/>
      <c r="E651" s="3"/>
    </row>
    <row r="652">
      <c r="A652" s="3"/>
      <c r="B652" s="3"/>
      <c r="C652" s="3"/>
      <c r="D652" s="234"/>
      <c r="E652" s="3"/>
    </row>
    <row r="653">
      <c r="A653" s="3"/>
      <c r="B653" s="3"/>
      <c r="C653" s="3"/>
      <c r="D653" s="234"/>
      <c r="E653" s="3"/>
    </row>
    <row r="654">
      <c r="A654" s="3"/>
      <c r="B654" s="3"/>
      <c r="C654" s="3"/>
      <c r="D654" s="234"/>
      <c r="E654" s="3"/>
    </row>
    <row r="655">
      <c r="A655" s="3"/>
      <c r="B655" s="3"/>
      <c r="C655" s="3"/>
      <c r="D655" s="234"/>
      <c r="E655" s="3"/>
    </row>
    <row r="656">
      <c r="A656" s="3"/>
      <c r="B656" s="3"/>
      <c r="C656" s="3"/>
      <c r="D656" s="234"/>
      <c r="E656" s="3"/>
    </row>
    <row r="657">
      <c r="A657" s="3"/>
      <c r="B657" s="3"/>
      <c r="C657" s="3"/>
      <c r="D657" s="234"/>
      <c r="E657" s="3"/>
    </row>
    <row r="658">
      <c r="A658" s="3"/>
      <c r="B658" s="3"/>
      <c r="C658" s="3"/>
      <c r="D658" s="234"/>
      <c r="E658" s="3"/>
    </row>
    <row r="659">
      <c r="A659" s="3"/>
      <c r="B659" s="3"/>
      <c r="C659" s="3"/>
      <c r="D659" s="234"/>
      <c r="E659" s="3"/>
    </row>
    <row r="660">
      <c r="A660" s="3"/>
      <c r="B660" s="3"/>
      <c r="C660" s="3"/>
      <c r="D660" s="234"/>
      <c r="E660" s="3"/>
    </row>
    <row r="661">
      <c r="A661" s="3"/>
      <c r="B661" s="3"/>
      <c r="C661" s="3"/>
      <c r="D661" s="234"/>
      <c r="E661" s="3"/>
    </row>
    <row r="662">
      <c r="A662" s="3"/>
      <c r="B662" s="3"/>
      <c r="C662" s="3"/>
      <c r="D662" s="234"/>
      <c r="E662" s="3"/>
    </row>
    <row r="663">
      <c r="A663" s="3"/>
      <c r="B663" s="3"/>
      <c r="C663" s="3"/>
      <c r="D663" s="234"/>
      <c r="E663" s="3"/>
    </row>
    <row r="664">
      <c r="A664" s="3"/>
      <c r="B664" s="3"/>
      <c r="C664" s="3"/>
      <c r="D664" s="234"/>
      <c r="E664" s="3"/>
    </row>
    <row r="665">
      <c r="A665" s="3"/>
      <c r="B665" s="3"/>
      <c r="C665" s="3"/>
      <c r="D665" s="234"/>
      <c r="E665" s="3"/>
    </row>
    <row r="666">
      <c r="A666" s="3"/>
      <c r="B666" s="3"/>
      <c r="C666" s="3"/>
      <c r="D666" s="234"/>
      <c r="E666" s="3"/>
    </row>
    <row r="667">
      <c r="A667" s="3"/>
      <c r="B667" s="3"/>
      <c r="C667" s="3"/>
      <c r="D667" s="234"/>
      <c r="E667" s="3"/>
    </row>
    <row r="668">
      <c r="A668" s="3"/>
      <c r="B668" s="3"/>
      <c r="C668" s="3"/>
      <c r="D668" s="234"/>
      <c r="E668" s="3"/>
    </row>
    <row r="669">
      <c r="A669" s="3"/>
      <c r="B669" s="3"/>
      <c r="C669" s="3"/>
      <c r="D669" s="234"/>
      <c r="E669" s="3"/>
    </row>
    <row r="670">
      <c r="A670" s="3"/>
      <c r="B670" s="3"/>
      <c r="C670" s="3"/>
      <c r="D670" s="234"/>
      <c r="E670" s="3"/>
    </row>
    <row r="671">
      <c r="A671" s="3"/>
      <c r="B671" s="3"/>
      <c r="C671" s="3"/>
      <c r="D671" s="234"/>
      <c r="E671" s="3"/>
    </row>
    <row r="672">
      <c r="A672" s="3"/>
      <c r="B672" s="3"/>
      <c r="C672" s="3"/>
      <c r="D672" s="234"/>
      <c r="E672" s="3"/>
    </row>
    <row r="673">
      <c r="A673" s="3"/>
      <c r="B673" s="3"/>
      <c r="C673" s="3"/>
      <c r="D673" s="234"/>
      <c r="E673" s="3"/>
    </row>
    <row r="674">
      <c r="A674" s="3"/>
      <c r="B674" s="3"/>
      <c r="C674" s="3"/>
      <c r="D674" s="234"/>
      <c r="E674" s="3"/>
    </row>
    <row r="675">
      <c r="A675" s="3"/>
      <c r="B675" s="3"/>
      <c r="C675" s="3"/>
      <c r="D675" s="234"/>
      <c r="E675" s="3"/>
    </row>
    <row r="676">
      <c r="A676" s="3"/>
      <c r="B676" s="3"/>
      <c r="C676" s="3"/>
      <c r="D676" s="234"/>
      <c r="E676" s="3"/>
    </row>
    <row r="677">
      <c r="A677" s="3"/>
      <c r="B677" s="3"/>
      <c r="C677" s="3"/>
      <c r="D677" s="234"/>
      <c r="E677" s="3"/>
    </row>
    <row r="678">
      <c r="A678" s="3"/>
      <c r="B678" s="3"/>
      <c r="C678" s="3"/>
      <c r="D678" s="234"/>
      <c r="E678" s="3"/>
    </row>
    <row r="679">
      <c r="A679" s="3"/>
      <c r="B679" s="3"/>
      <c r="C679" s="3"/>
      <c r="D679" s="234"/>
      <c r="E679" s="3"/>
    </row>
    <row r="680">
      <c r="A680" s="3"/>
      <c r="B680" s="3"/>
      <c r="C680" s="3"/>
      <c r="D680" s="234"/>
      <c r="E680" s="3"/>
    </row>
    <row r="681">
      <c r="A681" s="3"/>
      <c r="B681" s="3"/>
      <c r="C681" s="3"/>
      <c r="D681" s="234"/>
      <c r="E681" s="3"/>
    </row>
    <row r="682">
      <c r="A682" s="3"/>
      <c r="B682" s="3"/>
      <c r="C682" s="3"/>
      <c r="D682" s="234"/>
      <c r="E682" s="3"/>
    </row>
    <row r="683">
      <c r="A683" s="3"/>
      <c r="B683" s="3"/>
      <c r="C683" s="3"/>
      <c r="D683" s="234"/>
      <c r="E683" s="3"/>
    </row>
    <row r="684">
      <c r="A684" s="3"/>
      <c r="B684" s="3"/>
      <c r="C684" s="3"/>
      <c r="D684" s="234"/>
      <c r="E684" s="3"/>
    </row>
    <row r="685">
      <c r="A685" s="3"/>
      <c r="B685" s="3"/>
      <c r="C685" s="3"/>
      <c r="D685" s="234"/>
      <c r="E685" s="3"/>
    </row>
    <row r="686">
      <c r="A686" s="3"/>
      <c r="B686" s="3"/>
      <c r="C686" s="3"/>
      <c r="D686" s="234"/>
      <c r="E686" s="3"/>
    </row>
    <row r="687">
      <c r="A687" s="3"/>
      <c r="B687" s="3"/>
      <c r="C687" s="3"/>
      <c r="D687" s="234"/>
      <c r="E687" s="3"/>
    </row>
    <row r="688">
      <c r="A688" s="3"/>
      <c r="B688" s="3"/>
      <c r="C688" s="3"/>
      <c r="D688" s="234"/>
      <c r="E688" s="3"/>
    </row>
    <row r="689">
      <c r="A689" s="3"/>
      <c r="B689" s="3"/>
      <c r="C689" s="3"/>
      <c r="D689" s="234"/>
      <c r="E689" s="3"/>
    </row>
    <row r="690">
      <c r="A690" s="3"/>
      <c r="B690" s="3"/>
      <c r="C690" s="3"/>
      <c r="D690" s="234"/>
      <c r="E690" s="3"/>
    </row>
    <row r="691">
      <c r="A691" s="3"/>
      <c r="B691" s="3"/>
      <c r="C691" s="3"/>
      <c r="D691" s="234"/>
      <c r="E691" s="3"/>
    </row>
    <row r="692">
      <c r="A692" s="3"/>
      <c r="B692" s="3"/>
      <c r="C692" s="3"/>
      <c r="D692" s="234"/>
      <c r="E692" s="3"/>
    </row>
    <row r="693">
      <c r="A693" s="3"/>
      <c r="B693" s="3"/>
      <c r="C693" s="3"/>
      <c r="D693" s="234"/>
      <c r="E693" s="3"/>
    </row>
    <row r="694">
      <c r="A694" s="3"/>
      <c r="B694" s="3"/>
      <c r="C694" s="3"/>
      <c r="D694" s="234"/>
      <c r="E694" s="3"/>
    </row>
    <row r="695">
      <c r="A695" s="3"/>
      <c r="B695" s="3"/>
      <c r="C695" s="3"/>
      <c r="D695" s="234"/>
      <c r="E695" s="3"/>
    </row>
    <row r="696">
      <c r="A696" s="3"/>
      <c r="B696" s="3"/>
      <c r="C696" s="3"/>
      <c r="D696" s="234"/>
      <c r="E696" s="3"/>
    </row>
    <row r="697">
      <c r="A697" s="3"/>
      <c r="B697" s="3"/>
      <c r="C697" s="3"/>
      <c r="D697" s="234"/>
      <c r="E697" s="3"/>
    </row>
    <row r="698">
      <c r="A698" s="3"/>
      <c r="B698" s="3"/>
      <c r="C698" s="3"/>
      <c r="D698" s="234"/>
      <c r="E698" s="3"/>
    </row>
    <row r="699">
      <c r="A699" s="3"/>
      <c r="B699" s="3"/>
      <c r="C699" s="3"/>
      <c r="D699" s="234"/>
      <c r="E699" s="3"/>
    </row>
    <row r="700">
      <c r="A700" s="3"/>
      <c r="B700" s="3"/>
      <c r="C700" s="3"/>
      <c r="D700" s="234"/>
      <c r="E700" s="3"/>
    </row>
    <row r="701">
      <c r="A701" s="3"/>
      <c r="B701" s="3"/>
      <c r="C701" s="3"/>
      <c r="D701" s="234"/>
      <c r="E701" s="3"/>
    </row>
    <row r="702">
      <c r="A702" s="3"/>
      <c r="B702" s="3"/>
      <c r="C702" s="3"/>
      <c r="D702" s="234"/>
      <c r="E702" s="3"/>
    </row>
    <row r="703">
      <c r="A703" s="3"/>
      <c r="B703" s="3"/>
      <c r="C703" s="3"/>
      <c r="D703" s="234"/>
      <c r="E703" s="3"/>
    </row>
    <row r="704">
      <c r="A704" s="3"/>
      <c r="B704" s="3"/>
      <c r="C704" s="3"/>
      <c r="D704" s="234"/>
      <c r="E704" s="3"/>
    </row>
    <row r="705">
      <c r="A705" s="3"/>
      <c r="B705" s="3"/>
      <c r="C705" s="3"/>
      <c r="D705" s="234"/>
      <c r="E705" s="3"/>
    </row>
    <row r="706">
      <c r="A706" s="3"/>
      <c r="B706" s="3"/>
      <c r="C706" s="3"/>
      <c r="D706" s="234"/>
      <c r="E706" s="3"/>
    </row>
    <row r="707">
      <c r="A707" s="3"/>
      <c r="B707" s="3"/>
      <c r="C707" s="3"/>
      <c r="D707" s="234"/>
      <c r="E707" s="3"/>
    </row>
    <row r="708">
      <c r="A708" s="3"/>
      <c r="B708" s="3"/>
      <c r="C708" s="3"/>
      <c r="D708" s="234"/>
      <c r="E708" s="3"/>
    </row>
    <row r="709">
      <c r="A709" s="3"/>
      <c r="B709" s="3"/>
      <c r="C709" s="3"/>
      <c r="D709" s="234"/>
      <c r="E709" s="3"/>
    </row>
    <row r="710">
      <c r="A710" s="3"/>
      <c r="B710" s="3"/>
      <c r="C710" s="3"/>
      <c r="D710" s="234"/>
      <c r="E710" s="3"/>
    </row>
    <row r="711">
      <c r="A711" s="3"/>
      <c r="B711" s="3"/>
      <c r="C711" s="3"/>
      <c r="D711" s="234"/>
      <c r="E711" s="3"/>
    </row>
    <row r="712">
      <c r="A712" s="3"/>
      <c r="B712" s="3"/>
      <c r="C712" s="3"/>
      <c r="D712" s="234"/>
      <c r="E712" s="3"/>
    </row>
    <row r="713">
      <c r="A713" s="3"/>
      <c r="B713" s="3"/>
      <c r="C713" s="3"/>
      <c r="D713" s="234"/>
      <c r="E713" s="3"/>
    </row>
    <row r="714">
      <c r="A714" s="3"/>
      <c r="B714" s="3"/>
      <c r="C714" s="3"/>
      <c r="D714" s="234"/>
      <c r="E714" s="3"/>
    </row>
    <row r="715">
      <c r="A715" s="3"/>
      <c r="B715" s="3"/>
      <c r="C715" s="3"/>
      <c r="D715" s="234"/>
      <c r="E715" s="3"/>
    </row>
    <row r="716">
      <c r="A716" s="3"/>
      <c r="B716" s="3"/>
      <c r="C716" s="3"/>
      <c r="D716" s="234"/>
      <c r="E716" s="3"/>
    </row>
    <row r="717">
      <c r="A717" s="3"/>
      <c r="B717" s="3"/>
      <c r="C717" s="3"/>
      <c r="D717" s="234"/>
      <c r="E717" s="3"/>
    </row>
    <row r="718">
      <c r="A718" s="3"/>
      <c r="B718" s="3"/>
      <c r="C718" s="3"/>
      <c r="D718" s="234"/>
      <c r="E718" s="3"/>
    </row>
    <row r="719">
      <c r="A719" s="3"/>
      <c r="B719" s="3"/>
      <c r="C719" s="3"/>
      <c r="D719" s="234"/>
      <c r="E719" s="3"/>
    </row>
    <row r="720">
      <c r="A720" s="3"/>
      <c r="B720" s="3"/>
      <c r="C720" s="3"/>
      <c r="D720" s="234"/>
      <c r="E720" s="3"/>
    </row>
    <row r="721">
      <c r="A721" s="3"/>
      <c r="B721" s="3"/>
      <c r="C721" s="3"/>
      <c r="D721" s="234"/>
      <c r="E721" s="3"/>
    </row>
    <row r="722">
      <c r="A722" s="3"/>
      <c r="B722" s="3"/>
      <c r="C722" s="3"/>
      <c r="D722" s="234"/>
      <c r="E722" s="3"/>
    </row>
    <row r="723">
      <c r="A723" s="3"/>
      <c r="B723" s="3"/>
      <c r="C723" s="3"/>
      <c r="D723" s="234"/>
      <c r="E723" s="3"/>
    </row>
    <row r="724">
      <c r="A724" s="3"/>
      <c r="B724" s="3"/>
      <c r="C724" s="3"/>
      <c r="D724" s="234"/>
      <c r="E724" s="3"/>
    </row>
    <row r="725">
      <c r="A725" s="3"/>
      <c r="B725" s="3"/>
      <c r="C725" s="3"/>
      <c r="D725" s="234"/>
      <c r="E725" s="3"/>
    </row>
    <row r="726">
      <c r="A726" s="3"/>
      <c r="B726" s="3"/>
      <c r="C726" s="3"/>
      <c r="D726" s="234"/>
      <c r="E726" s="3"/>
    </row>
    <row r="727">
      <c r="A727" s="3"/>
      <c r="B727" s="3"/>
      <c r="C727" s="3"/>
      <c r="D727" s="234"/>
      <c r="E727" s="3"/>
    </row>
    <row r="728">
      <c r="A728" s="3"/>
      <c r="B728" s="3"/>
      <c r="C728" s="3"/>
      <c r="D728" s="234"/>
      <c r="E728" s="3"/>
    </row>
    <row r="729">
      <c r="A729" s="3"/>
      <c r="B729" s="3"/>
      <c r="C729" s="3"/>
      <c r="D729" s="234"/>
      <c r="E729" s="3"/>
    </row>
    <row r="730">
      <c r="A730" s="3"/>
      <c r="B730" s="3"/>
      <c r="C730" s="3"/>
      <c r="D730" s="234"/>
      <c r="E730" s="3"/>
    </row>
    <row r="731">
      <c r="A731" s="3"/>
      <c r="B731" s="3"/>
      <c r="C731" s="3"/>
      <c r="D731" s="234"/>
      <c r="E731" s="3"/>
    </row>
    <row r="732">
      <c r="A732" s="3"/>
      <c r="B732" s="3"/>
      <c r="C732" s="3"/>
      <c r="D732" s="234"/>
      <c r="E732" s="3"/>
    </row>
    <row r="733">
      <c r="A733" s="3"/>
      <c r="B733" s="3"/>
      <c r="C733" s="3"/>
      <c r="D733" s="234"/>
      <c r="E733" s="3"/>
    </row>
    <row r="734">
      <c r="A734" s="3"/>
      <c r="B734" s="3"/>
      <c r="C734" s="3"/>
      <c r="D734" s="234"/>
      <c r="E734" s="3"/>
    </row>
    <row r="735">
      <c r="A735" s="3"/>
      <c r="B735" s="3"/>
      <c r="C735" s="3"/>
      <c r="D735" s="234"/>
      <c r="E735" s="3"/>
    </row>
    <row r="736">
      <c r="A736" s="3"/>
      <c r="B736" s="3"/>
      <c r="C736" s="3"/>
      <c r="D736" s="234"/>
      <c r="E736" s="3"/>
    </row>
    <row r="737">
      <c r="A737" s="3"/>
      <c r="B737" s="3"/>
      <c r="C737" s="3"/>
      <c r="D737" s="234"/>
      <c r="E737" s="3"/>
    </row>
    <row r="738">
      <c r="A738" s="3"/>
      <c r="B738" s="3"/>
      <c r="C738" s="3"/>
      <c r="D738" s="234"/>
      <c r="E738" s="3"/>
    </row>
    <row r="739">
      <c r="A739" s="3"/>
      <c r="B739" s="3"/>
      <c r="C739" s="3"/>
      <c r="D739" s="234"/>
      <c r="E739" s="3"/>
    </row>
    <row r="740">
      <c r="A740" s="3"/>
      <c r="B740" s="3"/>
      <c r="C740" s="3"/>
      <c r="D740" s="234"/>
      <c r="E740" s="3"/>
    </row>
    <row r="741">
      <c r="A741" s="3"/>
      <c r="B741" s="3"/>
      <c r="C741" s="3"/>
      <c r="D741" s="234"/>
      <c r="E741" s="3"/>
    </row>
    <row r="742">
      <c r="A742" s="3"/>
      <c r="B742" s="3"/>
      <c r="C742" s="3"/>
      <c r="D742" s="234"/>
      <c r="E742" s="3"/>
    </row>
    <row r="743">
      <c r="A743" s="3"/>
      <c r="B743" s="3"/>
      <c r="C743" s="3"/>
      <c r="D743" s="234"/>
      <c r="E743" s="3"/>
    </row>
    <row r="744">
      <c r="A744" s="3"/>
      <c r="B744" s="3"/>
      <c r="C744" s="3"/>
      <c r="D744" s="234"/>
      <c r="E744" s="3"/>
    </row>
    <row r="745">
      <c r="A745" s="3"/>
      <c r="B745" s="3"/>
      <c r="C745" s="3"/>
      <c r="D745" s="234"/>
      <c r="E745" s="3"/>
    </row>
    <row r="746">
      <c r="A746" s="3"/>
      <c r="B746" s="3"/>
      <c r="C746" s="3"/>
      <c r="D746" s="234"/>
      <c r="E746" s="3"/>
    </row>
    <row r="747">
      <c r="A747" s="3"/>
      <c r="B747" s="3"/>
      <c r="C747" s="3"/>
      <c r="D747" s="234"/>
      <c r="E747" s="3"/>
    </row>
    <row r="748">
      <c r="A748" s="3"/>
      <c r="B748" s="3"/>
      <c r="C748" s="3"/>
      <c r="D748" s="234"/>
      <c r="E748" s="3"/>
    </row>
    <row r="749">
      <c r="A749" s="3"/>
      <c r="B749" s="3"/>
      <c r="C749" s="3"/>
      <c r="D749" s="234"/>
      <c r="E749" s="3"/>
    </row>
    <row r="750">
      <c r="A750" s="3"/>
      <c r="B750" s="3"/>
      <c r="C750" s="3"/>
      <c r="D750" s="234"/>
      <c r="E750" s="3"/>
    </row>
    <row r="751">
      <c r="A751" s="3"/>
      <c r="B751" s="3"/>
      <c r="C751" s="3"/>
      <c r="D751" s="234"/>
      <c r="E751" s="3"/>
    </row>
    <row r="752">
      <c r="A752" s="3"/>
      <c r="B752" s="3"/>
      <c r="C752" s="3"/>
      <c r="D752" s="234"/>
      <c r="E752" s="3"/>
    </row>
    <row r="753">
      <c r="A753" s="3"/>
      <c r="B753" s="3"/>
      <c r="C753" s="3"/>
      <c r="D753" s="234"/>
      <c r="E753" s="3"/>
    </row>
    <row r="754">
      <c r="A754" s="3"/>
      <c r="B754" s="3"/>
      <c r="C754" s="3"/>
      <c r="D754" s="234"/>
      <c r="E754" s="3"/>
    </row>
    <row r="755">
      <c r="A755" s="3"/>
      <c r="B755" s="3"/>
      <c r="C755" s="3"/>
      <c r="D755" s="234"/>
      <c r="E755" s="3"/>
    </row>
    <row r="756">
      <c r="A756" s="3"/>
      <c r="B756" s="3"/>
      <c r="C756" s="3"/>
      <c r="D756" s="234"/>
      <c r="E756" s="3"/>
    </row>
    <row r="757">
      <c r="A757" s="3"/>
      <c r="B757" s="3"/>
      <c r="C757" s="3"/>
      <c r="D757" s="234"/>
      <c r="E757" s="3"/>
    </row>
    <row r="758">
      <c r="A758" s="3"/>
      <c r="B758" s="3"/>
      <c r="C758" s="3"/>
      <c r="D758" s="234"/>
      <c r="E758" s="3"/>
    </row>
    <row r="759">
      <c r="A759" s="3"/>
      <c r="B759" s="3"/>
      <c r="C759" s="3"/>
      <c r="D759" s="234"/>
      <c r="E759" s="3"/>
    </row>
    <row r="760">
      <c r="A760" s="3"/>
      <c r="B760" s="3"/>
      <c r="C760" s="3"/>
      <c r="D760" s="234"/>
      <c r="E760" s="3"/>
    </row>
    <row r="761">
      <c r="A761" s="3"/>
      <c r="B761" s="3"/>
      <c r="C761" s="3"/>
      <c r="D761" s="234"/>
      <c r="E761" s="3"/>
    </row>
    <row r="762">
      <c r="A762" s="3"/>
      <c r="B762" s="3"/>
      <c r="C762" s="3"/>
      <c r="D762" s="234"/>
      <c r="E762" s="3"/>
    </row>
    <row r="763">
      <c r="A763" s="3"/>
      <c r="B763" s="3"/>
      <c r="C763" s="3"/>
      <c r="D763" s="234"/>
      <c r="E763" s="3"/>
    </row>
    <row r="764">
      <c r="A764" s="3"/>
      <c r="B764" s="3"/>
      <c r="C764" s="3"/>
      <c r="D764" s="234"/>
      <c r="E764" s="3"/>
    </row>
    <row r="765">
      <c r="A765" s="3"/>
      <c r="B765" s="3"/>
      <c r="C765" s="3"/>
      <c r="D765" s="234"/>
      <c r="E765" s="3"/>
    </row>
    <row r="766">
      <c r="A766" s="3"/>
      <c r="B766" s="3"/>
      <c r="C766" s="3"/>
      <c r="D766" s="234"/>
      <c r="E766" s="3"/>
    </row>
    <row r="767">
      <c r="A767" s="3"/>
      <c r="B767" s="3"/>
      <c r="C767" s="3"/>
      <c r="D767" s="234"/>
      <c r="E767" s="3"/>
    </row>
    <row r="768">
      <c r="A768" s="3"/>
      <c r="B768" s="3"/>
      <c r="C768" s="3"/>
      <c r="D768" s="234"/>
      <c r="E768" s="3"/>
    </row>
    <row r="769">
      <c r="A769" s="3"/>
      <c r="B769" s="3"/>
      <c r="C769" s="3"/>
      <c r="D769" s="234"/>
      <c r="E769" s="3"/>
    </row>
    <row r="770">
      <c r="A770" s="3"/>
      <c r="B770" s="3"/>
      <c r="C770" s="3"/>
      <c r="D770" s="234"/>
      <c r="E770" s="3"/>
    </row>
    <row r="771">
      <c r="A771" s="3"/>
      <c r="B771" s="3"/>
      <c r="C771" s="3"/>
      <c r="D771" s="234"/>
      <c r="E771" s="3"/>
    </row>
    <row r="772">
      <c r="A772" s="3"/>
      <c r="B772" s="3"/>
      <c r="C772" s="3"/>
      <c r="D772" s="234"/>
      <c r="E772" s="3"/>
    </row>
    <row r="773">
      <c r="A773" s="3"/>
      <c r="B773" s="3"/>
      <c r="C773" s="3"/>
      <c r="D773" s="234"/>
      <c r="E773" s="3"/>
    </row>
    <row r="774">
      <c r="A774" s="3"/>
      <c r="B774" s="3"/>
      <c r="C774" s="3"/>
      <c r="D774" s="234"/>
      <c r="E774" s="3"/>
    </row>
    <row r="775">
      <c r="A775" s="3"/>
      <c r="B775" s="3"/>
      <c r="C775" s="3"/>
      <c r="D775" s="234"/>
      <c r="E775" s="3"/>
    </row>
    <row r="776">
      <c r="A776" s="3"/>
      <c r="B776" s="3"/>
      <c r="C776" s="3"/>
      <c r="D776" s="234"/>
      <c r="E776" s="3"/>
    </row>
    <row r="777">
      <c r="A777" s="3"/>
      <c r="B777" s="3"/>
      <c r="C777" s="3"/>
      <c r="D777" s="234"/>
      <c r="E777" s="3"/>
    </row>
    <row r="778">
      <c r="A778" s="3"/>
      <c r="B778" s="3"/>
      <c r="C778" s="3"/>
      <c r="D778" s="234"/>
      <c r="E778" s="3"/>
    </row>
    <row r="779">
      <c r="A779" s="3"/>
      <c r="B779" s="3"/>
      <c r="C779" s="3"/>
      <c r="D779" s="234"/>
      <c r="E779" s="3"/>
    </row>
    <row r="780">
      <c r="A780" s="3"/>
      <c r="B780" s="3"/>
      <c r="C780" s="3"/>
      <c r="D780" s="234"/>
      <c r="E780" s="3"/>
    </row>
    <row r="781">
      <c r="A781" s="3"/>
      <c r="B781" s="3"/>
      <c r="C781" s="3"/>
      <c r="D781" s="234"/>
      <c r="E781" s="3"/>
    </row>
    <row r="782">
      <c r="A782" s="3"/>
      <c r="B782" s="3"/>
      <c r="C782" s="3"/>
      <c r="D782" s="234"/>
      <c r="E782" s="3"/>
    </row>
    <row r="783">
      <c r="A783" s="3"/>
      <c r="B783" s="3"/>
      <c r="C783" s="3"/>
      <c r="D783" s="234"/>
      <c r="E783" s="3"/>
    </row>
    <row r="784">
      <c r="A784" s="3"/>
      <c r="B784" s="3"/>
      <c r="C784" s="3"/>
      <c r="D784" s="234"/>
      <c r="E784" s="3"/>
    </row>
    <row r="785">
      <c r="A785" s="3"/>
      <c r="B785" s="3"/>
      <c r="C785" s="3"/>
      <c r="D785" s="234"/>
      <c r="E785" s="3"/>
    </row>
    <row r="786">
      <c r="A786" s="3"/>
      <c r="B786" s="3"/>
      <c r="C786" s="3"/>
      <c r="D786" s="234"/>
      <c r="E786" s="3"/>
    </row>
    <row r="787">
      <c r="A787" s="3"/>
      <c r="B787" s="3"/>
      <c r="C787" s="3"/>
      <c r="D787" s="234"/>
      <c r="E787" s="3"/>
    </row>
    <row r="788">
      <c r="A788" s="3"/>
      <c r="B788" s="3"/>
      <c r="C788" s="3"/>
      <c r="D788" s="234"/>
      <c r="E788" s="3"/>
    </row>
    <row r="789">
      <c r="A789" s="3"/>
      <c r="B789" s="3"/>
      <c r="C789" s="3"/>
      <c r="D789" s="234"/>
      <c r="E789" s="3"/>
    </row>
    <row r="790">
      <c r="A790" s="3"/>
      <c r="B790" s="3"/>
      <c r="C790" s="3"/>
      <c r="D790" s="234"/>
      <c r="E790" s="3"/>
    </row>
    <row r="791">
      <c r="A791" s="3"/>
      <c r="B791" s="3"/>
      <c r="C791" s="3"/>
      <c r="D791" s="234"/>
      <c r="E791" s="3"/>
    </row>
    <row r="792">
      <c r="A792" s="3"/>
      <c r="B792" s="3"/>
      <c r="C792" s="3"/>
      <c r="D792" s="234"/>
      <c r="E792" s="3"/>
    </row>
    <row r="793">
      <c r="A793" s="3"/>
      <c r="B793" s="3"/>
      <c r="C793" s="3"/>
      <c r="D793" s="234"/>
      <c r="E793" s="3"/>
    </row>
    <row r="794">
      <c r="A794" s="3"/>
      <c r="B794" s="3"/>
      <c r="C794" s="3"/>
      <c r="D794" s="234"/>
      <c r="E794" s="3"/>
    </row>
    <row r="795">
      <c r="A795" s="3"/>
      <c r="B795" s="3"/>
      <c r="C795" s="3"/>
      <c r="D795" s="234"/>
      <c r="E795" s="3"/>
    </row>
    <row r="796">
      <c r="A796" s="3"/>
      <c r="B796" s="3"/>
      <c r="C796" s="3"/>
      <c r="D796" s="234"/>
      <c r="E796" s="3"/>
    </row>
    <row r="797">
      <c r="A797" s="3"/>
      <c r="B797" s="3"/>
      <c r="C797" s="3"/>
      <c r="D797" s="234"/>
      <c r="E797" s="3"/>
    </row>
    <row r="798">
      <c r="A798" s="3"/>
      <c r="B798" s="3"/>
      <c r="C798" s="3"/>
      <c r="D798" s="234"/>
      <c r="E798" s="3"/>
    </row>
    <row r="799">
      <c r="A799" s="3"/>
      <c r="B799" s="3"/>
      <c r="C799" s="3"/>
      <c r="D799" s="234"/>
      <c r="E799" s="3"/>
    </row>
    <row r="800">
      <c r="A800" s="3"/>
      <c r="B800" s="3"/>
      <c r="C800" s="3"/>
      <c r="D800" s="234"/>
      <c r="E800" s="3"/>
    </row>
    <row r="801">
      <c r="A801" s="3"/>
      <c r="B801" s="3"/>
      <c r="C801" s="3"/>
      <c r="D801" s="234"/>
      <c r="E801" s="3"/>
    </row>
    <row r="802">
      <c r="A802" s="3"/>
      <c r="B802" s="3"/>
      <c r="C802" s="3"/>
      <c r="D802" s="234"/>
      <c r="E802" s="3"/>
    </row>
    <row r="803">
      <c r="A803" s="3"/>
      <c r="B803" s="3"/>
      <c r="C803" s="3"/>
      <c r="D803" s="234"/>
      <c r="E803" s="3"/>
    </row>
    <row r="804">
      <c r="A804" s="3"/>
      <c r="B804" s="3"/>
      <c r="C804" s="3"/>
      <c r="D804" s="234"/>
      <c r="E804" s="3"/>
    </row>
    <row r="805">
      <c r="A805" s="3"/>
      <c r="B805" s="3"/>
      <c r="C805" s="3"/>
      <c r="D805" s="234"/>
      <c r="E805" s="3"/>
    </row>
    <row r="806">
      <c r="A806" s="3"/>
      <c r="B806" s="3"/>
      <c r="C806" s="3"/>
      <c r="D806" s="234"/>
      <c r="E806" s="3"/>
    </row>
    <row r="807">
      <c r="A807" s="3"/>
      <c r="B807" s="3"/>
      <c r="C807" s="3"/>
      <c r="D807" s="234"/>
      <c r="E807" s="3"/>
    </row>
    <row r="808">
      <c r="A808" s="3"/>
      <c r="B808" s="3"/>
      <c r="C808" s="3"/>
      <c r="D808" s="234"/>
      <c r="E808" s="3"/>
    </row>
    <row r="809">
      <c r="A809" s="3"/>
      <c r="B809" s="3"/>
      <c r="C809" s="3"/>
      <c r="D809" s="234"/>
      <c r="E809" s="3"/>
    </row>
    <row r="810">
      <c r="A810" s="3"/>
      <c r="B810" s="3"/>
      <c r="C810" s="3"/>
      <c r="D810" s="234"/>
      <c r="E810" s="3"/>
    </row>
    <row r="811">
      <c r="A811" s="3"/>
      <c r="B811" s="3"/>
      <c r="C811" s="3"/>
      <c r="D811" s="234"/>
      <c r="E811" s="3"/>
    </row>
    <row r="812">
      <c r="A812" s="3"/>
      <c r="B812" s="3"/>
      <c r="C812" s="3"/>
      <c r="D812" s="234"/>
      <c r="E812" s="3"/>
    </row>
    <row r="813">
      <c r="A813" s="3"/>
      <c r="B813" s="3"/>
      <c r="C813" s="3"/>
      <c r="D813" s="234"/>
      <c r="E813" s="3"/>
    </row>
    <row r="814">
      <c r="A814" s="3"/>
      <c r="B814" s="3"/>
      <c r="C814" s="3"/>
      <c r="D814" s="234"/>
      <c r="E814" s="3"/>
    </row>
    <row r="815">
      <c r="A815" s="3"/>
      <c r="B815" s="3"/>
      <c r="C815" s="3"/>
      <c r="D815" s="234"/>
      <c r="E815" s="3"/>
    </row>
    <row r="816">
      <c r="A816" s="3"/>
      <c r="B816" s="3"/>
      <c r="C816" s="3"/>
      <c r="D816" s="234"/>
      <c r="E816" s="3"/>
    </row>
    <row r="817">
      <c r="A817" s="3"/>
      <c r="B817" s="3"/>
      <c r="C817" s="3"/>
      <c r="D817" s="234"/>
      <c r="E817" s="3"/>
    </row>
    <row r="818">
      <c r="A818" s="3"/>
      <c r="B818" s="3"/>
      <c r="C818" s="3"/>
      <c r="D818" s="234"/>
      <c r="E818" s="3"/>
    </row>
    <row r="819">
      <c r="A819" s="3"/>
      <c r="B819" s="3"/>
      <c r="C819" s="3"/>
      <c r="D819" s="234"/>
      <c r="E819" s="3"/>
    </row>
    <row r="820">
      <c r="A820" s="3"/>
      <c r="B820" s="3"/>
      <c r="C820" s="3"/>
      <c r="D820" s="234"/>
      <c r="E820" s="3"/>
    </row>
    <row r="821">
      <c r="A821" s="3"/>
      <c r="B821" s="3"/>
      <c r="C821" s="3"/>
      <c r="D821" s="234"/>
      <c r="E821" s="3"/>
    </row>
    <row r="822">
      <c r="A822" s="3"/>
      <c r="B822" s="3"/>
      <c r="C822" s="3"/>
      <c r="D822" s="234"/>
      <c r="E822" s="3"/>
    </row>
    <row r="823">
      <c r="A823" s="3"/>
      <c r="B823" s="3"/>
      <c r="C823" s="3"/>
      <c r="D823" s="234"/>
      <c r="E823" s="3"/>
    </row>
    <row r="824">
      <c r="A824" s="3"/>
      <c r="B824" s="3"/>
      <c r="C824" s="3"/>
      <c r="D824" s="234"/>
      <c r="E824" s="3"/>
    </row>
    <row r="825">
      <c r="A825" s="3"/>
      <c r="B825" s="3"/>
      <c r="C825" s="3"/>
      <c r="D825" s="234"/>
      <c r="E825" s="3"/>
    </row>
    <row r="826">
      <c r="A826" s="3"/>
      <c r="B826" s="3"/>
      <c r="C826" s="3"/>
      <c r="D826" s="234"/>
      <c r="E826" s="3"/>
    </row>
    <row r="827">
      <c r="A827" s="3"/>
      <c r="B827" s="3"/>
      <c r="C827" s="3"/>
      <c r="D827" s="234"/>
      <c r="E827" s="3"/>
    </row>
    <row r="828">
      <c r="A828" s="3"/>
      <c r="B828" s="3"/>
      <c r="C828" s="3"/>
      <c r="D828" s="234"/>
      <c r="E828" s="3"/>
    </row>
    <row r="829">
      <c r="A829" s="3"/>
      <c r="B829" s="3"/>
      <c r="C829" s="3"/>
      <c r="D829" s="234"/>
      <c r="E829" s="3"/>
    </row>
    <row r="830">
      <c r="A830" s="3"/>
      <c r="B830" s="3"/>
      <c r="C830" s="3"/>
      <c r="D830" s="234"/>
      <c r="E830" s="3"/>
    </row>
    <row r="831">
      <c r="A831" s="3"/>
      <c r="B831" s="3"/>
      <c r="C831" s="3"/>
      <c r="D831" s="234"/>
      <c r="E831" s="3"/>
    </row>
    <row r="832">
      <c r="A832" s="3"/>
      <c r="B832" s="3"/>
      <c r="C832" s="3"/>
      <c r="D832" s="234"/>
      <c r="E832" s="3"/>
    </row>
    <row r="833">
      <c r="A833" s="3"/>
      <c r="B833" s="3"/>
      <c r="C833" s="3"/>
      <c r="D833" s="234"/>
      <c r="E833" s="3"/>
    </row>
    <row r="834">
      <c r="A834" s="3"/>
      <c r="B834" s="3"/>
      <c r="C834" s="3"/>
      <c r="D834" s="234"/>
      <c r="E834" s="3"/>
    </row>
    <row r="835">
      <c r="A835" s="3"/>
      <c r="B835" s="3"/>
      <c r="C835" s="3"/>
      <c r="D835" s="234"/>
      <c r="E835" s="3"/>
    </row>
    <row r="836">
      <c r="A836" s="3"/>
      <c r="B836" s="3"/>
      <c r="C836" s="3"/>
      <c r="D836" s="234"/>
      <c r="E836" s="3"/>
    </row>
    <row r="837">
      <c r="A837" s="3"/>
      <c r="B837" s="3"/>
      <c r="C837" s="3"/>
      <c r="D837" s="234"/>
      <c r="E837" s="3"/>
    </row>
    <row r="838">
      <c r="A838" s="3"/>
      <c r="B838" s="3"/>
      <c r="C838" s="3"/>
      <c r="D838" s="234"/>
      <c r="E838" s="3"/>
    </row>
    <row r="839">
      <c r="A839" s="3"/>
      <c r="B839" s="3"/>
      <c r="C839" s="3"/>
      <c r="D839" s="234"/>
      <c r="E839" s="3"/>
    </row>
    <row r="840">
      <c r="A840" s="3"/>
      <c r="B840" s="3"/>
      <c r="C840" s="3"/>
      <c r="D840" s="234"/>
      <c r="E840" s="3"/>
    </row>
    <row r="841">
      <c r="A841" s="3"/>
      <c r="B841" s="3"/>
      <c r="C841" s="3"/>
      <c r="D841" s="234"/>
      <c r="E841" s="3"/>
    </row>
    <row r="842">
      <c r="A842" s="3"/>
      <c r="B842" s="3"/>
      <c r="C842" s="3"/>
      <c r="D842" s="234"/>
      <c r="E842" s="3"/>
    </row>
    <row r="843">
      <c r="A843" s="3"/>
      <c r="B843" s="3"/>
      <c r="C843" s="3"/>
      <c r="D843" s="234"/>
      <c r="E843" s="3"/>
    </row>
    <row r="844">
      <c r="A844" s="3"/>
      <c r="B844" s="3"/>
      <c r="C844" s="3"/>
      <c r="D844" s="234"/>
      <c r="E844" s="3"/>
    </row>
    <row r="845">
      <c r="A845" s="3"/>
      <c r="B845" s="3"/>
      <c r="C845" s="3"/>
      <c r="D845" s="234"/>
      <c r="E845" s="3"/>
    </row>
    <row r="846">
      <c r="A846" s="3"/>
      <c r="B846" s="3"/>
      <c r="C846" s="3"/>
      <c r="D846" s="234"/>
      <c r="E846" s="3"/>
    </row>
    <row r="847">
      <c r="A847" s="3"/>
      <c r="B847" s="3"/>
      <c r="C847" s="3"/>
      <c r="D847" s="234"/>
      <c r="E847" s="3"/>
    </row>
    <row r="848">
      <c r="A848" s="3"/>
      <c r="B848" s="3"/>
      <c r="C848" s="3"/>
      <c r="D848" s="234"/>
      <c r="E848" s="3"/>
    </row>
    <row r="849">
      <c r="A849" s="3"/>
      <c r="B849" s="3"/>
      <c r="C849" s="3"/>
      <c r="D849" s="234"/>
      <c r="E849" s="3"/>
    </row>
    <row r="850">
      <c r="A850" s="3"/>
      <c r="B850" s="3"/>
      <c r="C850" s="3"/>
      <c r="D850" s="234"/>
      <c r="E850" s="3"/>
    </row>
    <row r="851">
      <c r="A851" s="3"/>
      <c r="B851" s="3"/>
      <c r="C851" s="3"/>
      <c r="D851" s="234"/>
      <c r="E851" s="3"/>
    </row>
    <row r="852">
      <c r="A852" s="3"/>
      <c r="B852" s="3"/>
      <c r="C852" s="3"/>
      <c r="D852" s="234"/>
      <c r="E852" s="3"/>
    </row>
    <row r="853">
      <c r="A853" s="3"/>
      <c r="B853" s="3"/>
      <c r="C853" s="3"/>
      <c r="D853" s="234"/>
      <c r="E853" s="3"/>
    </row>
    <row r="854">
      <c r="A854" s="3"/>
      <c r="B854" s="3"/>
      <c r="C854" s="3"/>
      <c r="D854" s="234"/>
      <c r="E854" s="3"/>
    </row>
    <row r="855">
      <c r="A855" s="3"/>
      <c r="B855" s="3"/>
      <c r="C855" s="3"/>
      <c r="D855" s="234"/>
      <c r="E855" s="3"/>
    </row>
    <row r="856">
      <c r="A856" s="3"/>
      <c r="B856" s="3"/>
      <c r="C856" s="3"/>
      <c r="D856" s="234"/>
      <c r="E856" s="3"/>
    </row>
    <row r="857">
      <c r="A857" s="3"/>
      <c r="B857" s="3"/>
      <c r="C857" s="3"/>
      <c r="D857" s="234"/>
      <c r="E857" s="3"/>
    </row>
    <row r="858">
      <c r="A858" s="3"/>
      <c r="B858" s="3"/>
      <c r="C858" s="3"/>
      <c r="D858" s="234"/>
      <c r="E858" s="3"/>
    </row>
    <row r="859">
      <c r="A859" s="3"/>
      <c r="B859" s="3"/>
      <c r="C859" s="3"/>
      <c r="D859" s="234"/>
      <c r="E859" s="3"/>
    </row>
    <row r="860">
      <c r="A860" s="3"/>
      <c r="B860" s="3"/>
      <c r="C860" s="3"/>
      <c r="D860" s="234"/>
      <c r="E860" s="3"/>
    </row>
    <row r="861">
      <c r="A861" s="3"/>
      <c r="B861" s="3"/>
      <c r="C861" s="3"/>
      <c r="D861" s="234"/>
      <c r="E861" s="3"/>
    </row>
    <row r="862">
      <c r="A862" s="3"/>
      <c r="B862" s="3"/>
      <c r="C862" s="3"/>
      <c r="D862" s="234"/>
      <c r="E862" s="3"/>
    </row>
    <row r="863">
      <c r="A863" s="3"/>
      <c r="B863" s="3"/>
      <c r="C863" s="3"/>
      <c r="D863" s="234"/>
      <c r="E863" s="3"/>
    </row>
    <row r="864">
      <c r="A864" s="3"/>
      <c r="B864" s="3"/>
      <c r="C864" s="3"/>
      <c r="D864" s="234"/>
      <c r="E864" s="3"/>
    </row>
    <row r="865">
      <c r="A865" s="3"/>
      <c r="B865" s="3"/>
      <c r="C865" s="3"/>
      <c r="D865" s="234"/>
      <c r="E865" s="3"/>
    </row>
    <row r="866">
      <c r="A866" s="3"/>
      <c r="B866" s="3"/>
      <c r="C866" s="3"/>
      <c r="D866" s="234"/>
      <c r="E866" s="3"/>
    </row>
    <row r="867">
      <c r="A867" s="3"/>
      <c r="B867" s="3"/>
      <c r="C867" s="3"/>
      <c r="D867" s="234"/>
      <c r="E867" s="3"/>
    </row>
    <row r="868">
      <c r="A868" s="3"/>
      <c r="B868" s="3"/>
      <c r="C868" s="3"/>
      <c r="D868" s="234"/>
      <c r="E868" s="3"/>
    </row>
    <row r="869">
      <c r="A869" s="3"/>
      <c r="B869" s="3"/>
      <c r="C869" s="3"/>
      <c r="D869" s="234"/>
      <c r="E869" s="3"/>
    </row>
    <row r="870">
      <c r="A870" s="3"/>
      <c r="B870" s="3"/>
      <c r="C870" s="3"/>
      <c r="D870" s="234"/>
      <c r="E870" s="3"/>
    </row>
    <row r="871">
      <c r="A871" s="3"/>
      <c r="B871" s="3"/>
      <c r="C871" s="3"/>
      <c r="D871" s="234"/>
      <c r="E871" s="3"/>
    </row>
    <row r="872">
      <c r="A872" s="3"/>
      <c r="B872" s="3"/>
      <c r="C872" s="3"/>
      <c r="D872" s="234"/>
      <c r="E872" s="3"/>
    </row>
    <row r="873">
      <c r="A873" s="3"/>
      <c r="B873" s="3"/>
      <c r="C873" s="3"/>
      <c r="D873" s="234"/>
      <c r="E873" s="3"/>
    </row>
    <row r="874">
      <c r="A874" s="3"/>
      <c r="B874" s="3"/>
      <c r="C874" s="3"/>
      <c r="D874" s="234"/>
      <c r="E874" s="3"/>
    </row>
    <row r="875">
      <c r="A875" s="3"/>
      <c r="B875" s="3"/>
      <c r="C875" s="3"/>
      <c r="D875" s="234"/>
      <c r="E875" s="3"/>
    </row>
    <row r="876">
      <c r="A876" s="3"/>
      <c r="B876" s="3"/>
      <c r="C876" s="3"/>
      <c r="D876" s="234"/>
      <c r="E876" s="3"/>
    </row>
    <row r="877">
      <c r="A877" s="3"/>
      <c r="B877" s="3"/>
      <c r="C877" s="3"/>
      <c r="D877" s="234"/>
      <c r="E877" s="3"/>
    </row>
    <row r="878">
      <c r="A878" s="3"/>
      <c r="B878" s="3"/>
      <c r="C878" s="3"/>
      <c r="D878" s="234"/>
      <c r="E878" s="3"/>
    </row>
    <row r="879">
      <c r="A879" s="3"/>
      <c r="B879" s="3"/>
      <c r="C879" s="3"/>
      <c r="D879" s="234"/>
      <c r="E879" s="3"/>
    </row>
    <row r="880">
      <c r="A880" s="3"/>
      <c r="B880" s="3"/>
      <c r="C880" s="3"/>
      <c r="D880" s="234"/>
      <c r="E880" s="3"/>
    </row>
    <row r="881">
      <c r="A881" s="3"/>
      <c r="B881" s="3"/>
      <c r="C881" s="3"/>
      <c r="D881" s="234"/>
      <c r="E881" s="3"/>
    </row>
    <row r="882">
      <c r="A882" s="3"/>
      <c r="B882" s="3"/>
      <c r="C882" s="3"/>
      <c r="D882" s="234"/>
      <c r="E882" s="3"/>
    </row>
    <row r="883">
      <c r="A883" s="3"/>
      <c r="B883" s="3"/>
      <c r="C883" s="3"/>
      <c r="D883" s="234"/>
      <c r="E883" s="3"/>
    </row>
    <row r="884">
      <c r="A884" s="3"/>
      <c r="B884" s="3"/>
      <c r="C884" s="3"/>
      <c r="D884" s="234"/>
      <c r="E884" s="3"/>
    </row>
    <row r="885">
      <c r="A885" s="3"/>
      <c r="B885" s="3"/>
      <c r="C885" s="3"/>
      <c r="D885" s="234"/>
      <c r="E885" s="3"/>
    </row>
    <row r="886">
      <c r="A886" s="3"/>
      <c r="B886" s="3"/>
      <c r="C886" s="3"/>
      <c r="D886" s="234"/>
      <c r="E886" s="3"/>
    </row>
    <row r="887">
      <c r="A887" s="3"/>
      <c r="B887" s="3"/>
      <c r="C887" s="3"/>
      <c r="D887" s="234"/>
      <c r="E887" s="3"/>
    </row>
    <row r="888">
      <c r="A888" s="3"/>
      <c r="B888" s="3"/>
      <c r="C888" s="3"/>
      <c r="D888" s="234"/>
      <c r="E888" s="3"/>
    </row>
    <row r="889">
      <c r="A889" s="3"/>
      <c r="B889" s="3"/>
      <c r="C889" s="3"/>
      <c r="D889" s="234"/>
      <c r="E889" s="3"/>
    </row>
    <row r="890">
      <c r="A890" s="3"/>
      <c r="B890" s="3"/>
      <c r="C890" s="3"/>
      <c r="D890" s="234"/>
      <c r="E890" s="3"/>
    </row>
    <row r="891">
      <c r="A891" s="3"/>
      <c r="B891" s="3"/>
      <c r="C891" s="3"/>
      <c r="D891" s="234"/>
      <c r="E891" s="3"/>
    </row>
    <row r="892">
      <c r="A892" s="3"/>
      <c r="B892" s="3"/>
      <c r="C892" s="3"/>
      <c r="D892" s="234"/>
      <c r="E892" s="3"/>
    </row>
    <row r="893">
      <c r="A893" s="3"/>
      <c r="B893" s="3"/>
      <c r="C893" s="3"/>
      <c r="D893" s="234"/>
      <c r="E893" s="3"/>
    </row>
    <row r="894">
      <c r="A894" s="3"/>
      <c r="B894" s="3"/>
      <c r="C894" s="3"/>
      <c r="D894" s="234"/>
      <c r="E894" s="3"/>
    </row>
    <row r="895">
      <c r="A895" s="3"/>
      <c r="B895" s="3"/>
      <c r="C895" s="3"/>
      <c r="D895" s="234"/>
      <c r="E895" s="3"/>
    </row>
    <row r="896">
      <c r="A896" s="3"/>
      <c r="B896" s="3"/>
      <c r="C896" s="3"/>
      <c r="D896" s="234"/>
      <c r="E896" s="3"/>
    </row>
    <row r="897">
      <c r="A897" s="3"/>
      <c r="B897" s="3"/>
      <c r="C897" s="3"/>
      <c r="D897" s="234"/>
      <c r="E897" s="3"/>
    </row>
    <row r="898">
      <c r="A898" s="3"/>
      <c r="B898" s="3"/>
      <c r="C898" s="3"/>
      <c r="D898" s="234"/>
      <c r="E898" s="3"/>
    </row>
    <row r="899">
      <c r="A899" s="3"/>
      <c r="B899" s="3"/>
      <c r="C899" s="3"/>
      <c r="D899" s="234"/>
      <c r="E899" s="3"/>
    </row>
    <row r="900">
      <c r="A900" s="3"/>
      <c r="B900" s="3"/>
      <c r="C900" s="3"/>
      <c r="D900" s="234"/>
      <c r="E900" s="3"/>
    </row>
    <row r="901">
      <c r="A901" s="3"/>
      <c r="B901" s="3"/>
      <c r="C901" s="3"/>
      <c r="D901" s="234"/>
      <c r="E901" s="3"/>
    </row>
    <row r="902">
      <c r="A902" s="3"/>
      <c r="B902" s="3"/>
      <c r="C902" s="3"/>
      <c r="D902" s="234"/>
      <c r="E902" s="3"/>
    </row>
    <row r="903">
      <c r="A903" s="3"/>
      <c r="B903" s="3"/>
      <c r="C903" s="3"/>
      <c r="D903" s="234"/>
      <c r="E903" s="3"/>
    </row>
    <row r="904">
      <c r="A904" s="3"/>
      <c r="B904" s="3"/>
      <c r="C904" s="3"/>
      <c r="D904" s="234"/>
      <c r="E904" s="3"/>
    </row>
    <row r="905">
      <c r="A905" s="3"/>
      <c r="B905" s="3"/>
      <c r="C905" s="3"/>
      <c r="D905" s="234"/>
      <c r="E905" s="3"/>
    </row>
    <row r="906">
      <c r="A906" s="3"/>
      <c r="B906" s="3"/>
      <c r="C906" s="3"/>
      <c r="D906" s="234"/>
      <c r="E906" s="3"/>
    </row>
    <row r="907">
      <c r="A907" s="3"/>
      <c r="B907" s="3"/>
      <c r="C907" s="3"/>
      <c r="D907" s="234"/>
      <c r="E907" s="3"/>
    </row>
    <row r="908">
      <c r="A908" s="3"/>
      <c r="B908" s="3"/>
      <c r="C908" s="3"/>
      <c r="D908" s="234"/>
      <c r="E908" s="3"/>
    </row>
    <row r="909">
      <c r="A909" s="3"/>
      <c r="B909" s="3"/>
      <c r="C909" s="3"/>
      <c r="D909" s="234"/>
      <c r="E909" s="3"/>
    </row>
    <row r="910">
      <c r="A910" s="3"/>
      <c r="B910" s="3"/>
      <c r="C910" s="3"/>
      <c r="D910" s="234"/>
      <c r="E910" s="3"/>
    </row>
    <row r="911">
      <c r="A911" s="3"/>
      <c r="B911" s="3"/>
      <c r="C911" s="3"/>
      <c r="D911" s="234"/>
      <c r="E911" s="3"/>
    </row>
    <row r="912">
      <c r="A912" s="3"/>
      <c r="B912" s="3"/>
      <c r="C912" s="3"/>
      <c r="D912" s="234"/>
      <c r="E912" s="3"/>
    </row>
    <row r="913">
      <c r="A913" s="3"/>
      <c r="B913" s="3"/>
      <c r="C913" s="3"/>
      <c r="D913" s="234"/>
      <c r="E913" s="3"/>
    </row>
    <row r="914">
      <c r="A914" s="3"/>
      <c r="B914" s="3"/>
      <c r="C914" s="3"/>
      <c r="D914" s="234"/>
      <c r="E914" s="3"/>
    </row>
    <row r="915">
      <c r="A915" s="3"/>
      <c r="B915" s="3"/>
      <c r="C915" s="3"/>
      <c r="D915" s="234"/>
      <c r="E915" s="3"/>
    </row>
    <row r="916">
      <c r="A916" s="3"/>
      <c r="B916" s="3"/>
      <c r="C916" s="3"/>
      <c r="D916" s="234"/>
      <c r="E916" s="3"/>
    </row>
    <row r="917">
      <c r="A917" s="3"/>
      <c r="B917" s="3"/>
      <c r="C917" s="3"/>
      <c r="D917" s="234"/>
      <c r="E917" s="3"/>
    </row>
    <row r="918">
      <c r="A918" s="3"/>
      <c r="B918" s="3"/>
      <c r="C918" s="3"/>
      <c r="D918" s="234"/>
      <c r="E918" s="3"/>
    </row>
    <row r="919">
      <c r="A919" s="3"/>
      <c r="B919" s="3"/>
      <c r="C919" s="3"/>
      <c r="D919" s="234"/>
      <c r="E919" s="3"/>
    </row>
    <row r="920">
      <c r="A920" s="3"/>
      <c r="B920" s="3"/>
      <c r="C920" s="3"/>
      <c r="D920" s="234"/>
      <c r="E920" s="3"/>
    </row>
    <row r="921">
      <c r="A921" s="3"/>
      <c r="B921" s="3"/>
      <c r="C921" s="3"/>
      <c r="D921" s="234"/>
      <c r="E921" s="3"/>
    </row>
    <row r="922">
      <c r="A922" s="3"/>
      <c r="B922" s="3"/>
      <c r="C922" s="3"/>
      <c r="D922" s="234"/>
      <c r="E922" s="3"/>
    </row>
    <row r="923">
      <c r="A923" s="3"/>
      <c r="B923" s="3"/>
      <c r="C923" s="3"/>
      <c r="D923" s="234"/>
      <c r="E923" s="3"/>
    </row>
    <row r="924">
      <c r="A924" s="3"/>
      <c r="B924" s="3"/>
      <c r="C924" s="3"/>
      <c r="D924" s="234"/>
      <c r="E924" s="3"/>
    </row>
    <row r="925">
      <c r="A925" s="3"/>
      <c r="B925" s="3"/>
      <c r="C925" s="3"/>
      <c r="D925" s="234"/>
      <c r="E925" s="3"/>
    </row>
    <row r="926">
      <c r="A926" s="3"/>
      <c r="B926" s="3"/>
      <c r="C926" s="3"/>
      <c r="D926" s="234"/>
      <c r="E926" s="3"/>
    </row>
    <row r="927">
      <c r="A927" s="3"/>
      <c r="B927" s="3"/>
      <c r="C927" s="3"/>
      <c r="D927" s="234"/>
      <c r="E927" s="3"/>
    </row>
    <row r="928">
      <c r="A928" s="3"/>
      <c r="B928" s="3"/>
      <c r="C928" s="3"/>
      <c r="D928" s="234"/>
      <c r="E928" s="3"/>
    </row>
    <row r="929">
      <c r="A929" s="3"/>
      <c r="B929" s="3"/>
      <c r="C929" s="3"/>
      <c r="D929" s="234"/>
      <c r="E929" s="3"/>
    </row>
    <row r="930">
      <c r="A930" s="3"/>
      <c r="B930" s="3"/>
      <c r="C930" s="3"/>
      <c r="D930" s="234"/>
      <c r="E930" s="3"/>
    </row>
    <row r="931">
      <c r="A931" s="3"/>
      <c r="B931" s="3"/>
      <c r="C931" s="3"/>
      <c r="D931" s="234"/>
      <c r="E931" s="3"/>
    </row>
    <row r="932">
      <c r="A932" s="3"/>
      <c r="B932" s="3"/>
      <c r="C932" s="3"/>
      <c r="D932" s="234"/>
      <c r="E932" s="3"/>
    </row>
    <row r="933">
      <c r="A933" s="3"/>
      <c r="B933" s="3"/>
      <c r="C933" s="3"/>
      <c r="D933" s="234"/>
      <c r="E933" s="3"/>
    </row>
    <row r="934">
      <c r="A934" s="3"/>
      <c r="B934" s="3"/>
      <c r="C934" s="3"/>
      <c r="D934" s="234"/>
      <c r="E934" s="3"/>
    </row>
    <row r="935">
      <c r="A935" s="3"/>
      <c r="B935" s="3"/>
      <c r="C935" s="3"/>
      <c r="D935" s="234"/>
      <c r="E935" s="3"/>
    </row>
    <row r="936">
      <c r="A936" s="3"/>
      <c r="B936" s="3"/>
      <c r="C936" s="3"/>
      <c r="D936" s="234"/>
      <c r="E936" s="3"/>
    </row>
    <row r="937">
      <c r="A937" s="3"/>
      <c r="B937" s="3"/>
      <c r="C937" s="3"/>
      <c r="D937" s="234"/>
      <c r="E937" s="3"/>
    </row>
    <row r="938">
      <c r="A938" s="3"/>
      <c r="B938" s="3"/>
      <c r="C938" s="3"/>
      <c r="D938" s="234"/>
      <c r="E938" s="3"/>
    </row>
    <row r="939">
      <c r="A939" s="3"/>
      <c r="B939" s="3"/>
      <c r="C939" s="3"/>
      <c r="D939" s="234"/>
      <c r="E939" s="3"/>
    </row>
    <row r="940">
      <c r="A940" s="3"/>
      <c r="B940" s="3"/>
      <c r="C940" s="3"/>
      <c r="D940" s="234"/>
      <c r="E940" s="3"/>
    </row>
    <row r="941">
      <c r="A941" s="3"/>
      <c r="B941" s="3"/>
      <c r="C941" s="3"/>
      <c r="D941" s="234"/>
      <c r="E941" s="3"/>
    </row>
    <row r="942">
      <c r="A942" s="3"/>
      <c r="B942" s="3"/>
      <c r="C942" s="3"/>
      <c r="D942" s="234"/>
      <c r="E942" s="3"/>
    </row>
    <row r="943">
      <c r="A943" s="3"/>
      <c r="B943" s="3"/>
      <c r="C943" s="3"/>
      <c r="D943" s="234"/>
      <c r="E943" s="3"/>
    </row>
    <row r="944">
      <c r="A944" s="3"/>
      <c r="B944" s="3"/>
      <c r="C944" s="3"/>
      <c r="D944" s="234"/>
      <c r="E944" s="3"/>
    </row>
    <row r="945">
      <c r="A945" s="3"/>
      <c r="B945" s="3"/>
      <c r="C945" s="3"/>
      <c r="D945" s="234"/>
      <c r="E945" s="3"/>
    </row>
    <row r="946">
      <c r="A946" s="3"/>
      <c r="B946" s="3"/>
      <c r="C946" s="3"/>
      <c r="D946" s="234"/>
      <c r="E946" s="3"/>
    </row>
    <row r="947">
      <c r="A947" s="3"/>
      <c r="B947" s="3"/>
      <c r="C947" s="3"/>
      <c r="D947" s="234"/>
      <c r="E947" s="3"/>
    </row>
    <row r="948">
      <c r="A948" s="3"/>
      <c r="B948" s="3"/>
      <c r="C948" s="3"/>
      <c r="D948" s="234"/>
      <c r="E948" s="3"/>
    </row>
    <row r="949">
      <c r="A949" s="3"/>
      <c r="B949" s="3"/>
      <c r="C949" s="3"/>
      <c r="D949" s="234"/>
      <c r="E949" s="3"/>
    </row>
    <row r="950">
      <c r="A950" s="3"/>
      <c r="B950" s="3"/>
      <c r="C950" s="3"/>
      <c r="D950" s="234"/>
      <c r="E950" s="3"/>
    </row>
    <row r="951">
      <c r="A951" s="3"/>
      <c r="B951" s="3"/>
      <c r="C951" s="3"/>
      <c r="D951" s="234"/>
      <c r="E951" s="3"/>
    </row>
    <row r="952">
      <c r="A952" s="3"/>
      <c r="B952" s="3"/>
      <c r="C952" s="3"/>
      <c r="D952" s="234"/>
      <c r="E952" s="3"/>
    </row>
    <row r="953">
      <c r="A953" s="3"/>
      <c r="B953" s="3"/>
      <c r="C953" s="3"/>
      <c r="D953" s="234"/>
      <c r="E953" s="3"/>
    </row>
    <row r="954">
      <c r="A954" s="3"/>
      <c r="B954" s="3"/>
      <c r="C954" s="3"/>
      <c r="D954" s="234"/>
      <c r="E954" s="3"/>
    </row>
    <row r="955">
      <c r="A955" s="3"/>
      <c r="B955" s="3"/>
      <c r="C955" s="3"/>
      <c r="D955" s="234"/>
      <c r="E955" s="3"/>
    </row>
    <row r="956">
      <c r="A956" s="3"/>
      <c r="B956" s="3"/>
      <c r="C956" s="3"/>
      <c r="D956" s="234"/>
      <c r="E956" s="3"/>
    </row>
    <row r="957">
      <c r="A957" s="3"/>
      <c r="B957" s="3"/>
      <c r="C957" s="3"/>
      <c r="D957" s="234"/>
      <c r="E957" s="3"/>
    </row>
    <row r="958">
      <c r="A958" s="3"/>
      <c r="B958" s="3"/>
      <c r="C958" s="3"/>
      <c r="D958" s="234"/>
      <c r="E958" s="3"/>
    </row>
    <row r="959">
      <c r="A959" s="3"/>
      <c r="B959" s="3"/>
      <c r="C959" s="3"/>
      <c r="D959" s="234"/>
      <c r="E959" s="3"/>
    </row>
    <row r="960">
      <c r="A960" s="3"/>
      <c r="B960" s="3"/>
      <c r="C960" s="3"/>
      <c r="D960" s="234"/>
      <c r="E960" s="3"/>
    </row>
    <row r="961">
      <c r="A961" s="3"/>
      <c r="B961" s="3"/>
      <c r="C961" s="3"/>
      <c r="D961" s="234"/>
      <c r="E961" s="3"/>
    </row>
    <row r="962">
      <c r="A962" s="3"/>
      <c r="B962" s="3"/>
      <c r="C962" s="3"/>
      <c r="D962" s="234"/>
      <c r="E962" s="3"/>
    </row>
    <row r="963">
      <c r="A963" s="3"/>
      <c r="B963" s="3"/>
      <c r="C963" s="3"/>
      <c r="D963" s="234"/>
      <c r="E963" s="3"/>
    </row>
    <row r="964">
      <c r="A964" s="3"/>
      <c r="B964" s="3"/>
      <c r="C964" s="3"/>
      <c r="D964" s="234"/>
      <c r="E964" s="3"/>
    </row>
    <row r="965">
      <c r="A965" s="3"/>
      <c r="B965" s="3"/>
      <c r="C965" s="3"/>
      <c r="D965" s="234"/>
      <c r="E965" s="3"/>
    </row>
    <row r="966">
      <c r="A966" s="3"/>
      <c r="B966" s="3"/>
      <c r="C966" s="3"/>
      <c r="D966" s="234"/>
      <c r="E966" s="3"/>
    </row>
    <row r="967">
      <c r="A967" s="3"/>
      <c r="B967" s="3"/>
      <c r="C967" s="3"/>
      <c r="D967" s="234"/>
      <c r="E967" s="3"/>
    </row>
    <row r="968">
      <c r="A968" s="3"/>
      <c r="B968" s="3"/>
      <c r="C968" s="3"/>
      <c r="D968" s="234"/>
      <c r="E968" s="3"/>
    </row>
    <row r="969">
      <c r="A969" s="3"/>
      <c r="B969" s="3"/>
      <c r="C969" s="3"/>
      <c r="D969" s="234"/>
      <c r="E969" s="3"/>
    </row>
    <row r="970">
      <c r="A970" s="3"/>
      <c r="B970" s="3"/>
      <c r="C970" s="3"/>
      <c r="D970" s="234"/>
      <c r="E970" s="3"/>
    </row>
    <row r="971">
      <c r="A971" s="3"/>
      <c r="B971" s="3"/>
      <c r="C971" s="3"/>
      <c r="D971" s="234"/>
      <c r="E971" s="3"/>
    </row>
    <row r="972">
      <c r="A972" s="3"/>
      <c r="B972" s="3"/>
      <c r="C972" s="3"/>
      <c r="D972" s="234"/>
      <c r="E972" s="3"/>
    </row>
    <row r="973">
      <c r="A973" s="3"/>
      <c r="B973" s="3"/>
      <c r="C973" s="3"/>
      <c r="D973" s="234"/>
      <c r="E973" s="3"/>
    </row>
    <row r="974">
      <c r="A974" s="3"/>
      <c r="B974" s="3"/>
      <c r="C974" s="3"/>
      <c r="D974" s="234"/>
      <c r="E974" s="3"/>
    </row>
    <row r="975">
      <c r="A975" s="3"/>
      <c r="B975" s="3"/>
      <c r="C975" s="3"/>
      <c r="D975" s="234"/>
      <c r="E975" s="3"/>
    </row>
    <row r="976">
      <c r="A976" s="3"/>
      <c r="B976" s="3"/>
      <c r="C976" s="3"/>
      <c r="D976" s="234"/>
      <c r="E976" s="3"/>
    </row>
    <row r="977">
      <c r="A977" s="3"/>
      <c r="B977" s="3"/>
      <c r="C977" s="3"/>
      <c r="D977" s="234"/>
      <c r="E977" s="3"/>
    </row>
    <row r="978">
      <c r="A978" s="3"/>
      <c r="B978" s="3"/>
      <c r="C978" s="3"/>
      <c r="D978" s="234"/>
      <c r="E978" s="3"/>
    </row>
    <row r="979">
      <c r="A979" s="3"/>
      <c r="B979" s="3"/>
      <c r="C979" s="3"/>
      <c r="D979" s="234"/>
      <c r="E979" s="3"/>
    </row>
    <row r="980">
      <c r="A980" s="3"/>
      <c r="B980" s="3"/>
      <c r="C980" s="3"/>
      <c r="D980" s="234"/>
      <c r="E980" s="3"/>
    </row>
    <row r="981">
      <c r="A981" s="3"/>
      <c r="B981" s="3"/>
      <c r="C981" s="3"/>
      <c r="D981" s="234"/>
      <c r="E981" s="3"/>
    </row>
    <row r="982">
      <c r="A982" s="3"/>
      <c r="B982" s="3"/>
      <c r="C982" s="3"/>
      <c r="D982" s="234"/>
      <c r="E982" s="3"/>
    </row>
    <row r="983">
      <c r="A983" s="3"/>
      <c r="B983" s="3"/>
      <c r="C983" s="3"/>
      <c r="D983" s="234"/>
      <c r="E983" s="3"/>
    </row>
    <row r="984">
      <c r="A984" s="3"/>
      <c r="B984" s="3"/>
      <c r="C984" s="3"/>
      <c r="D984" s="234"/>
      <c r="E984" s="3"/>
    </row>
    <row r="985">
      <c r="A985" s="3"/>
      <c r="B985" s="3"/>
      <c r="C985" s="3"/>
      <c r="D985" s="234"/>
      <c r="E985" s="3"/>
    </row>
    <row r="986">
      <c r="A986" s="3"/>
      <c r="B986" s="3"/>
      <c r="C986" s="3"/>
      <c r="D986" s="234"/>
      <c r="E986" s="3"/>
    </row>
    <row r="987">
      <c r="A987" s="3"/>
      <c r="B987" s="3"/>
      <c r="C987" s="3"/>
      <c r="D987" s="234"/>
      <c r="E987" s="3"/>
    </row>
    <row r="988">
      <c r="A988" s="3"/>
      <c r="B988" s="3"/>
      <c r="C988" s="3"/>
      <c r="D988" s="234"/>
      <c r="E988" s="3"/>
    </row>
    <row r="989">
      <c r="A989" s="3"/>
      <c r="B989" s="3"/>
      <c r="C989" s="3"/>
      <c r="D989" s="234"/>
      <c r="E989" s="3"/>
    </row>
    <row r="990">
      <c r="A990" s="3"/>
      <c r="B990" s="3"/>
      <c r="C990" s="3"/>
      <c r="D990" s="234"/>
      <c r="E990" s="3"/>
    </row>
    <row r="991">
      <c r="A991" s="3"/>
      <c r="B991" s="3"/>
      <c r="C991" s="3"/>
      <c r="D991" s="234"/>
      <c r="E991" s="3"/>
    </row>
    <row r="992">
      <c r="A992" s="3"/>
      <c r="B992" s="3"/>
      <c r="C992" s="3"/>
      <c r="D992" s="234"/>
      <c r="E992" s="3"/>
    </row>
    <row r="993">
      <c r="A993" s="3"/>
      <c r="B993" s="3"/>
      <c r="C993" s="3"/>
      <c r="D993" s="234"/>
      <c r="E993" s="3"/>
    </row>
    <row r="994">
      <c r="A994" s="3"/>
      <c r="B994" s="3"/>
      <c r="C994" s="3"/>
      <c r="D994" s="234"/>
      <c r="E994" s="3"/>
    </row>
    <row r="995">
      <c r="A995" s="3"/>
      <c r="B995" s="3"/>
      <c r="C995" s="3"/>
      <c r="D995" s="234"/>
      <c r="E995" s="3"/>
    </row>
    <row r="996">
      <c r="A996" s="3"/>
      <c r="B996" s="3"/>
      <c r="C996" s="3"/>
      <c r="D996" s="234"/>
      <c r="E996" s="3"/>
    </row>
    <row r="997">
      <c r="A997" s="3"/>
      <c r="B997" s="3"/>
      <c r="C997" s="3"/>
      <c r="D997" s="234"/>
      <c r="E997" s="3"/>
    </row>
    <row r="998">
      <c r="A998" s="3"/>
      <c r="B998" s="3"/>
      <c r="C998" s="3"/>
      <c r="D998" s="234"/>
      <c r="E998" s="3"/>
    </row>
    <row r="999">
      <c r="A999" s="3"/>
      <c r="B999" s="3"/>
      <c r="C999" s="3"/>
      <c r="D999" s="234"/>
      <c r="E999" s="3"/>
    </row>
  </sheetData>
  <autoFilter ref="$A$1:$E$999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88"/>
    <col customWidth="1" min="6" max="6" width="9.88"/>
    <col customWidth="1" min="7" max="7" width="6.5"/>
    <col customWidth="1" min="8" max="8" width="8.63"/>
    <col customWidth="1" min="9" max="9" width="6.5"/>
    <col customWidth="1" min="10" max="10" width="10.0"/>
    <col customWidth="1" min="11" max="11" width="6.5"/>
    <col customWidth="1" min="12" max="12" width="8.13"/>
  </cols>
  <sheetData>
    <row r="1">
      <c r="A1" s="257"/>
      <c r="B1" s="257"/>
      <c r="C1" s="61"/>
      <c r="D1" s="61"/>
      <c r="E1" s="258"/>
      <c r="F1" s="259"/>
      <c r="G1" s="260"/>
      <c r="H1" s="259"/>
      <c r="I1" s="261"/>
      <c r="J1" s="257"/>
      <c r="K1" s="261"/>
      <c r="L1" s="262"/>
    </row>
    <row r="2">
      <c r="A2" s="263" t="s">
        <v>3475</v>
      </c>
      <c r="B2" s="263" t="s">
        <v>1</v>
      </c>
      <c r="C2" s="263" t="s">
        <v>0</v>
      </c>
      <c r="D2" s="263" t="s">
        <v>3476</v>
      </c>
      <c r="E2" s="264" t="s">
        <v>3477</v>
      </c>
      <c r="F2" s="265" t="s">
        <v>3478</v>
      </c>
      <c r="G2" s="266"/>
      <c r="H2" s="265" t="s">
        <v>3479</v>
      </c>
      <c r="I2" s="266"/>
      <c r="J2" s="267" t="s">
        <v>3480</v>
      </c>
      <c r="K2" s="268"/>
      <c r="L2" s="266"/>
    </row>
    <row r="3">
      <c r="A3" s="67"/>
      <c r="B3" s="67"/>
      <c r="C3" s="67"/>
      <c r="D3" s="67"/>
      <c r="E3" s="67"/>
      <c r="F3" s="269" t="s">
        <v>34</v>
      </c>
      <c r="G3" s="269" t="s">
        <v>3</v>
      </c>
      <c r="H3" s="269" t="s">
        <v>3481</v>
      </c>
      <c r="I3" s="270" t="s">
        <v>3</v>
      </c>
      <c r="J3" s="270" t="s">
        <v>3480</v>
      </c>
      <c r="K3" s="270" t="s">
        <v>3</v>
      </c>
      <c r="L3" s="271" t="s">
        <v>3482</v>
      </c>
    </row>
    <row r="4">
      <c r="A4" s="152" t="s">
        <v>3483</v>
      </c>
      <c r="B4" s="152" t="s">
        <v>3119</v>
      </c>
      <c r="C4" s="152" t="s">
        <v>1914</v>
      </c>
      <c r="D4" s="272"/>
      <c r="E4" s="273">
        <v>3000.0</v>
      </c>
      <c r="F4" s="274">
        <f t="shared" ref="F4:F9" si="1">H4</f>
        <v>3000</v>
      </c>
      <c r="G4" s="275" t="s">
        <v>7</v>
      </c>
      <c r="H4" s="274">
        <f>IFERROR(VLOOKUP(B4, 'Database Resto'!C:P, 13, FALSE),"")</f>
        <v>3000</v>
      </c>
      <c r="I4" s="5" t="str">
        <f>IFERROR(VLOOKUP(B4, 'Database Resto'!C:T, 15, FALSE),"")</f>
        <v>Pcs</v>
      </c>
      <c r="J4" s="272"/>
      <c r="K4" s="6" t="str">
        <f>IFERROR(VLOOKUP(B4, 'Database Resto'!C:T, 15, FALSE),"")</f>
        <v>Pcs</v>
      </c>
      <c r="L4" s="276"/>
      <c r="M4" s="3"/>
    </row>
    <row r="5">
      <c r="A5" s="152" t="s">
        <v>3483</v>
      </c>
      <c r="B5" s="152" t="s">
        <v>3484</v>
      </c>
      <c r="C5" s="152" t="s">
        <v>1919</v>
      </c>
      <c r="D5" s="272"/>
      <c r="E5" s="273">
        <v>3000.0</v>
      </c>
      <c r="F5" s="274">
        <f t="shared" si="1"/>
        <v>3000</v>
      </c>
      <c r="G5" s="275" t="s">
        <v>7</v>
      </c>
      <c r="H5" s="274">
        <f>IFERROR(VLOOKUP(B5, 'Database Resto'!C:P, 13, FALSE),"")</f>
        <v>3000</v>
      </c>
      <c r="I5" s="5" t="str">
        <f>IFERROR(VLOOKUP(B5, 'Database Resto'!C:T, 15, FALSE),"")</f>
        <v>Pcs</v>
      </c>
      <c r="J5" s="272"/>
      <c r="K5" s="6" t="str">
        <f>IFERROR(VLOOKUP(B5, 'Database Resto'!C:T, 15, FALSE),"")</f>
        <v>Pcs</v>
      </c>
      <c r="L5" s="276"/>
      <c r="M5" s="3"/>
    </row>
    <row r="6">
      <c r="A6" s="152" t="s">
        <v>3483</v>
      </c>
      <c r="B6" s="152" t="s">
        <v>3485</v>
      </c>
      <c r="C6" s="152" t="s">
        <v>3486</v>
      </c>
      <c r="D6" s="272"/>
      <c r="E6" s="273">
        <v>3150.0</v>
      </c>
      <c r="F6" s="274">
        <f t="shared" si="1"/>
        <v>3150</v>
      </c>
      <c r="G6" s="275" t="s">
        <v>7</v>
      </c>
      <c r="H6" s="274">
        <f>IFERROR(VLOOKUP(B6, 'Database Resto'!C:P, 13, FALSE),"")</f>
        <v>3150</v>
      </c>
      <c r="I6" s="5" t="str">
        <f>IFERROR(VLOOKUP(B6, 'Database Resto'!C:T, 15, FALSE),"")</f>
        <v>Pcs</v>
      </c>
      <c r="J6" s="272"/>
      <c r="K6" s="6" t="str">
        <f>IFERROR(VLOOKUP(B6, 'Database Resto'!C:T, 15, FALSE),"")</f>
        <v>Pcs</v>
      </c>
      <c r="L6" s="276"/>
      <c r="M6" s="3"/>
    </row>
    <row r="7">
      <c r="A7" s="152" t="s">
        <v>3483</v>
      </c>
      <c r="B7" s="152" t="s">
        <v>3487</v>
      </c>
      <c r="C7" s="152" t="s">
        <v>3488</v>
      </c>
      <c r="D7" s="272"/>
      <c r="E7" s="273">
        <v>6000.0</v>
      </c>
      <c r="F7" s="274">
        <f t="shared" si="1"/>
        <v>6000</v>
      </c>
      <c r="G7" s="275" t="s">
        <v>7</v>
      </c>
      <c r="H7" s="274">
        <f>IFERROR(VLOOKUP(B7, 'Database Resto'!C:P, 13, FALSE),"")</f>
        <v>6000</v>
      </c>
      <c r="I7" s="5" t="str">
        <f>IFERROR(VLOOKUP(B7, 'Database Resto'!C:T, 15, FALSE),"")</f>
        <v>Pcs</v>
      </c>
      <c r="J7" s="272"/>
      <c r="K7" s="6" t="str">
        <f>IFERROR(VLOOKUP(B7, 'Database Resto'!C:T, 15, FALSE),"")</f>
        <v>Pcs</v>
      </c>
      <c r="L7" s="276"/>
      <c r="M7" s="3"/>
    </row>
    <row r="8">
      <c r="A8" s="152" t="s">
        <v>3483</v>
      </c>
      <c r="B8" s="152" t="s">
        <v>3489</v>
      </c>
      <c r="C8" s="152" t="s">
        <v>3490</v>
      </c>
      <c r="D8" s="272"/>
      <c r="E8" s="273">
        <v>6000.0</v>
      </c>
      <c r="F8" s="274">
        <f t="shared" si="1"/>
        <v>6000</v>
      </c>
      <c r="G8" s="275" t="s">
        <v>7</v>
      </c>
      <c r="H8" s="274">
        <f>IFERROR(VLOOKUP(B8, 'Database Resto'!C:P, 13, FALSE),"")</f>
        <v>6000</v>
      </c>
      <c r="I8" s="5" t="str">
        <f>IFERROR(VLOOKUP(B8, 'Database Resto'!C:T, 15, FALSE),"")</f>
        <v>Pcs</v>
      </c>
      <c r="J8" s="272"/>
      <c r="K8" s="6" t="str">
        <f>IFERROR(VLOOKUP(B8, 'Database Resto'!C:T, 15, FALSE),"")</f>
        <v>Pcs</v>
      </c>
      <c r="L8" s="276"/>
      <c r="M8" s="3"/>
    </row>
    <row r="9">
      <c r="A9" s="152" t="s">
        <v>3483</v>
      </c>
      <c r="B9" s="152" t="s">
        <v>3491</v>
      </c>
      <c r="C9" s="152" t="s">
        <v>3492</v>
      </c>
      <c r="D9" s="272"/>
      <c r="E9" s="273">
        <v>6000.0</v>
      </c>
      <c r="F9" s="274">
        <f t="shared" si="1"/>
        <v>6000</v>
      </c>
      <c r="G9" s="275" t="s">
        <v>7</v>
      </c>
      <c r="H9" s="274">
        <f>IFERROR(VLOOKUP(B9, 'Database Resto'!C:P, 13, FALSE),"")</f>
        <v>6000</v>
      </c>
      <c r="I9" s="5" t="str">
        <f>IFERROR(VLOOKUP(B9, 'Database Resto'!C:T, 15, FALSE),"")</f>
        <v>Pcs</v>
      </c>
      <c r="J9" s="272"/>
      <c r="K9" s="6" t="str">
        <f>IFERROR(VLOOKUP(B9, 'Database Resto'!C:T, 15, FALSE),"")</f>
        <v>Pcs</v>
      </c>
      <c r="L9" s="276"/>
      <c r="M9" s="3"/>
    </row>
    <row r="10">
      <c r="A10" s="152" t="s">
        <v>3493</v>
      </c>
      <c r="B10" s="152" t="s">
        <v>503</v>
      </c>
      <c r="C10" s="152" t="s">
        <v>506</v>
      </c>
      <c r="D10" s="272"/>
      <c r="E10" s="277">
        <v>18000.0</v>
      </c>
      <c r="F10" s="278">
        <f t="shared" ref="F10:F36" si="2">H10*1000</f>
        <v>18000</v>
      </c>
      <c r="G10" s="275" t="s">
        <v>57</v>
      </c>
      <c r="H10" s="274">
        <f>IFERROR(VLOOKUP(B10, 'Database Resto'!C:P, 13, FALSE),"")</f>
        <v>18</v>
      </c>
      <c r="I10" s="5" t="str">
        <f>IFERROR(VLOOKUP(B10, 'Database Resto'!C:T, 15, FALSE),"")</f>
        <v>Gram</v>
      </c>
      <c r="J10" s="279"/>
      <c r="K10" s="6" t="str">
        <f>IFERROR(VLOOKUP(B10, 'Database Resto'!C:T, 15, FALSE),"")</f>
        <v>Gram</v>
      </c>
      <c r="L10" s="276"/>
      <c r="M10" s="3"/>
    </row>
    <row r="11">
      <c r="A11" s="152" t="s">
        <v>3493</v>
      </c>
      <c r="B11" s="152" t="s">
        <v>551</v>
      </c>
      <c r="C11" s="152" t="s">
        <v>554</v>
      </c>
      <c r="D11" s="272"/>
      <c r="E11" s="277">
        <v>25000.0</v>
      </c>
      <c r="F11" s="278">
        <f t="shared" si="2"/>
        <v>25000</v>
      </c>
      <c r="G11" s="275" t="s">
        <v>57</v>
      </c>
      <c r="H11" s="274">
        <f>IFERROR(VLOOKUP(B11, 'Database Resto'!C:P, 13, FALSE),"")</f>
        <v>25</v>
      </c>
      <c r="I11" s="5" t="str">
        <f>IFERROR(VLOOKUP(B11, 'Database Resto'!C:T, 15, FALSE),"")</f>
        <v>Gram</v>
      </c>
      <c r="J11" s="279"/>
      <c r="K11" s="6" t="str">
        <f>IFERROR(VLOOKUP(B11, 'Database Resto'!C:T, 15, FALSE),"")</f>
        <v>Gram</v>
      </c>
      <c r="L11" s="276"/>
      <c r="M11" s="3"/>
    </row>
    <row r="12">
      <c r="A12" s="152" t="s">
        <v>3493</v>
      </c>
      <c r="B12" s="152" t="s">
        <v>438</v>
      </c>
      <c r="C12" s="152" t="s">
        <v>440</v>
      </c>
      <c r="D12" s="272"/>
      <c r="E12" s="273">
        <v>25000.0</v>
      </c>
      <c r="F12" s="274">
        <f t="shared" si="2"/>
        <v>25000</v>
      </c>
      <c r="G12" s="275" t="s">
        <v>57</v>
      </c>
      <c r="H12" s="274">
        <f>IFERROR(VLOOKUP(B12, 'Database Resto'!C:P, 13, FALSE),"")</f>
        <v>25</v>
      </c>
      <c r="I12" s="5" t="str">
        <f>IFERROR(VLOOKUP(B12, 'Database Resto'!C:T, 15, FALSE),"")</f>
        <v>Gram</v>
      </c>
      <c r="J12" s="272"/>
      <c r="K12" s="6" t="str">
        <f>IFERROR(VLOOKUP(B12, 'Database Resto'!C:T, 15, FALSE),"")</f>
        <v>Gram</v>
      </c>
      <c r="L12" s="276"/>
      <c r="M12" s="3"/>
    </row>
    <row r="13">
      <c r="A13" s="152" t="s">
        <v>3483</v>
      </c>
      <c r="B13" s="152" t="s">
        <v>3498</v>
      </c>
      <c r="C13" s="152" t="s">
        <v>3499</v>
      </c>
      <c r="D13" s="272"/>
      <c r="E13" s="273">
        <v>27000.0</v>
      </c>
      <c r="F13" s="274">
        <f t="shared" si="2"/>
        <v>27000</v>
      </c>
      <c r="G13" s="275" t="s">
        <v>57</v>
      </c>
      <c r="H13" s="274">
        <f>IFERROR(VLOOKUP(B13, 'Database Resto'!C:P, 13, FALSE),"")</f>
        <v>27</v>
      </c>
      <c r="I13" s="5" t="str">
        <f>IFERROR(VLOOKUP(B13, 'Database Resto'!C:T, 15, FALSE),"")</f>
        <v>Gram</v>
      </c>
      <c r="J13" s="272"/>
      <c r="K13" s="6" t="str">
        <f>IFERROR(VLOOKUP(B13, 'Database Resto'!C:T, 15, FALSE),"")</f>
        <v>Gram</v>
      </c>
      <c r="L13" s="276"/>
      <c r="M13" s="3"/>
    </row>
    <row r="14">
      <c r="A14" s="152" t="s">
        <v>3483</v>
      </c>
      <c r="B14" s="152" t="s">
        <v>3500</v>
      </c>
      <c r="C14" s="152" t="s">
        <v>3501</v>
      </c>
      <c r="D14" s="272"/>
      <c r="E14" s="273">
        <v>31000.0</v>
      </c>
      <c r="F14" s="274">
        <f t="shared" si="2"/>
        <v>31366.92198</v>
      </c>
      <c r="G14" s="275" t="s">
        <v>57</v>
      </c>
      <c r="H14" s="274">
        <f>IFERROR(VLOOKUP(B14, 'Database Resto'!C:P, 13, FALSE),"")</f>
        <v>31.36692198</v>
      </c>
      <c r="I14" s="5" t="str">
        <f>IFERROR(VLOOKUP(B14, 'Database Resto'!C:T, 15, FALSE),"")</f>
        <v>Gram</v>
      </c>
      <c r="J14" s="272"/>
      <c r="K14" s="6" t="str">
        <f>IFERROR(VLOOKUP(B14, 'Database Resto'!C:T, 15, FALSE),"")</f>
        <v>Gram</v>
      </c>
      <c r="L14" s="276"/>
      <c r="M14" s="3"/>
    </row>
    <row r="15">
      <c r="A15" s="152" t="s">
        <v>3483</v>
      </c>
      <c r="B15" s="152" t="s">
        <v>3502</v>
      </c>
      <c r="C15" s="152" t="s">
        <v>3503</v>
      </c>
      <c r="D15" s="272"/>
      <c r="E15" s="277">
        <v>38000.0</v>
      </c>
      <c r="F15" s="278">
        <f t="shared" si="2"/>
        <v>38000</v>
      </c>
      <c r="G15" s="275" t="s">
        <v>57</v>
      </c>
      <c r="H15" s="274">
        <f>IFERROR(VLOOKUP(B15, 'Database Resto'!C:P, 13, FALSE),"")</f>
        <v>38</v>
      </c>
      <c r="I15" s="5" t="str">
        <f>IFERROR(VLOOKUP(B15, 'Database Resto'!C:T, 15, FALSE),"")</f>
        <v>Gram</v>
      </c>
      <c r="J15" s="279"/>
      <c r="K15" s="6" t="str">
        <f>IFERROR(VLOOKUP(B15, 'Database Resto'!C:T, 15, FALSE),"")</f>
        <v>Gram</v>
      </c>
      <c r="L15" s="276"/>
      <c r="M15" s="3"/>
    </row>
    <row r="16">
      <c r="A16" s="152" t="s">
        <v>3483</v>
      </c>
      <c r="B16" s="152" t="s">
        <v>3504</v>
      </c>
      <c r="C16" s="152" t="s">
        <v>3505</v>
      </c>
      <c r="D16" s="272"/>
      <c r="E16" s="273">
        <v>35000.0</v>
      </c>
      <c r="F16" s="274">
        <f t="shared" si="2"/>
        <v>35000</v>
      </c>
      <c r="G16" s="275" t="s">
        <v>57</v>
      </c>
      <c r="H16" s="274">
        <f>IFERROR(VLOOKUP(B16, 'Database Resto'!C:P, 13, FALSE),"")</f>
        <v>35</v>
      </c>
      <c r="I16" s="5" t="str">
        <f>IFERROR(VLOOKUP(B16, 'Database Resto'!C:T, 15, FALSE),"")</f>
        <v>Gram</v>
      </c>
      <c r="J16" s="272"/>
      <c r="K16" s="6" t="str">
        <f>IFERROR(VLOOKUP(B16, 'Database Resto'!C:T, 15, FALSE),"")</f>
        <v>Gram</v>
      </c>
      <c r="L16" s="276"/>
      <c r="M16" s="3"/>
    </row>
    <row r="17">
      <c r="A17" s="152" t="s">
        <v>3483</v>
      </c>
      <c r="B17" s="152" t="s">
        <v>3506</v>
      </c>
      <c r="C17" s="152" t="s">
        <v>3507</v>
      </c>
      <c r="D17" s="272"/>
      <c r="E17" s="273">
        <v>36000.0</v>
      </c>
      <c r="F17" s="274">
        <f t="shared" si="2"/>
        <v>35774.80805</v>
      </c>
      <c r="G17" s="275" t="s">
        <v>57</v>
      </c>
      <c r="H17" s="274">
        <f>IFERROR(VLOOKUP(B17, 'Database Resto'!C:P, 13, FALSE),"")</f>
        <v>35.77480805</v>
      </c>
      <c r="I17" s="5" t="str">
        <f>IFERROR(VLOOKUP(B17, 'Database Resto'!C:T, 15, FALSE),"")</f>
        <v>Gram</v>
      </c>
      <c r="J17" s="272"/>
      <c r="K17" s="6" t="str">
        <f>IFERROR(VLOOKUP(B17, 'Database Resto'!C:T, 15, FALSE),"")</f>
        <v>Gram</v>
      </c>
      <c r="L17" s="276"/>
      <c r="M17" s="3"/>
    </row>
    <row r="18">
      <c r="A18" s="152" t="s">
        <v>3483</v>
      </c>
      <c r="B18" s="152" t="s">
        <v>3508</v>
      </c>
      <c r="C18" s="152" t="s">
        <v>3509</v>
      </c>
      <c r="D18" s="272"/>
      <c r="E18" s="273">
        <v>38000.0</v>
      </c>
      <c r="F18" s="274">
        <f t="shared" si="2"/>
        <v>38000</v>
      </c>
      <c r="G18" s="275" t="s">
        <v>57</v>
      </c>
      <c r="H18" s="274">
        <f>IFERROR(VLOOKUP(B18, 'Database Resto'!C:P, 13, FALSE),"")</f>
        <v>38</v>
      </c>
      <c r="I18" s="5" t="str">
        <f>IFERROR(VLOOKUP(B18, 'Database Resto'!C:T, 15, FALSE),"")</f>
        <v>Gram</v>
      </c>
      <c r="J18" s="272"/>
      <c r="K18" s="6" t="str">
        <f>IFERROR(VLOOKUP(B18, 'Database Resto'!C:T, 15, FALSE),"")</f>
        <v>Gram</v>
      </c>
      <c r="L18" s="276"/>
      <c r="M18" s="3"/>
    </row>
    <row r="19">
      <c r="A19" s="152" t="s">
        <v>3483</v>
      </c>
      <c r="B19" s="152" t="s">
        <v>3510</v>
      </c>
      <c r="C19" s="152" t="s">
        <v>3511</v>
      </c>
      <c r="D19" s="272"/>
      <c r="E19" s="277">
        <v>45000.0</v>
      </c>
      <c r="F19" s="278">
        <f t="shared" si="2"/>
        <v>45000</v>
      </c>
      <c r="G19" s="275" t="s">
        <v>57</v>
      </c>
      <c r="H19" s="274">
        <f>IFERROR(VLOOKUP(B19, 'Database Resto'!C:P, 13, FALSE),"")</f>
        <v>45</v>
      </c>
      <c r="I19" s="5" t="str">
        <f>IFERROR(VLOOKUP(B19, 'Database Resto'!C:T, 15, FALSE),"")</f>
        <v>Gram</v>
      </c>
      <c r="J19" s="279"/>
      <c r="K19" s="6" t="str">
        <f>IFERROR(VLOOKUP(B19, 'Database Resto'!C:T, 15, FALSE),"")</f>
        <v>Gram</v>
      </c>
      <c r="L19" s="276"/>
      <c r="M19" s="3"/>
    </row>
    <row r="20">
      <c r="A20" s="152" t="s">
        <v>3483</v>
      </c>
      <c r="B20" s="152" t="s">
        <v>3512</v>
      </c>
      <c r="C20" s="152" t="s">
        <v>3513</v>
      </c>
      <c r="D20" s="272"/>
      <c r="E20" s="273">
        <v>38000.0</v>
      </c>
      <c r="F20" s="274">
        <f t="shared" si="2"/>
        <v>38000</v>
      </c>
      <c r="G20" s="275" t="s">
        <v>57</v>
      </c>
      <c r="H20" s="274">
        <f>IFERROR(VLOOKUP(B20, 'Database Resto'!C:P, 13, FALSE),"")</f>
        <v>38</v>
      </c>
      <c r="I20" s="5" t="str">
        <f>IFERROR(VLOOKUP(B20, 'Database Resto'!C:T, 15, FALSE),"")</f>
        <v>Gram</v>
      </c>
      <c r="J20" s="272"/>
      <c r="K20" s="6" t="str">
        <f>IFERROR(VLOOKUP(B20, 'Database Resto'!C:T, 15, FALSE),"")</f>
        <v>Gram</v>
      </c>
      <c r="L20" s="276"/>
      <c r="M20" s="3"/>
    </row>
    <row r="21">
      <c r="A21" s="152" t="s">
        <v>3483</v>
      </c>
      <c r="B21" s="152" t="s">
        <v>3230</v>
      </c>
      <c r="C21" s="152" t="s">
        <v>3231</v>
      </c>
      <c r="D21" s="272"/>
      <c r="E21" s="277">
        <v>70000.0</v>
      </c>
      <c r="F21" s="278">
        <f t="shared" si="2"/>
        <v>70000</v>
      </c>
      <c r="G21" s="275" t="s">
        <v>57</v>
      </c>
      <c r="H21" s="274">
        <f>IFERROR(VLOOKUP(B21, 'Database Resto'!C:P, 13, FALSE),"")</f>
        <v>70</v>
      </c>
      <c r="I21" s="5" t="str">
        <f>IFERROR(VLOOKUP(B21, 'Database Resto'!C:T, 15, FALSE),"")</f>
        <v>Gram</v>
      </c>
      <c r="J21" s="279"/>
      <c r="K21" s="6" t="str">
        <f>IFERROR(VLOOKUP(B21, 'Database Resto'!C:T, 15, FALSE),"")</f>
        <v>Gram</v>
      </c>
      <c r="L21" s="276"/>
      <c r="M21" s="3"/>
    </row>
    <row r="22">
      <c r="A22" s="152" t="s">
        <v>3483</v>
      </c>
      <c r="B22" s="152" t="s">
        <v>3514</v>
      </c>
      <c r="C22" s="152" t="s">
        <v>3515</v>
      </c>
      <c r="D22" s="272"/>
      <c r="E22" s="273">
        <v>67000.0</v>
      </c>
      <c r="F22" s="274">
        <f t="shared" si="2"/>
        <v>67000</v>
      </c>
      <c r="G22" s="275" t="s">
        <v>57</v>
      </c>
      <c r="H22" s="274">
        <f>IFERROR(VLOOKUP(B22, 'Database Resto'!C:P, 13, FALSE),"")</f>
        <v>67</v>
      </c>
      <c r="I22" s="5" t="str">
        <f>IFERROR(VLOOKUP(B22, 'Database Resto'!C:T, 15, FALSE),"")</f>
        <v>Gram</v>
      </c>
      <c r="J22" s="272"/>
      <c r="K22" s="6" t="str">
        <f>IFERROR(VLOOKUP(B22, 'Database Resto'!C:T, 15, FALSE),"")</f>
        <v>Gram</v>
      </c>
      <c r="L22" s="276"/>
      <c r="M22" s="3"/>
    </row>
    <row r="23">
      <c r="A23" s="152" t="s">
        <v>3483</v>
      </c>
      <c r="B23" s="152" t="s">
        <v>3496</v>
      </c>
      <c r="C23" s="152" t="s">
        <v>3516</v>
      </c>
      <c r="D23" s="272"/>
      <c r="E23" s="273">
        <v>83000.0</v>
      </c>
      <c r="F23" s="274">
        <f t="shared" si="2"/>
        <v>83000</v>
      </c>
      <c r="G23" s="275" t="s">
        <v>57</v>
      </c>
      <c r="H23" s="274">
        <f>IFERROR(VLOOKUP(B23, 'Database Resto'!C:P, 13, FALSE),"")</f>
        <v>83</v>
      </c>
      <c r="I23" s="5" t="str">
        <f>IFERROR(VLOOKUP(B23, 'Database Resto'!C:T, 15, FALSE),"")</f>
        <v>Gram</v>
      </c>
      <c r="J23" s="272"/>
      <c r="K23" s="6" t="str">
        <f>IFERROR(VLOOKUP(B23, 'Database Resto'!C:T, 15, FALSE),"")</f>
        <v>Gram</v>
      </c>
      <c r="L23" s="276"/>
      <c r="M23" s="3"/>
    </row>
    <row r="24">
      <c r="A24" s="152" t="s">
        <v>3483</v>
      </c>
      <c r="B24" s="152" t="s">
        <v>3473</v>
      </c>
      <c r="C24" s="152" t="s">
        <v>3517</v>
      </c>
      <c r="D24" s="272"/>
      <c r="E24" s="273">
        <v>83000.0</v>
      </c>
      <c r="F24" s="274">
        <f t="shared" si="2"/>
        <v>83000</v>
      </c>
      <c r="G24" s="275" t="s">
        <v>57</v>
      </c>
      <c r="H24" s="274">
        <f>IFERROR(VLOOKUP(B24, 'Database Resto'!C:P, 13, FALSE),"")</f>
        <v>83</v>
      </c>
      <c r="I24" s="5" t="str">
        <f>IFERROR(VLOOKUP(B24, 'Database Resto'!C:T, 15, FALSE),"")</f>
        <v>Gram</v>
      </c>
      <c r="J24" s="272"/>
      <c r="K24" s="6" t="str">
        <f>IFERROR(VLOOKUP(B24, 'Database Resto'!C:T, 15, FALSE),"")</f>
        <v>Gram</v>
      </c>
      <c r="L24" s="276"/>
      <c r="M24" s="3"/>
    </row>
    <row r="25">
      <c r="A25" s="152" t="s">
        <v>3483</v>
      </c>
      <c r="B25" s="152" t="s">
        <v>3518</v>
      </c>
      <c r="C25" s="152" t="s">
        <v>2385</v>
      </c>
      <c r="D25" s="279" t="s">
        <v>3519</v>
      </c>
      <c r="E25" s="273">
        <v>15650.0</v>
      </c>
      <c r="F25" s="274">
        <f t="shared" si="2"/>
        <v>15650</v>
      </c>
      <c r="G25" s="275" t="s">
        <v>57</v>
      </c>
      <c r="H25" s="274">
        <f>IFERROR(VLOOKUP(B25, 'Database Resto'!C:P, 13, FALSE),"")</f>
        <v>15.65</v>
      </c>
      <c r="I25" s="5" t="str">
        <f>IFERROR(VLOOKUP(B25, 'Database Resto'!C:T, 15, FALSE),"")</f>
        <v>Gram</v>
      </c>
      <c r="J25" s="272"/>
      <c r="K25" s="6" t="str">
        <f>IFERROR(VLOOKUP(B25, 'Database Resto'!C:T, 15, FALSE),"")</f>
        <v>Gram</v>
      </c>
      <c r="L25" s="276"/>
      <c r="M25" s="3"/>
    </row>
    <row r="26">
      <c r="A26" s="152" t="s">
        <v>3483</v>
      </c>
      <c r="B26" s="152" t="s">
        <v>3520</v>
      </c>
      <c r="C26" s="152" t="s">
        <v>3521</v>
      </c>
      <c r="D26" s="279" t="s">
        <v>3519</v>
      </c>
      <c r="E26" s="273">
        <v>20000.0</v>
      </c>
      <c r="F26" s="274">
        <f t="shared" si="2"/>
        <v>19512.70651</v>
      </c>
      <c r="G26" s="275" t="s">
        <v>57</v>
      </c>
      <c r="H26" s="274">
        <f>IFERROR(VLOOKUP(B26, 'Database Resto'!C:P, 13, FALSE),"")</f>
        <v>19.51270651</v>
      </c>
      <c r="I26" s="5" t="str">
        <f>IFERROR(VLOOKUP(B26, 'Database Resto'!C:T, 15, FALSE),"")</f>
        <v>Gram</v>
      </c>
      <c r="J26" s="274">
        <f t="shared" ref="J26:J32" si="3">H26+(H26*L26)</f>
        <v>23.41524781</v>
      </c>
      <c r="K26" s="6" t="str">
        <f>IFERROR(VLOOKUP(B26, 'Database Resto'!C:T, 15, FALSE),"")</f>
        <v>Gram</v>
      </c>
      <c r="L26" s="281">
        <v>0.2</v>
      </c>
      <c r="M26" s="3"/>
    </row>
    <row r="27">
      <c r="A27" s="152" t="s">
        <v>3483</v>
      </c>
      <c r="B27" s="152" t="s">
        <v>3522</v>
      </c>
      <c r="C27" s="152" t="s">
        <v>3523</v>
      </c>
      <c r="D27" s="279" t="s">
        <v>3519</v>
      </c>
      <c r="E27" s="273">
        <v>116000.0</v>
      </c>
      <c r="F27" s="274">
        <f t="shared" si="2"/>
        <v>116374.6655</v>
      </c>
      <c r="G27" s="275" t="s">
        <v>57</v>
      </c>
      <c r="H27" s="274">
        <f>IFERROR(VLOOKUP(B27, 'Database Resto'!C:P, 13, FALSE),"")</f>
        <v>116.3746655</v>
      </c>
      <c r="I27" s="5" t="str">
        <f>IFERROR(VLOOKUP(B27, 'Database Resto'!C:T, 15, FALSE),"")</f>
        <v>Gram</v>
      </c>
      <c r="J27" s="274">
        <f t="shared" si="3"/>
        <v>128.012132</v>
      </c>
      <c r="K27" s="6" t="str">
        <f>IFERROR(VLOOKUP(B27, 'Database Resto'!C:T, 15, FALSE),"")</f>
        <v>Gram</v>
      </c>
      <c r="L27" s="281">
        <v>0.1</v>
      </c>
      <c r="M27" s="3"/>
    </row>
    <row r="28">
      <c r="A28" s="152" t="s">
        <v>3483</v>
      </c>
      <c r="B28" s="152" t="s">
        <v>3524</v>
      </c>
      <c r="C28" s="152" t="s">
        <v>2349</v>
      </c>
      <c r="D28" s="279" t="s">
        <v>3519</v>
      </c>
      <c r="E28" s="273">
        <v>23625.0</v>
      </c>
      <c r="F28" s="274">
        <f t="shared" si="2"/>
        <v>23625</v>
      </c>
      <c r="G28" s="275" t="s">
        <v>57</v>
      </c>
      <c r="H28" s="274">
        <f>IFERROR(VLOOKUP(B28, 'Database Resto'!C:P, 13, FALSE),"")</f>
        <v>23.625</v>
      </c>
      <c r="I28" s="5" t="str">
        <f>IFERROR(VLOOKUP(B28, 'Database Resto'!C:T, 15, FALSE),"")</f>
        <v>Gram</v>
      </c>
      <c r="J28" s="274">
        <f t="shared" si="3"/>
        <v>25.9875</v>
      </c>
      <c r="K28" s="6" t="str">
        <f>IFERROR(VLOOKUP(B28, 'Database Resto'!C:T, 15, FALSE),"")</f>
        <v>Gram</v>
      </c>
      <c r="L28" s="281">
        <v>0.1</v>
      </c>
      <c r="M28" s="3"/>
    </row>
    <row r="29">
      <c r="A29" s="152" t="s">
        <v>3483</v>
      </c>
      <c r="B29" s="152" t="s">
        <v>3178</v>
      </c>
      <c r="C29" s="152" t="s">
        <v>3179</v>
      </c>
      <c r="D29" s="279" t="s">
        <v>3519</v>
      </c>
      <c r="E29" s="273">
        <v>11000.0</v>
      </c>
      <c r="F29" s="274">
        <f t="shared" si="2"/>
        <v>12581.66762</v>
      </c>
      <c r="G29" s="275" t="s">
        <v>57</v>
      </c>
      <c r="H29" s="274">
        <f>IFERROR(VLOOKUP(B29, 'Database Resto'!C:P, 13, FALSE),"")</f>
        <v>12.58166762</v>
      </c>
      <c r="I29" s="5" t="str">
        <f>IFERROR(VLOOKUP(B29, 'Database Resto'!C:T, 15, FALSE),"")</f>
        <v>Gram</v>
      </c>
      <c r="J29" s="274">
        <f t="shared" si="3"/>
        <v>15.09800114</v>
      </c>
      <c r="K29" s="6" t="str">
        <f>IFERROR(VLOOKUP(B29, 'Database Resto'!C:T, 15, FALSE),"")</f>
        <v>Gram</v>
      </c>
      <c r="L29" s="281">
        <v>0.2</v>
      </c>
      <c r="M29" s="3"/>
    </row>
    <row r="30">
      <c r="A30" s="152" t="s">
        <v>3483</v>
      </c>
      <c r="B30" s="152" t="s">
        <v>3527</v>
      </c>
      <c r="C30" s="152" t="s">
        <v>3528</v>
      </c>
      <c r="D30" s="279" t="s">
        <v>3519</v>
      </c>
      <c r="E30" s="273">
        <v>21800.0</v>
      </c>
      <c r="F30" s="274">
        <f t="shared" si="2"/>
        <v>22017.07119</v>
      </c>
      <c r="G30" s="275" t="s">
        <v>57</v>
      </c>
      <c r="H30" s="274">
        <f>IFERROR(VLOOKUP(B30, 'Database Resto'!C:P, 13, FALSE),"")</f>
        <v>22.01707119</v>
      </c>
      <c r="I30" s="5" t="str">
        <f>IFERROR(VLOOKUP(B30, 'Database Resto'!C:T, 15, FALSE),"")</f>
        <v>Gram</v>
      </c>
      <c r="J30" s="274">
        <f t="shared" si="3"/>
        <v>26.42048543</v>
      </c>
      <c r="K30" s="6" t="str">
        <f>IFERROR(VLOOKUP(B30, 'Database Resto'!C:T, 15, FALSE),"")</f>
        <v>Gram</v>
      </c>
      <c r="L30" s="281">
        <v>0.2</v>
      </c>
      <c r="M30" s="3"/>
    </row>
    <row r="31">
      <c r="A31" s="152" t="s">
        <v>3483</v>
      </c>
      <c r="B31" s="152" t="s">
        <v>3529</v>
      </c>
      <c r="C31" s="152" t="s">
        <v>3530</v>
      </c>
      <c r="D31" s="279" t="s">
        <v>3519</v>
      </c>
      <c r="E31" s="273">
        <v>11000.0</v>
      </c>
      <c r="F31" s="274">
        <f t="shared" si="2"/>
        <v>10923.28674</v>
      </c>
      <c r="G31" s="275" t="s">
        <v>57</v>
      </c>
      <c r="H31" s="274">
        <f>IFERROR(VLOOKUP(B31, 'Database Resto'!C:P, 13, FALSE),"")</f>
        <v>10.92328674</v>
      </c>
      <c r="I31" s="5" t="str">
        <f>IFERROR(VLOOKUP(B31, 'Database Resto'!C:T, 15, FALSE),"")</f>
        <v>Gram</v>
      </c>
      <c r="J31" s="274">
        <f t="shared" si="3"/>
        <v>13.10794408</v>
      </c>
      <c r="K31" s="6" t="str">
        <f>IFERROR(VLOOKUP(B31, 'Database Resto'!C:T, 15, FALSE),"")</f>
        <v>Gram</v>
      </c>
      <c r="L31" s="281">
        <v>0.2</v>
      </c>
      <c r="M31" s="3"/>
    </row>
    <row r="32">
      <c r="A32" s="152" t="s">
        <v>3483</v>
      </c>
      <c r="B32" s="152" t="s">
        <v>3531</v>
      </c>
      <c r="C32" s="152" t="s">
        <v>2224</v>
      </c>
      <c r="D32" s="279" t="s">
        <v>3519</v>
      </c>
      <c r="E32" s="273">
        <v>6000.0</v>
      </c>
      <c r="F32" s="274">
        <f t="shared" si="2"/>
        <v>6000</v>
      </c>
      <c r="G32" s="275" t="s">
        <v>57</v>
      </c>
      <c r="H32" s="274">
        <f>IFERROR(VLOOKUP(B32, 'Database Resto'!C:P, 13, FALSE),"")</f>
        <v>6</v>
      </c>
      <c r="I32" s="5" t="str">
        <f>IFERROR(VLOOKUP(B32, 'Database Resto'!C:T, 15, FALSE),"")</f>
        <v>Gram</v>
      </c>
      <c r="J32" s="274">
        <f t="shared" si="3"/>
        <v>7.2</v>
      </c>
      <c r="K32" s="6" t="str">
        <f>IFERROR(VLOOKUP(B32, 'Database Resto'!C:T, 15, FALSE),"")</f>
        <v>Gram</v>
      </c>
      <c r="L32" s="281">
        <v>0.2</v>
      </c>
      <c r="M32" s="3"/>
    </row>
    <row r="33">
      <c r="A33" s="152" t="s">
        <v>3483</v>
      </c>
      <c r="B33" s="152" t="s">
        <v>3532</v>
      </c>
      <c r="C33" s="282" t="s">
        <v>3533</v>
      </c>
      <c r="D33" s="279" t="s">
        <v>3519</v>
      </c>
      <c r="E33" s="273"/>
      <c r="F33" s="274">
        <f t="shared" si="2"/>
        <v>27000</v>
      </c>
      <c r="G33" s="275" t="s">
        <v>57</v>
      </c>
      <c r="H33" s="274">
        <f>IFERROR(VLOOKUP(B33, 'Database Resto'!C:P, 13, FALSE),"")</f>
        <v>27</v>
      </c>
      <c r="I33" s="5" t="str">
        <f>IFERROR(VLOOKUP(B33, 'Database Resto'!C:T, 15, FALSE),"")</f>
        <v>Gram</v>
      </c>
      <c r="J33" s="272"/>
      <c r="K33" s="6" t="str">
        <f>IFERROR(VLOOKUP(B33, 'Database Resto'!C:T, 15, FALSE),"")</f>
        <v>Gram</v>
      </c>
      <c r="L33" s="276"/>
      <c r="M33" s="3"/>
    </row>
    <row r="34">
      <c r="A34" s="152" t="s">
        <v>3493</v>
      </c>
      <c r="B34" s="152" t="s">
        <v>196</v>
      </c>
      <c r="C34" s="152" t="s">
        <v>199</v>
      </c>
      <c r="D34" s="279" t="s">
        <v>3519</v>
      </c>
      <c r="E34" s="273">
        <v>23000.0</v>
      </c>
      <c r="F34" s="274">
        <f t="shared" si="2"/>
        <v>30018.48285</v>
      </c>
      <c r="G34" s="275" t="s">
        <v>57</v>
      </c>
      <c r="H34" s="274">
        <f>IFERROR(VLOOKUP(B34, 'Database Resto'!C:P, 13, FALSE),"")</f>
        <v>30.01848285</v>
      </c>
      <c r="I34" s="5" t="str">
        <f>IFERROR(VLOOKUP(B34, 'Database Resto'!C:T, 15, FALSE),"")</f>
        <v>Gram</v>
      </c>
      <c r="J34" s="274">
        <f t="shared" ref="J34:J36" si="4">H34+(H34*L34)</f>
        <v>36.02217942</v>
      </c>
      <c r="K34" s="6" t="str">
        <f>IFERROR(VLOOKUP(B34, 'Database Resto'!C:T, 15, FALSE),"")</f>
        <v>Gram</v>
      </c>
      <c r="L34" s="281">
        <v>0.2</v>
      </c>
      <c r="M34" s="3"/>
    </row>
    <row r="35">
      <c r="A35" s="152" t="s">
        <v>3493</v>
      </c>
      <c r="B35" s="152" t="s">
        <v>584</v>
      </c>
      <c r="C35" s="152" t="s">
        <v>585</v>
      </c>
      <c r="D35" s="279" t="s">
        <v>3519</v>
      </c>
      <c r="E35" s="273">
        <v>18000.0</v>
      </c>
      <c r="F35" s="274">
        <f t="shared" si="2"/>
        <v>25235.27994</v>
      </c>
      <c r="G35" s="275" t="s">
        <v>57</v>
      </c>
      <c r="H35" s="274">
        <f>IFERROR(VLOOKUP(B35, 'Database Resto'!C:P, 13, FALSE),"")</f>
        <v>25.23527994</v>
      </c>
      <c r="I35" s="5" t="str">
        <f>IFERROR(VLOOKUP(B35, 'Database Resto'!C:T, 15, FALSE),"")</f>
        <v>Gram</v>
      </c>
      <c r="J35" s="274">
        <f t="shared" si="4"/>
        <v>30.28233593</v>
      </c>
      <c r="K35" s="6" t="str">
        <f>IFERROR(VLOOKUP(B35, 'Database Resto'!C:T, 15, FALSE),"")</f>
        <v>Gram</v>
      </c>
      <c r="L35" s="281">
        <v>0.2</v>
      </c>
      <c r="M35" s="3"/>
    </row>
    <row r="36">
      <c r="A36" s="152" t="s">
        <v>3493</v>
      </c>
      <c r="B36" s="152" t="s">
        <v>627</v>
      </c>
      <c r="C36" s="152" t="s">
        <v>628</v>
      </c>
      <c r="D36" s="279" t="s">
        <v>3519</v>
      </c>
      <c r="E36" s="273">
        <v>16000.0</v>
      </c>
      <c r="F36" s="274">
        <f t="shared" si="2"/>
        <v>21917.12674</v>
      </c>
      <c r="G36" s="275" t="s">
        <v>57</v>
      </c>
      <c r="H36" s="274">
        <f>IFERROR(VLOOKUP(B36, 'Database Resto'!C:P, 13, FALSE),"")</f>
        <v>21.91712674</v>
      </c>
      <c r="I36" s="5" t="str">
        <f>IFERROR(VLOOKUP(B36, 'Database Resto'!C:T, 15, FALSE),"")</f>
        <v>Gram</v>
      </c>
      <c r="J36" s="274">
        <f t="shared" si="4"/>
        <v>26.30055209</v>
      </c>
      <c r="K36" s="6" t="str">
        <f>IFERROR(VLOOKUP(B36, 'Database Resto'!C:T, 15, FALSE),"")</f>
        <v>Gram</v>
      </c>
      <c r="L36" s="281">
        <v>0.2</v>
      </c>
      <c r="M36" s="3"/>
    </row>
    <row r="37">
      <c r="A37" s="152" t="s">
        <v>3483</v>
      </c>
      <c r="B37" s="152" t="s">
        <v>3534</v>
      </c>
      <c r="C37" s="152" t="s">
        <v>3535</v>
      </c>
      <c r="D37" s="279" t="s">
        <v>3519</v>
      </c>
      <c r="E37" s="273">
        <v>51000.0</v>
      </c>
      <c r="F37" s="274">
        <f t="shared" ref="F37:F47" si="5">H37</f>
        <v>775.0575339</v>
      </c>
      <c r="G37" s="275" t="s">
        <v>7</v>
      </c>
      <c r="H37" s="274">
        <f>IFERROR(VLOOKUP(B37, 'Database Resto'!C:P, 13, FALSE),"")</f>
        <v>775.0575339</v>
      </c>
      <c r="I37" s="5" t="str">
        <f>IFERROR(VLOOKUP(B37, 'Database Resto'!C:T, 15, FALSE),"")</f>
        <v>Pcs</v>
      </c>
      <c r="J37" s="272"/>
      <c r="K37" s="6" t="str">
        <f>IFERROR(VLOOKUP(B37, 'Database Resto'!C:T, 15, FALSE),"")</f>
        <v>Pcs</v>
      </c>
      <c r="L37" s="276"/>
      <c r="M37" s="3"/>
    </row>
    <row r="38">
      <c r="A38" s="152" t="s">
        <v>3483</v>
      </c>
      <c r="B38" s="152" t="s">
        <v>3536</v>
      </c>
      <c r="C38" s="152" t="s">
        <v>3537</v>
      </c>
      <c r="D38" s="279" t="s">
        <v>3519</v>
      </c>
      <c r="E38" s="273">
        <v>37000.0</v>
      </c>
      <c r="F38" s="274">
        <f t="shared" si="5"/>
        <v>471.9567691</v>
      </c>
      <c r="G38" s="275" t="s">
        <v>7</v>
      </c>
      <c r="H38" s="274">
        <f>IFERROR(VLOOKUP(B38, 'Database Resto'!C:P, 13, FALSE),"")</f>
        <v>471.9567691</v>
      </c>
      <c r="I38" s="5" t="str">
        <f>IFERROR(VLOOKUP(B38, 'Database Resto'!C:T, 15, FALSE),"")</f>
        <v>Pcs</v>
      </c>
      <c r="J38" s="272"/>
      <c r="K38" s="6" t="str">
        <f>IFERROR(VLOOKUP(B38, 'Database Resto'!C:T, 15, FALSE),"")</f>
        <v>Pcs</v>
      </c>
      <c r="L38" s="276"/>
      <c r="M38" s="3"/>
    </row>
    <row r="39">
      <c r="A39" s="152" t="s">
        <v>3483</v>
      </c>
      <c r="B39" s="152" t="s">
        <v>3036</v>
      </c>
      <c r="C39" s="152" t="s">
        <v>3038</v>
      </c>
      <c r="D39" s="279" t="s">
        <v>3519</v>
      </c>
      <c r="E39" s="273">
        <v>3750.0</v>
      </c>
      <c r="F39" s="274">
        <f t="shared" si="5"/>
        <v>279.9629385</v>
      </c>
      <c r="G39" s="275" t="s">
        <v>7</v>
      </c>
      <c r="H39" s="274">
        <f>IFERROR(VLOOKUP(B39, 'Database Resto'!C:P, 13, FALSE),"")</f>
        <v>279.9629385</v>
      </c>
      <c r="I39" s="5" t="str">
        <f>IFERROR(VLOOKUP(B39, 'Database Resto'!C:T, 15, FALSE),"")</f>
        <v>Pcs</v>
      </c>
      <c r="J39" s="272"/>
      <c r="K39" s="6" t="str">
        <f>IFERROR(VLOOKUP(B39, 'Database Resto'!C:T, 15, FALSE),"")</f>
        <v>Pcs</v>
      </c>
      <c r="L39" s="276"/>
      <c r="M39" s="3"/>
    </row>
    <row r="40">
      <c r="A40" s="152" t="s">
        <v>3483</v>
      </c>
      <c r="B40" s="152" t="s">
        <v>3538</v>
      </c>
      <c r="C40" s="152" t="s">
        <v>3539</v>
      </c>
      <c r="D40" s="279" t="s">
        <v>3519</v>
      </c>
      <c r="E40" s="273">
        <v>39000.0</v>
      </c>
      <c r="F40" s="274">
        <f t="shared" si="5"/>
        <v>341.5787161</v>
      </c>
      <c r="G40" s="275" t="s">
        <v>7</v>
      </c>
      <c r="H40" s="274">
        <f>IFERROR(VLOOKUP(B40, 'Database Resto'!C:P, 13, FALSE),"")</f>
        <v>341.5787161</v>
      </c>
      <c r="I40" s="5" t="str">
        <f>IFERROR(VLOOKUP(B40, 'Database Resto'!C:T, 15, FALSE),"")</f>
        <v>Pcs</v>
      </c>
      <c r="J40" s="272"/>
      <c r="K40" s="6" t="str">
        <f>IFERROR(VLOOKUP(B40, 'Database Resto'!C:T, 15, FALSE),"")</f>
        <v>Pcs</v>
      </c>
      <c r="L40" s="276"/>
      <c r="M40" s="3"/>
    </row>
    <row r="41">
      <c r="A41" s="152" t="s">
        <v>3483</v>
      </c>
      <c r="B41" s="152" t="s">
        <v>3540</v>
      </c>
      <c r="C41" s="152" t="s">
        <v>3541</v>
      </c>
      <c r="D41" s="279" t="s">
        <v>3519</v>
      </c>
      <c r="E41" s="273">
        <v>62000.0</v>
      </c>
      <c r="F41" s="274">
        <f t="shared" si="5"/>
        <v>2066.666667</v>
      </c>
      <c r="G41" s="275" t="s">
        <v>7</v>
      </c>
      <c r="H41" s="274">
        <f>IFERROR(VLOOKUP(B41, 'Database Resto'!C:P, 13, FALSE),"")</f>
        <v>2066.666667</v>
      </c>
      <c r="I41" s="5" t="str">
        <f>IFERROR(VLOOKUP(B41, 'Database Resto'!C:T, 15, FALSE),"")</f>
        <v>Pcs</v>
      </c>
      <c r="J41" s="272"/>
      <c r="K41" s="6" t="str">
        <f>IFERROR(VLOOKUP(B41, 'Database Resto'!C:T, 15, FALSE),"")</f>
        <v>Pcs</v>
      </c>
      <c r="L41" s="276"/>
      <c r="M41" s="3"/>
    </row>
    <row r="42">
      <c r="A42" s="152" t="s">
        <v>3483</v>
      </c>
      <c r="B42" s="152" t="s">
        <v>3542</v>
      </c>
      <c r="C42" s="152" t="s">
        <v>3543</v>
      </c>
      <c r="D42" s="279" t="s">
        <v>3519</v>
      </c>
      <c r="E42" s="273">
        <v>40000.0</v>
      </c>
      <c r="F42" s="274">
        <f t="shared" si="5"/>
        <v>656.573117</v>
      </c>
      <c r="G42" s="275" t="s">
        <v>7</v>
      </c>
      <c r="H42" s="274">
        <f>IFERROR(VLOOKUP(B42, 'Database Resto'!C:P, 13, FALSE),"")</f>
        <v>656.573117</v>
      </c>
      <c r="I42" s="5" t="str">
        <f>IFERROR(VLOOKUP(B42, 'Database Resto'!C:T, 15, FALSE),"")</f>
        <v>Pcs</v>
      </c>
      <c r="J42" s="272"/>
      <c r="K42" s="6" t="str">
        <f>IFERROR(VLOOKUP(B42, 'Database Resto'!C:T, 15, FALSE),"")</f>
        <v>Pcs</v>
      </c>
      <c r="L42" s="276"/>
      <c r="M42" s="3"/>
    </row>
    <row r="43">
      <c r="A43" s="152" t="s">
        <v>3483</v>
      </c>
      <c r="B43" s="152" t="s">
        <v>3544</v>
      </c>
      <c r="C43" s="152" t="s">
        <v>3545</v>
      </c>
      <c r="D43" s="279" t="s">
        <v>3519</v>
      </c>
      <c r="E43" s="273">
        <v>40500.0</v>
      </c>
      <c r="F43" s="274">
        <f t="shared" si="5"/>
        <v>369.5932029</v>
      </c>
      <c r="G43" s="275" t="s">
        <v>7</v>
      </c>
      <c r="H43" s="274">
        <f>IFERROR(VLOOKUP(B43, 'Database Resto'!C:P, 13, FALSE),"")</f>
        <v>369.5932029</v>
      </c>
      <c r="I43" s="5" t="str">
        <f>IFERROR(VLOOKUP(B43, 'Database Resto'!C:T, 15, FALSE),"")</f>
        <v>Pcs</v>
      </c>
      <c r="J43" s="272"/>
      <c r="K43" s="6" t="str">
        <f>IFERROR(VLOOKUP(B43, 'Database Resto'!C:T, 15, FALSE),"")</f>
        <v>Pcs</v>
      </c>
      <c r="L43" s="276"/>
      <c r="M43" s="3"/>
    </row>
    <row r="44">
      <c r="A44" s="152" t="s">
        <v>3483</v>
      </c>
      <c r="B44" s="152" t="s">
        <v>3546</v>
      </c>
      <c r="C44" s="152" t="s">
        <v>2472</v>
      </c>
      <c r="D44" s="279" t="s">
        <v>3519</v>
      </c>
      <c r="E44" s="273">
        <v>52000.0</v>
      </c>
      <c r="F44" s="274">
        <f t="shared" si="5"/>
        <v>1733.333333</v>
      </c>
      <c r="G44" s="275" t="s">
        <v>7</v>
      </c>
      <c r="H44" s="274">
        <f>IFERROR(VLOOKUP(B44, 'Database Resto'!C:P, 13, FALSE),"")</f>
        <v>1733.333333</v>
      </c>
      <c r="I44" s="5" t="str">
        <f>IFERROR(VLOOKUP(B44, 'Database Resto'!C:T, 15, FALSE),"")</f>
        <v>Pcs</v>
      </c>
      <c r="J44" s="272"/>
      <c r="K44" s="6" t="str">
        <f>IFERROR(VLOOKUP(B44, 'Database Resto'!C:T, 15, FALSE),"")</f>
        <v>Pcs</v>
      </c>
      <c r="L44" s="276"/>
      <c r="M44" s="3"/>
    </row>
    <row r="45">
      <c r="A45" s="152" t="s">
        <v>3483</v>
      </c>
      <c r="B45" s="152" t="s">
        <v>3547</v>
      </c>
      <c r="C45" s="152" t="s">
        <v>2473</v>
      </c>
      <c r="D45" s="279" t="s">
        <v>3519</v>
      </c>
      <c r="E45" s="273">
        <v>62000.0</v>
      </c>
      <c r="F45" s="274">
        <f t="shared" si="5"/>
        <v>2066.666667</v>
      </c>
      <c r="G45" s="275" t="s">
        <v>7</v>
      </c>
      <c r="H45" s="274">
        <f>IFERROR(VLOOKUP(B45, 'Database Resto'!C:P, 13, FALSE),"")</f>
        <v>2066.666667</v>
      </c>
      <c r="I45" s="5" t="str">
        <f>IFERROR(VLOOKUP(B45, 'Database Resto'!C:T, 15, FALSE),"")</f>
        <v>Pcs</v>
      </c>
      <c r="J45" s="272"/>
      <c r="K45" s="6" t="str">
        <f>IFERROR(VLOOKUP(B45, 'Database Resto'!C:T, 15, FALSE),"")</f>
        <v>Pcs</v>
      </c>
      <c r="L45" s="276"/>
      <c r="M45" s="3"/>
    </row>
    <row r="46">
      <c r="A46" s="152" t="s">
        <v>3483</v>
      </c>
      <c r="B46" s="152" t="s">
        <v>3548</v>
      </c>
      <c r="C46" s="152" t="s">
        <v>3549</v>
      </c>
      <c r="D46" s="279" t="s">
        <v>3519</v>
      </c>
      <c r="E46" s="273">
        <v>37500.0</v>
      </c>
      <c r="F46" s="274">
        <f t="shared" si="5"/>
        <v>625</v>
      </c>
      <c r="G46" s="275" t="s">
        <v>7</v>
      </c>
      <c r="H46" s="274">
        <f>IFERROR(VLOOKUP(B46, 'Database Resto'!C:P, 13, FALSE),"")</f>
        <v>625</v>
      </c>
      <c r="I46" s="5" t="str">
        <f>IFERROR(VLOOKUP(B46, 'Database Resto'!C:T, 15, FALSE),"")</f>
        <v>Pcs</v>
      </c>
      <c r="J46" s="272"/>
      <c r="K46" s="6" t="str">
        <f>IFERROR(VLOOKUP(B46, 'Database Resto'!C:T, 15, FALSE),"")</f>
        <v>Pcs</v>
      </c>
      <c r="L46" s="276"/>
      <c r="M46" s="3"/>
    </row>
    <row r="47">
      <c r="A47" s="152" t="s">
        <v>3483</v>
      </c>
      <c r="B47" s="152" t="s">
        <v>3550</v>
      </c>
      <c r="C47" s="152" t="s">
        <v>3551</v>
      </c>
      <c r="D47" s="279" t="s">
        <v>3519</v>
      </c>
      <c r="E47" s="273">
        <v>25000.0</v>
      </c>
      <c r="F47" s="274">
        <f t="shared" si="5"/>
        <v>500</v>
      </c>
      <c r="G47" s="275" t="s">
        <v>7</v>
      </c>
      <c r="H47" s="274">
        <f>IFERROR(VLOOKUP(B47, 'Database Resto'!C:P, 13, FALSE),"")</f>
        <v>500</v>
      </c>
      <c r="I47" s="5" t="str">
        <f>IFERROR(VLOOKUP(B47, 'Database Resto'!C:T, 15, FALSE),"")</f>
        <v>Pcs</v>
      </c>
      <c r="J47" s="272"/>
      <c r="K47" s="6" t="str">
        <f>IFERROR(VLOOKUP(B47, 'Database Resto'!C:T, 15, FALSE),"")</f>
        <v>Pcs</v>
      </c>
      <c r="L47" s="276"/>
      <c r="M47" s="3"/>
    </row>
    <row r="48">
      <c r="A48" s="91"/>
      <c r="B48" s="91"/>
      <c r="C48" s="91"/>
      <c r="E48" s="28"/>
      <c r="F48" s="283"/>
      <c r="G48" s="284"/>
      <c r="H48" s="283"/>
      <c r="I48" s="285"/>
      <c r="K48" s="285"/>
      <c r="L48" s="286"/>
      <c r="M48" s="3"/>
    </row>
    <row r="49">
      <c r="A49" s="91"/>
      <c r="B49" s="91"/>
      <c r="C49" s="91"/>
      <c r="E49" s="28"/>
      <c r="F49" s="283"/>
      <c r="G49" s="284"/>
      <c r="H49" s="283"/>
      <c r="I49" s="285"/>
      <c r="K49" s="285"/>
      <c r="L49" s="286"/>
      <c r="M49" s="3"/>
    </row>
    <row r="50">
      <c r="A50" s="91"/>
      <c r="B50" s="91"/>
      <c r="C50" s="91"/>
      <c r="E50" s="28"/>
      <c r="F50" s="283"/>
      <c r="G50" s="284"/>
      <c r="H50" s="283"/>
      <c r="I50" s="285"/>
      <c r="K50" s="285"/>
      <c r="L50" s="286"/>
      <c r="M50" s="3"/>
    </row>
    <row r="51">
      <c r="A51" s="91"/>
      <c r="B51" s="91"/>
      <c r="C51" s="91"/>
      <c r="E51" s="28"/>
      <c r="F51" s="283"/>
      <c r="G51" s="284"/>
      <c r="H51" s="283"/>
      <c r="I51" s="285"/>
      <c r="K51" s="285"/>
      <c r="L51" s="286"/>
      <c r="M51" s="3"/>
    </row>
    <row r="52">
      <c r="A52" s="91"/>
      <c r="B52" s="91"/>
      <c r="C52" s="91"/>
      <c r="E52" s="28"/>
      <c r="F52" s="283"/>
      <c r="G52" s="284"/>
      <c r="H52" s="283"/>
      <c r="I52" s="285"/>
      <c r="K52" s="285"/>
      <c r="L52" s="286"/>
      <c r="M52" s="3"/>
    </row>
    <row r="53">
      <c r="A53" s="91"/>
      <c r="B53" s="91"/>
      <c r="C53" s="91"/>
      <c r="E53" s="28"/>
      <c r="F53" s="283"/>
      <c r="G53" s="284"/>
      <c r="H53" s="283"/>
      <c r="I53" s="285"/>
      <c r="K53" s="285"/>
      <c r="L53" s="286"/>
      <c r="M53" s="3"/>
    </row>
    <row r="54">
      <c r="A54" s="91"/>
      <c r="B54" s="91"/>
      <c r="C54" s="91"/>
      <c r="E54" s="28"/>
      <c r="F54" s="283"/>
      <c r="G54" s="284"/>
      <c r="H54" s="283"/>
      <c r="I54" s="285"/>
      <c r="K54" s="285"/>
      <c r="L54" s="286"/>
      <c r="M54" s="3"/>
    </row>
    <row r="55">
      <c r="A55" s="91"/>
      <c r="B55" s="91"/>
      <c r="C55" s="91"/>
      <c r="E55" s="28"/>
      <c r="F55" s="283"/>
      <c r="G55" s="284"/>
      <c r="H55" s="283"/>
      <c r="I55" s="285"/>
      <c r="K55" s="285"/>
      <c r="L55" s="286"/>
      <c r="M55" s="3"/>
    </row>
    <row r="56">
      <c r="A56" s="91"/>
      <c r="B56" s="91"/>
      <c r="C56" s="91"/>
      <c r="E56" s="28"/>
      <c r="F56" s="283"/>
      <c r="G56" s="284"/>
      <c r="H56" s="283"/>
      <c r="I56" s="285"/>
      <c r="K56" s="285"/>
      <c r="L56" s="286"/>
      <c r="M56" s="3"/>
    </row>
    <row r="57">
      <c r="A57" s="91"/>
      <c r="B57" s="91"/>
      <c r="C57" s="91"/>
      <c r="E57" s="28"/>
      <c r="F57" s="283"/>
      <c r="G57" s="284"/>
      <c r="H57" s="283"/>
      <c r="I57" s="285"/>
      <c r="K57" s="285"/>
      <c r="L57" s="286"/>
      <c r="M57" s="3"/>
    </row>
    <row r="58">
      <c r="A58" s="91"/>
      <c r="B58" s="91"/>
      <c r="C58" s="91"/>
      <c r="E58" s="28"/>
      <c r="F58" s="283"/>
      <c r="G58" s="284"/>
      <c r="H58" s="283"/>
      <c r="I58" s="285"/>
      <c r="K58" s="285"/>
      <c r="L58" s="286"/>
      <c r="M58" s="3"/>
    </row>
    <row r="59">
      <c r="A59" s="91"/>
      <c r="B59" s="91"/>
      <c r="C59" s="91"/>
      <c r="E59" s="28"/>
      <c r="F59" s="283"/>
      <c r="G59" s="284"/>
      <c r="H59" s="283"/>
      <c r="I59" s="285"/>
      <c r="K59" s="285"/>
      <c r="L59" s="286"/>
      <c r="M59" s="3"/>
    </row>
    <row r="60">
      <c r="A60" s="91"/>
      <c r="B60" s="91"/>
      <c r="C60" s="91"/>
      <c r="E60" s="28"/>
      <c r="F60" s="283"/>
      <c r="G60" s="284"/>
      <c r="H60" s="283"/>
      <c r="I60" s="285"/>
      <c r="K60" s="285"/>
      <c r="L60" s="286"/>
      <c r="M60" s="3"/>
    </row>
    <row r="61">
      <c r="A61" s="91"/>
      <c r="B61" s="91"/>
      <c r="C61" s="91"/>
      <c r="E61" s="28"/>
      <c r="F61" s="283"/>
      <c r="G61" s="284"/>
      <c r="H61" s="283"/>
      <c r="I61" s="285"/>
      <c r="K61" s="285"/>
      <c r="L61" s="286"/>
      <c r="M61" s="3"/>
    </row>
    <row r="62">
      <c r="A62" s="91"/>
      <c r="B62" s="91"/>
      <c r="C62" s="91"/>
      <c r="E62" s="28"/>
      <c r="F62" s="283"/>
      <c r="G62" s="284"/>
      <c r="H62" s="283"/>
      <c r="I62" s="285"/>
      <c r="K62" s="285"/>
      <c r="L62" s="286"/>
      <c r="M62" s="3"/>
    </row>
    <row r="63">
      <c r="A63" s="91"/>
      <c r="B63" s="91"/>
      <c r="C63" s="91"/>
      <c r="E63" s="28"/>
      <c r="F63" s="283"/>
      <c r="G63" s="284"/>
      <c r="H63" s="283"/>
      <c r="I63" s="285"/>
      <c r="K63" s="285"/>
      <c r="L63" s="286"/>
      <c r="M63" s="3"/>
    </row>
    <row r="64">
      <c r="A64" s="91"/>
      <c r="B64" s="91"/>
      <c r="C64" s="91"/>
      <c r="E64" s="28"/>
      <c r="F64" s="283"/>
      <c r="G64" s="284"/>
      <c r="H64" s="283"/>
      <c r="I64" s="285"/>
      <c r="K64" s="285"/>
      <c r="L64" s="286"/>
      <c r="M64" s="3"/>
    </row>
    <row r="65">
      <c r="A65" s="91"/>
      <c r="B65" s="91"/>
      <c r="C65" s="91"/>
      <c r="E65" s="28"/>
      <c r="F65" s="283"/>
      <c r="G65" s="284"/>
      <c r="H65" s="283"/>
      <c r="I65" s="285"/>
      <c r="K65" s="285"/>
      <c r="L65" s="286"/>
      <c r="M65" s="3"/>
    </row>
    <row r="66">
      <c r="A66" s="91"/>
      <c r="B66" s="91"/>
      <c r="C66" s="91"/>
      <c r="E66" s="28"/>
      <c r="F66" s="283"/>
      <c r="G66" s="284"/>
      <c r="H66" s="283"/>
      <c r="I66" s="285"/>
      <c r="K66" s="285"/>
      <c r="L66" s="286"/>
      <c r="M66" s="3"/>
    </row>
    <row r="67">
      <c r="A67" s="91"/>
      <c r="B67" s="91"/>
      <c r="C67" s="91"/>
      <c r="E67" s="28"/>
      <c r="F67" s="283"/>
      <c r="G67" s="284"/>
      <c r="H67" s="283"/>
      <c r="I67" s="285"/>
      <c r="K67" s="285"/>
      <c r="L67" s="286"/>
      <c r="M67" s="3"/>
    </row>
    <row r="68">
      <c r="A68" s="91"/>
      <c r="B68" s="91"/>
      <c r="C68" s="91"/>
      <c r="E68" s="28"/>
      <c r="F68" s="283"/>
      <c r="G68" s="284"/>
      <c r="H68" s="283"/>
      <c r="I68" s="285"/>
      <c r="K68" s="285"/>
      <c r="L68" s="286"/>
      <c r="M68" s="3"/>
    </row>
    <row r="69">
      <c r="A69" s="91"/>
      <c r="B69" s="91"/>
      <c r="C69" s="91"/>
      <c r="E69" s="28"/>
      <c r="F69" s="283"/>
      <c r="G69" s="284"/>
      <c r="H69" s="283"/>
      <c r="I69" s="285"/>
      <c r="K69" s="285"/>
      <c r="L69" s="286"/>
      <c r="M69" s="3"/>
    </row>
    <row r="70">
      <c r="A70" s="91"/>
      <c r="B70" s="91"/>
      <c r="C70" s="91"/>
      <c r="E70" s="28"/>
      <c r="F70" s="283"/>
      <c r="G70" s="284"/>
      <c r="H70" s="283"/>
      <c r="I70" s="285"/>
      <c r="K70" s="285"/>
      <c r="L70" s="286"/>
      <c r="M70" s="3"/>
    </row>
    <row r="71">
      <c r="A71" s="91"/>
      <c r="B71" s="91"/>
      <c r="C71" s="91"/>
      <c r="E71" s="28"/>
      <c r="F71" s="283"/>
      <c r="G71" s="284"/>
      <c r="H71" s="283"/>
      <c r="I71" s="285"/>
      <c r="K71" s="285"/>
      <c r="L71" s="286"/>
      <c r="M71" s="3"/>
    </row>
    <row r="72">
      <c r="A72" s="91"/>
      <c r="B72" s="91"/>
      <c r="C72" s="91"/>
      <c r="E72" s="28"/>
      <c r="F72" s="283"/>
      <c r="G72" s="284"/>
      <c r="H72" s="283"/>
      <c r="I72" s="285"/>
      <c r="K72" s="285"/>
      <c r="L72" s="286"/>
      <c r="M72" s="3"/>
    </row>
    <row r="73">
      <c r="A73" s="91"/>
      <c r="B73" s="91"/>
      <c r="C73" s="91"/>
      <c r="E73" s="28"/>
      <c r="F73" s="283"/>
      <c r="G73" s="284"/>
      <c r="H73" s="283"/>
      <c r="I73" s="285"/>
      <c r="K73" s="285"/>
      <c r="L73" s="286"/>
      <c r="M73" s="3"/>
    </row>
    <row r="74">
      <c r="A74" s="91"/>
      <c r="B74" s="91"/>
      <c r="C74" s="91"/>
      <c r="E74" s="28"/>
      <c r="F74" s="283"/>
      <c r="G74" s="284"/>
      <c r="H74" s="283"/>
      <c r="I74" s="285"/>
      <c r="K74" s="285"/>
      <c r="L74" s="286"/>
      <c r="M74" s="3"/>
    </row>
    <row r="75">
      <c r="A75" s="91"/>
      <c r="B75" s="91"/>
      <c r="C75" s="91"/>
      <c r="E75" s="28"/>
      <c r="F75" s="283"/>
      <c r="G75" s="284"/>
      <c r="H75" s="283"/>
      <c r="I75" s="285"/>
      <c r="K75" s="285"/>
      <c r="L75" s="262"/>
    </row>
    <row r="76">
      <c r="A76" s="91"/>
      <c r="B76" s="91"/>
      <c r="C76" s="91"/>
      <c r="E76" s="28"/>
      <c r="F76" s="283"/>
      <c r="G76" s="284"/>
      <c r="H76" s="283"/>
      <c r="I76" s="285"/>
      <c r="K76" s="285"/>
      <c r="L76" s="262"/>
    </row>
    <row r="77">
      <c r="A77" s="91"/>
      <c r="B77" s="91"/>
      <c r="C77" s="91"/>
      <c r="E77" s="28"/>
      <c r="F77" s="283"/>
      <c r="G77" s="284"/>
      <c r="H77" s="283"/>
      <c r="I77" s="285"/>
      <c r="K77" s="285"/>
      <c r="L77" s="262"/>
    </row>
    <row r="78">
      <c r="A78" s="91"/>
      <c r="B78" s="91"/>
      <c r="C78" s="91"/>
      <c r="E78" s="28"/>
      <c r="F78" s="283"/>
      <c r="G78" s="284"/>
      <c r="H78" s="283"/>
      <c r="I78" s="285"/>
      <c r="K78" s="285"/>
      <c r="L78" s="262"/>
    </row>
    <row r="79">
      <c r="A79" s="91"/>
      <c r="B79" s="91"/>
      <c r="C79" s="91"/>
      <c r="E79" s="28"/>
      <c r="F79" s="283"/>
      <c r="G79" s="284"/>
      <c r="H79" s="283"/>
      <c r="I79" s="285"/>
      <c r="K79" s="285"/>
      <c r="L79" s="262"/>
    </row>
    <row r="80">
      <c r="A80" s="91"/>
      <c r="B80" s="91"/>
      <c r="C80" s="91"/>
      <c r="E80" s="28"/>
      <c r="F80" s="283"/>
      <c r="G80" s="284"/>
      <c r="H80" s="283"/>
      <c r="I80" s="285"/>
      <c r="K80" s="285"/>
      <c r="L80" s="262"/>
    </row>
    <row r="81">
      <c r="A81" s="91"/>
      <c r="B81" s="91"/>
      <c r="C81" s="91"/>
      <c r="E81" s="28"/>
      <c r="F81" s="283"/>
      <c r="G81" s="284"/>
      <c r="H81" s="283"/>
      <c r="I81" s="285"/>
      <c r="K81" s="285"/>
      <c r="L81" s="262"/>
    </row>
    <row r="82">
      <c r="A82" s="91"/>
      <c r="B82" s="91"/>
      <c r="C82" s="91"/>
      <c r="E82" s="28"/>
      <c r="F82" s="283"/>
      <c r="G82" s="284"/>
      <c r="H82" s="283"/>
      <c r="I82" s="285"/>
      <c r="K82" s="285"/>
      <c r="L82" s="262"/>
    </row>
    <row r="83">
      <c r="A83" s="91"/>
      <c r="B83" s="91"/>
      <c r="C83" s="91"/>
      <c r="E83" s="28"/>
      <c r="F83" s="283"/>
      <c r="G83" s="284"/>
      <c r="H83" s="283"/>
      <c r="I83" s="285"/>
      <c r="K83" s="285"/>
      <c r="L83" s="262"/>
    </row>
    <row r="84">
      <c r="A84" s="91"/>
      <c r="B84" s="91"/>
      <c r="C84" s="91"/>
      <c r="E84" s="28"/>
      <c r="F84" s="283"/>
      <c r="G84" s="284"/>
      <c r="H84" s="283"/>
      <c r="I84" s="285"/>
      <c r="K84" s="285"/>
      <c r="L84" s="262"/>
    </row>
    <row r="85">
      <c r="A85" s="91"/>
      <c r="B85" s="91"/>
      <c r="C85" s="91"/>
      <c r="E85" s="28"/>
      <c r="F85" s="283"/>
      <c r="G85" s="284"/>
      <c r="H85" s="283"/>
      <c r="I85" s="285"/>
      <c r="K85" s="285"/>
      <c r="L85" s="262"/>
    </row>
    <row r="86">
      <c r="A86" s="91"/>
      <c r="B86" s="91"/>
      <c r="C86" s="91"/>
      <c r="E86" s="28"/>
      <c r="F86" s="283"/>
      <c r="G86" s="284"/>
      <c r="H86" s="283"/>
      <c r="I86" s="285"/>
      <c r="K86" s="285"/>
      <c r="L86" s="262"/>
    </row>
    <row r="87">
      <c r="A87" s="91"/>
      <c r="B87" s="91"/>
      <c r="C87" s="91"/>
      <c r="E87" s="28"/>
      <c r="F87" s="283"/>
      <c r="G87" s="284"/>
      <c r="H87" s="283"/>
      <c r="I87" s="285"/>
      <c r="K87" s="285"/>
      <c r="L87" s="262"/>
    </row>
    <row r="88">
      <c r="A88" s="91"/>
      <c r="B88" s="91"/>
      <c r="C88" s="91"/>
      <c r="E88" s="28"/>
      <c r="F88" s="283"/>
      <c r="G88" s="284"/>
      <c r="H88" s="283"/>
      <c r="I88" s="285"/>
      <c r="K88" s="285"/>
      <c r="L88" s="262"/>
    </row>
    <row r="89">
      <c r="A89" s="91"/>
      <c r="B89" s="91"/>
      <c r="C89" s="91"/>
      <c r="E89" s="28"/>
      <c r="F89" s="283"/>
      <c r="G89" s="284"/>
      <c r="H89" s="283"/>
      <c r="I89" s="285"/>
      <c r="K89" s="285"/>
      <c r="L89" s="262"/>
    </row>
    <row r="90">
      <c r="A90" s="91"/>
      <c r="B90" s="91"/>
      <c r="C90" s="91"/>
      <c r="E90" s="28"/>
      <c r="F90" s="283"/>
      <c r="G90" s="284"/>
      <c r="H90" s="283"/>
      <c r="I90" s="285"/>
      <c r="K90" s="285"/>
      <c r="L90" s="262"/>
    </row>
    <row r="91">
      <c r="A91" s="91"/>
      <c r="B91" s="91"/>
      <c r="C91" s="91"/>
      <c r="E91" s="28"/>
      <c r="F91" s="283"/>
      <c r="G91" s="284"/>
      <c r="H91" s="283"/>
      <c r="I91" s="285"/>
      <c r="K91" s="285"/>
      <c r="L91" s="262"/>
    </row>
    <row r="92">
      <c r="A92" s="91"/>
      <c r="B92" s="91"/>
      <c r="C92" s="91"/>
      <c r="E92" s="28"/>
      <c r="F92" s="283"/>
      <c r="G92" s="284"/>
      <c r="H92" s="283"/>
      <c r="I92" s="285"/>
      <c r="K92" s="285"/>
      <c r="L92" s="262"/>
    </row>
    <row r="93">
      <c r="A93" s="91"/>
      <c r="B93" s="91"/>
      <c r="C93" s="91"/>
      <c r="E93" s="28"/>
      <c r="F93" s="283"/>
      <c r="G93" s="284"/>
      <c r="H93" s="283"/>
      <c r="I93" s="285"/>
      <c r="K93" s="285"/>
      <c r="L93" s="262"/>
    </row>
    <row r="94">
      <c r="A94" s="91"/>
      <c r="B94" s="91"/>
      <c r="C94" s="91"/>
      <c r="E94" s="28"/>
      <c r="F94" s="283"/>
      <c r="G94" s="284"/>
      <c r="H94" s="283"/>
      <c r="I94" s="285"/>
      <c r="K94" s="285"/>
      <c r="L94" s="262"/>
    </row>
    <row r="95">
      <c r="A95" s="91"/>
      <c r="B95" s="91"/>
      <c r="C95" s="91"/>
      <c r="E95" s="28"/>
      <c r="F95" s="283"/>
      <c r="G95" s="284"/>
      <c r="H95" s="283"/>
      <c r="I95" s="285"/>
      <c r="K95" s="285"/>
      <c r="L95" s="262"/>
    </row>
    <row r="96">
      <c r="A96" s="91"/>
      <c r="B96" s="91"/>
      <c r="C96" s="91"/>
      <c r="E96" s="28"/>
      <c r="F96" s="283"/>
      <c r="G96" s="284"/>
      <c r="H96" s="283"/>
      <c r="I96" s="285"/>
      <c r="K96" s="285"/>
      <c r="L96" s="262"/>
    </row>
    <row r="97">
      <c r="A97" s="91"/>
      <c r="B97" s="91"/>
      <c r="C97" s="91"/>
      <c r="E97" s="28"/>
      <c r="F97" s="283"/>
      <c r="G97" s="284"/>
      <c r="H97" s="283"/>
      <c r="I97" s="285"/>
      <c r="K97" s="285"/>
      <c r="L97" s="262"/>
    </row>
    <row r="98">
      <c r="A98" s="91"/>
      <c r="B98" s="91"/>
      <c r="C98" s="91"/>
      <c r="E98" s="28"/>
      <c r="F98" s="283"/>
      <c r="G98" s="284"/>
      <c r="H98" s="283"/>
      <c r="I98" s="285"/>
      <c r="K98" s="285"/>
      <c r="L98" s="262"/>
    </row>
    <row r="99">
      <c r="A99" s="91"/>
      <c r="B99" s="91"/>
      <c r="C99" s="91"/>
      <c r="E99" s="28"/>
      <c r="F99" s="283"/>
      <c r="G99" s="284"/>
      <c r="H99" s="283"/>
      <c r="I99" s="285"/>
      <c r="K99" s="285"/>
      <c r="L99" s="262"/>
    </row>
    <row r="100">
      <c r="A100" s="91"/>
      <c r="B100" s="91"/>
      <c r="C100" s="91"/>
      <c r="E100" s="28"/>
      <c r="F100" s="283"/>
      <c r="G100" s="284"/>
      <c r="H100" s="283"/>
      <c r="I100" s="285"/>
      <c r="K100" s="285"/>
      <c r="L100" s="262"/>
    </row>
    <row r="101">
      <c r="A101" s="91"/>
      <c r="B101" s="91"/>
      <c r="C101" s="91"/>
      <c r="E101" s="28"/>
      <c r="F101" s="283"/>
      <c r="G101" s="284"/>
      <c r="H101" s="283"/>
      <c r="I101" s="285"/>
      <c r="K101" s="285"/>
      <c r="L101" s="262"/>
    </row>
    <row r="102">
      <c r="A102" s="91"/>
      <c r="B102" s="91"/>
      <c r="C102" s="91"/>
      <c r="E102" s="28"/>
      <c r="F102" s="283"/>
      <c r="G102" s="284"/>
      <c r="H102" s="283"/>
      <c r="I102" s="285"/>
      <c r="K102" s="285"/>
      <c r="L102" s="262"/>
    </row>
    <row r="103">
      <c r="A103" s="91"/>
      <c r="B103" s="91"/>
      <c r="C103" s="91"/>
      <c r="E103" s="28"/>
      <c r="F103" s="283"/>
      <c r="G103" s="284"/>
      <c r="H103" s="283"/>
      <c r="I103" s="285"/>
      <c r="K103" s="285"/>
      <c r="L103" s="262"/>
    </row>
    <row r="104">
      <c r="A104" s="91"/>
      <c r="B104" s="91"/>
      <c r="C104" s="91"/>
      <c r="E104" s="28"/>
      <c r="F104" s="283"/>
      <c r="G104" s="284"/>
      <c r="H104" s="283"/>
      <c r="I104" s="285"/>
      <c r="K104" s="285"/>
      <c r="L104" s="262"/>
    </row>
    <row r="105">
      <c r="A105" s="91"/>
      <c r="B105" s="91"/>
      <c r="C105" s="91"/>
      <c r="E105" s="28"/>
      <c r="F105" s="283"/>
      <c r="G105" s="284"/>
      <c r="H105" s="283"/>
      <c r="I105" s="285"/>
      <c r="K105" s="285"/>
      <c r="L105" s="262"/>
    </row>
    <row r="106">
      <c r="A106" s="91"/>
      <c r="B106" s="91"/>
      <c r="C106" s="91"/>
      <c r="E106" s="28"/>
      <c r="F106" s="283"/>
      <c r="G106" s="284"/>
      <c r="H106" s="283"/>
      <c r="I106" s="285"/>
      <c r="K106" s="285"/>
      <c r="L106" s="262"/>
    </row>
    <row r="107">
      <c r="A107" s="91"/>
      <c r="B107" s="91"/>
      <c r="C107" s="91"/>
      <c r="E107" s="28"/>
      <c r="F107" s="283"/>
      <c r="G107" s="284"/>
      <c r="H107" s="283"/>
      <c r="I107" s="285"/>
      <c r="K107" s="285"/>
      <c r="L107" s="262"/>
    </row>
    <row r="108">
      <c r="A108" s="91"/>
      <c r="B108" s="91"/>
      <c r="C108" s="91"/>
      <c r="E108" s="28"/>
      <c r="F108" s="283"/>
      <c r="G108" s="284"/>
      <c r="H108" s="283"/>
      <c r="I108" s="285"/>
      <c r="K108" s="285"/>
      <c r="L108" s="262"/>
    </row>
    <row r="109">
      <c r="A109" s="91"/>
      <c r="B109" s="91"/>
      <c r="C109" s="91"/>
      <c r="E109" s="28"/>
      <c r="F109" s="283"/>
      <c r="G109" s="284"/>
      <c r="H109" s="283"/>
      <c r="I109" s="285"/>
      <c r="K109" s="285"/>
      <c r="L109" s="262"/>
    </row>
    <row r="110">
      <c r="A110" s="91"/>
      <c r="B110" s="91"/>
      <c r="C110" s="91"/>
      <c r="E110" s="28"/>
      <c r="F110" s="283"/>
      <c r="G110" s="284"/>
      <c r="H110" s="283"/>
      <c r="I110" s="285"/>
      <c r="K110" s="285"/>
      <c r="L110" s="262"/>
    </row>
    <row r="111">
      <c r="A111" s="91"/>
      <c r="B111" s="91"/>
      <c r="C111" s="91"/>
      <c r="E111" s="28"/>
      <c r="F111" s="283"/>
      <c r="G111" s="284"/>
      <c r="H111" s="283"/>
      <c r="I111" s="285"/>
      <c r="K111" s="285"/>
      <c r="L111" s="262"/>
    </row>
    <row r="112">
      <c r="A112" s="91"/>
      <c r="B112" s="91"/>
      <c r="C112" s="91"/>
      <c r="E112" s="28"/>
      <c r="F112" s="283"/>
      <c r="G112" s="284"/>
      <c r="H112" s="283"/>
      <c r="I112" s="285"/>
      <c r="K112" s="285"/>
      <c r="L112" s="262"/>
    </row>
    <row r="113">
      <c r="A113" s="91"/>
      <c r="B113" s="91"/>
      <c r="C113" s="91"/>
      <c r="E113" s="28"/>
      <c r="F113" s="283"/>
      <c r="G113" s="284"/>
      <c r="H113" s="283"/>
      <c r="I113" s="285"/>
      <c r="K113" s="285"/>
      <c r="L113" s="262"/>
    </row>
    <row r="114">
      <c r="A114" s="91"/>
      <c r="B114" s="91"/>
      <c r="C114" s="91"/>
      <c r="E114" s="28"/>
      <c r="F114" s="283"/>
      <c r="G114" s="284"/>
      <c r="H114" s="283"/>
      <c r="I114" s="285"/>
      <c r="K114" s="285"/>
      <c r="L114" s="262"/>
    </row>
    <row r="115">
      <c r="A115" s="91"/>
      <c r="B115" s="91"/>
      <c r="C115" s="91"/>
      <c r="E115" s="28"/>
      <c r="F115" s="283"/>
      <c r="G115" s="284"/>
      <c r="H115" s="283"/>
      <c r="I115" s="285"/>
      <c r="K115" s="285"/>
      <c r="L115" s="262"/>
    </row>
    <row r="116">
      <c r="A116" s="91"/>
      <c r="B116" s="91"/>
      <c r="C116" s="91"/>
      <c r="E116" s="28"/>
      <c r="F116" s="283"/>
      <c r="G116" s="284"/>
      <c r="H116" s="283"/>
      <c r="I116" s="285"/>
      <c r="K116" s="285"/>
      <c r="L116" s="262"/>
    </row>
    <row r="117">
      <c r="A117" s="91"/>
      <c r="B117" s="91"/>
      <c r="C117" s="91"/>
      <c r="E117" s="28"/>
      <c r="F117" s="283"/>
      <c r="G117" s="284"/>
      <c r="H117" s="283"/>
      <c r="I117" s="285"/>
      <c r="K117" s="285"/>
      <c r="L117" s="262"/>
    </row>
    <row r="118">
      <c r="A118" s="91"/>
      <c r="B118" s="91"/>
      <c r="C118" s="91"/>
      <c r="E118" s="28"/>
      <c r="F118" s="283"/>
      <c r="G118" s="284"/>
      <c r="H118" s="283"/>
      <c r="I118" s="285"/>
      <c r="K118" s="285"/>
      <c r="L118" s="262"/>
    </row>
    <row r="119">
      <c r="A119" s="91"/>
      <c r="B119" s="91"/>
      <c r="C119" s="91"/>
      <c r="E119" s="28"/>
      <c r="F119" s="283"/>
      <c r="G119" s="284"/>
      <c r="H119" s="283"/>
      <c r="I119" s="285"/>
      <c r="K119" s="285"/>
      <c r="L119" s="262"/>
    </row>
    <row r="120">
      <c r="A120" s="91"/>
      <c r="B120" s="91"/>
      <c r="C120" s="91"/>
      <c r="E120" s="28"/>
      <c r="F120" s="283"/>
      <c r="G120" s="284"/>
      <c r="H120" s="283"/>
      <c r="I120" s="285"/>
      <c r="K120" s="285"/>
      <c r="L120" s="262"/>
    </row>
    <row r="121">
      <c r="A121" s="91"/>
      <c r="B121" s="91"/>
      <c r="C121" s="91"/>
      <c r="E121" s="28"/>
      <c r="F121" s="283"/>
      <c r="G121" s="284"/>
      <c r="H121" s="283"/>
      <c r="I121" s="285"/>
      <c r="K121" s="285"/>
      <c r="L121" s="262"/>
    </row>
    <row r="122">
      <c r="A122" s="91"/>
      <c r="B122" s="91"/>
      <c r="C122" s="91"/>
      <c r="E122" s="28"/>
      <c r="F122" s="283"/>
      <c r="G122" s="284"/>
      <c r="H122" s="283"/>
      <c r="I122" s="285"/>
      <c r="K122" s="285"/>
      <c r="L122" s="262"/>
    </row>
    <row r="123">
      <c r="A123" s="91"/>
      <c r="B123" s="91"/>
      <c r="C123" s="91"/>
      <c r="E123" s="28"/>
      <c r="F123" s="283"/>
      <c r="G123" s="284"/>
      <c r="H123" s="283"/>
      <c r="I123" s="285"/>
      <c r="K123" s="285"/>
      <c r="L123" s="262"/>
    </row>
    <row r="124">
      <c r="A124" s="91"/>
      <c r="B124" s="91"/>
      <c r="C124" s="91"/>
      <c r="E124" s="28"/>
      <c r="F124" s="283"/>
      <c r="G124" s="284"/>
      <c r="H124" s="283"/>
      <c r="I124" s="285"/>
      <c r="K124" s="285"/>
      <c r="L124" s="262"/>
    </row>
    <row r="125">
      <c r="A125" s="91"/>
      <c r="B125" s="91"/>
      <c r="C125" s="91"/>
      <c r="E125" s="28"/>
      <c r="F125" s="283"/>
      <c r="G125" s="284"/>
      <c r="H125" s="283"/>
      <c r="I125" s="285"/>
      <c r="K125" s="285"/>
      <c r="L125" s="262"/>
    </row>
    <row r="126">
      <c r="A126" s="91"/>
      <c r="B126" s="91"/>
      <c r="C126" s="91"/>
      <c r="E126" s="28"/>
      <c r="F126" s="283"/>
      <c r="G126" s="284"/>
      <c r="H126" s="283"/>
      <c r="I126" s="285"/>
      <c r="K126" s="285"/>
      <c r="L126" s="262"/>
    </row>
    <row r="127">
      <c r="A127" s="91"/>
      <c r="B127" s="91"/>
      <c r="C127" s="91"/>
      <c r="E127" s="28"/>
      <c r="F127" s="283"/>
      <c r="G127" s="284"/>
      <c r="H127" s="283"/>
      <c r="I127" s="285"/>
      <c r="K127" s="285"/>
      <c r="L127" s="262"/>
    </row>
    <row r="128">
      <c r="A128" s="91"/>
      <c r="B128" s="91"/>
      <c r="C128" s="91"/>
      <c r="E128" s="28"/>
      <c r="F128" s="283"/>
      <c r="G128" s="284"/>
      <c r="H128" s="283"/>
      <c r="I128" s="285"/>
      <c r="K128" s="285"/>
      <c r="L128" s="262"/>
    </row>
    <row r="129">
      <c r="A129" s="91"/>
      <c r="B129" s="91"/>
      <c r="C129" s="91"/>
      <c r="E129" s="28"/>
      <c r="F129" s="283"/>
      <c r="G129" s="284"/>
      <c r="H129" s="283"/>
      <c r="I129" s="285"/>
      <c r="K129" s="285"/>
      <c r="L129" s="262"/>
    </row>
    <row r="130">
      <c r="A130" s="91"/>
      <c r="B130" s="91"/>
      <c r="C130" s="91"/>
      <c r="E130" s="28"/>
      <c r="F130" s="283"/>
      <c r="G130" s="284"/>
      <c r="H130" s="283"/>
      <c r="I130" s="285"/>
      <c r="K130" s="285"/>
      <c r="L130" s="262"/>
    </row>
    <row r="131">
      <c r="A131" s="91"/>
      <c r="B131" s="91"/>
      <c r="C131" s="91"/>
      <c r="E131" s="28"/>
      <c r="F131" s="283"/>
      <c r="G131" s="284"/>
      <c r="H131" s="283"/>
      <c r="I131" s="285"/>
      <c r="K131" s="285"/>
      <c r="L131" s="262"/>
    </row>
    <row r="132">
      <c r="A132" s="91"/>
      <c r="B132" s="91"/>
      <c r="C132" s="91"/>
      <c r="E132" s="28"/>
      <c r="F132" s="283"/>
      <c r="G132" s="284"/>
      <c r="H132" s="283"/>
      <c r="I132" s="285"/>
      <c r="K132" s="285"/>
      <c r="L132" s="262"/>
    </row>
    <row r="133">
      <c r="A133" s="91"/>
      <c r="B133" s="91"/>
      <c r="C133" s="91"/>
      <c r="E133" s="28"/>
      <c r="F133" s="283"/>
      <c r="G133" s="284"/>
      <c r="H133" s="283"/>
      <c r="I133" s="285"/>
      <c r="K133" s="285"/>
      <c r="L133" s="262"/>
    </row>
    <row r="134">
      <c r="A134" s="91"/>
      <c r="B134" s="91"/>
      <c r="C134" s="91"/>
      <c r="E134" s="28"/>
      <c r="F134" s="283"/>
      <c r="G134" s="284"/>
      <c r="H134" s="283"/>
      <c r="I134" s="285"/>
      <c r="K134" s="285"/>
      <c r="L134" s="262"/>
    </row>
    <row r="135">
      <c r="A135" s="91"/>
      <c r="B135" s="91"/>
      <c r="C135" s="91"/>
      <c r="E135" s="28"/>
      <c r="F135" s="283"/>
      <c r="G135" s="284"/>
      <c r="H135" s="283"/>
      <c r="I135" s="285"/>
      <c r="K135" s="285"/>
      <c r="L135" s="262"/>
    </row>
    <row r="136">
      <c r="A136" s="91"/>
      <c r="B136" s="91"/>
      <c r="C136" s="91"/>
      <c r="E136" s="28"/>
      <c r="F136" s="283"/>
      <c r="G136" s="284"/>
      <c r="H136" s="283"/>
      <c r="I136" s="285"/>
      <c r="K136" s="285"/>
      <c r="L136" s="262"/>
    </row>
    <row r="137">
      <c r="A137" s="91"/>
      <c r="B137" s="91"/>
      <c r="C137" s="91"/>
      <c r="E137" s="28"/>
      <c r="F137" s="283"/>
      <c r="G137" s="284"/>
      <c r="H137" s="283"/>
      <c r="I137" s="285"/>
      <c r="K137" s="285"/>
      <c r="L137" s="262"/>
    </row>
    <row r="138">
      <c r="A138" s="91"/>
      <c r="B138" s="91"/>
      <c r="C138" s="91"/>
      <c r="E138" s="28"/>
      <c r="F138" s="283"/>
      <c r="G138" s="284"/>
      <c r="H138" s="283"/>
      <c r="I138" s="285"/>
      <c r="K138" s="285"/>
      <c r="L138" s="262"/>
    </row>
    <row r="139">
      <c r="A139" s="91"/>
      <c r="B139" s="91"/>
      <c r="C139" s="91"/>
      <c r="E139" s="28"/>
      <c r="F139" s="283"/>
      <c r="G139" s="284"/>
      <c r="H139" s="283"/>
      <c r="I139" s="285"/>
      <c r="K139" s="285"/>
      <c r="L139" s="262"/>
    </row>
    <row r="140">
      <c r="A140" s="91"/>
      <c r="B140" s="91"/>
      <c r="C140" s="91"/>
      <c r="E140" s="28"/>
      <c r="F140" s="283"/>
      <c r="G140" s="284"/>
      <c r="H140" s="283"/>
      <c r="I140" s="285"/>
      <c r="K140" s="285"/>
      <c r="L140" s="262"/>
    </row>
    <row r="141">
      <c r="A141" s="91"/>
      <c r="B141" s="91"/>
      <c r="C141" s="91"/>
      <c r="E141" s="28"/>
      <c r="F141" s="283"/>
      <c r="G141" s="284"/>
      <c r="H141" s="283"/>
      <c r="I141" s="285"/>
      <c r="K141" s="285"/>
      <c r="L141" s="262"/>
    </row>
    <row r="142">
      <c r="A142" s="91"/>
      <c r="B142" s="91"/>
      <c r="C142" s="91"/>
      <c r="E142" s="28"/>
      <c r="F142" s="283"/>
      <c r="G142" s="284"/>
      <c r="H142" s="283"/>
      <c r="I142" s="285"/>
      <c r="K142" s="285"/>
      <c r="L142" s="262"/>
    </row>
    <row r="143">
      <c r="A143" s="91"/>
      <c r="B143" s="91"/>
      <c r="C143" s="91"/>
      <c r="E143" s="28"/>
      <c r="F143" s="283"/>
      <c r="G143" s="284"/>
      <c r="H143" s="283"/>
      <c r="I143" s="285"/>
      <c r="K143" s="285"/>
      <c r="L143" s="262"/>
    </row>
    <row r="144">
      <c r="A144" s="91"/>
      <c r="B144" s="91"/>
      <c r="C144" s="91"/>
      <c r="E144" s="28"/>
      <c r="F144" s="283"/>
      <c r="G144" s="284"/>
      <c r="H144" s="283"/>
      <c r="I144" s="285"/>
      <c r="K144" s="285"/>
      <c r="L144" s="262"/>
    </row>
    <row r="145">
      <c r="A145" s="91"/>
      <c r="B145" s="91"/>
      <c r="C145" s="91"/>
      <c r="E145" s="28"/>
      <c r="F145" s="283"/>
      <c r="G145" s="284"/>
      <c r="H145" s="283"/>
      <c r="I145" s="285"/>
      <c r="K145" s="285"/>
      <c r="L145" s="262"/>
    </row>
    <row r="146">
      <c r="A146" s="91"/>
      <c r="B146" s="91"/>
      <c r="C146" s="91"/>
      <c r="E146" s="28"/>
      <c r="F146" s="283"/>
      <c r="G146" s="284"/>
      <c r="H146" s="283"/>
      <c r="I146" s="285"/>
      <c r="K146" s="285"/>
      <c r="L146" s="262"/>
    </row>
    <row r="147">
      <c r="A147" s="91"/>
      <c r="B147" s="91"/>
      <c r="C147" s="91"/>
      <c r="E147" s="28"/>
      <c r="F147" s="283"/>
      <c r="G147" s="284"/>
      <c r="H147" s="283"/>
      <c r="I147" s="285"/>
      <c r="K147" s="285"/>
      <c r="L147" s="262"/>
    </row>
    <row r="148">
      <c r="A148" s="91"/>
      <c r="B148" s="91"/>
      <c r="C148" s="91"/>
      <c r="E148" s="28"/>
      <c r="F148" s="283"/>
      <c r="G148" s="284"/>
      <c r="H148" s="283"/>
      <c r="I148" s="285"/>
      <c r="K148" s="285"/>
      <c r="L148" s="262"/>
    </row>
    <row r="149">
      <c r="A149" s="91"/>
      <c r="B149" s="91"/>
      <c r="C149" s="91"/>
      <c r="E149" s="28"/>
      <c r="F149" s="283"/>
      <c r="G149" s="284"/>
      <c r="H149" s="283"/>
      <c r="I149" s="285"/>
      <c r="K149" s="285"/>
      <c r="L149" s="262"/>
    </row>
    <row r="150">
      <c r="A150" s="91"/>
      <c r="B150" s="91"/>
      <c r="C150" s="91"/>
      <c r="E150" s="28"/>
      <c r="F150" s="283"/>
      <c r="G150" s="284"/>
      <c r="H150" s="283"/>
      <c r="I150" s="285"/>
      <c r="K150" s="285"/>
      <c r="L150" s="262"/>
    </row>
    <row r="151">
      <c r="A151" s="91"/>
      <c r="B151" s="91"/>
      <c r="C151" s="91"/>
      <c r="E151" s="28"/>
      <c r="F151" s="283"/>
      <c r="G151" s="284"/>
      <c r="H151" s="283"/>
      <c r="I151" s="285"/>
      <c r="K151" s="285"/>
      <c r="L151" s="262"/>
    </row>
    <row r="152">
      <c r="A152" s="91"/>
      <c r="B152" s="91"/>
      <c r="C152" s="91"/>
      <c r="E152" s="28"/>
      <c r="F152" s="283"/>
      <c r="G152" s="284"/>
      <c r="H152" s="283"/>
      <c r="I152" s="285"/>
      <c r="K152" s="285"/>
      <c r="L152" s="262"/>
    </row>
    <row r="153">
      <c r="A153" s="91"/>
      <c r="B153" s="91"/>
      <c r="C153" s="91"/>
      <c r="E153" s="28"/>
      <c r="F153" s="283"/>
      <c r="G153" s="284"/>
      <c r="H153" s="283"/>
      <c r="I153" s="285"/>
      <c r="K153" s="285"/>
      <c r="L153" s="262"/>
    </row>
    <row r="154">
      <c r="A154" s="91"/>
      <c r="B154" s="91"/>
      <c r="C154" s="91"/>
      <c r="E154" s="28"/>
      <c r="F154" s="283"/>
      <c r="G154" s="284"/>
      <c r="H154" s="283"/>
      <c r="I154" s="285"/>
      <c r="K154" s="285"/>
      <c r="L154" s="262"/>
    </row>
    <row r="155">
      <c r="A155" s="91"/>
      <c r="B155" s="91"/>
      <c r="C155" s="91"/>
      <c r="E155" s="28"/>
      <c r="F155" s="283"/>
      <c r="G155" s="284"/>
      <c r="H155" s="283"/>
      <c r="I155" s="285"/>
      <c r="K155" s="285"/>
      <c r="L155" s="262"/>
    </row>
    <row r="156">
      <c r="A156" s="91"/>
      <c r="B156" s="91"/>
      <c r="C156" s="91"/>
      <c r="E156" s="28"/>
      <c r="F156" s="283"/>
      <c r="G156" s="284"/>
      <c r="H156" s="283"/>
      <c r="I156" s="285"/>
      <c r="K156" s="285"/>
      <c r="L156" s="262"/>
    </row>
    <row r="157">
      <c r="A157" s="91"/>
      <c r="B157" s="91"/>
      <c r="C157" s="91"/>
      <c r="E157" s="28"/>
      <c r="F157" s="283"/>
      <c r="G157" s="284"/>
      <c r="H157" s="283"/>
      <c r="I157" s="285"/>
      <c r="K157" s="285"/>
      <c r="L157" s="262"/>
    </row>
    <row r="158">
      <c r="A158" s="91"/>
      <c r="B158" s="91"/>
      <c r="C158" s="91"/>
      <c r="E158" s="28"/>
      <c r="F158" s="283"/>
      <c r="G158" s="284"/>
      <c r="H158" s="283"/>
      <c r="I158" s="285"/>
      <c r="K158" s="285"/>
      <c r="L158" s="262"/>
    </row>
    <row r="159">
      <c r="A159" s="91"/>
      <c r="B159" s="91"/>
      <c r="C159" s="91"/>
      <c r="E159" s="28"/>
      <c r="F159" s="283"/>
      <c r="G159" s="284"/>
      <c r="H159" s="283"/>
      <c r="I159" s="285"/>
      <c r="K159" s="285"/>
      <c r="L159" s="262"/>
    </row>
    <row r="160">
      <c r="A160" s="91"/>
      <c r="B160" s="91"/>
      <c r="C160" s="91"/>
      <c r="E160" s="28"/>
      <c r="F160" s="283"/>
      <c r="G160" s="284"/>
      <c r="H160" s="283"/>
      <c r="I160" s="285"/>
      <c r="K160" s="285"/>
      <c r="L160" s="262"/>
    </row>
    <row r="161">
      <c r="A161" s="91"/>
      <c r="B161" s="91"/>
      <c r="C161" s="91"/>
      <c r="E161" s="28"/>
      <c r="F161" s="283"/>
      <c r="G161" s="284"/>
      <c r="H161" s="283"/>
      <c r="I161" s="285"/>
      <c r="K161" s="285"/>
      <c r="L161" s="262"/>
    </row>
    <row r="162">
      <c r="A162" s="91"/>
      <c r="B162" s="91"/>
      <c r="C162" s="91"/>
      <c r="E162" s="28"/>
      <c r="F162" s="283"/>
      <c r="G162" s="284"/>
      <c r="H162" s="283"/>
      <c r="I162" s="285"/>
      <c r="K162" s="285"/>
      <c r="L162" s="262"/>
    </row>
    <row r="163">
      <c r="A163" s="91"/>
      <c r="B163" s="91"/>
      <c r="C163" s="91"/>
      <c r="E163" s="28"/>
      <c r="F163" s="283"/>
      <c r="G163" s="284"/>
      <c r="H163" s="283"/>
      <c r="I163" s="285"/>
      <c r="K163" s="285"/>
      <c r="L163" s="262"/>
    </row>
    <row r="164">
      <c r="A164" s="91"/>
      <c r="B164" s="91"/>
      <c r="C164" s="91"/>
      <c r="E164" s="28"/>
      <c r="F164" s="283"/>
      <c r="G164" s="284"/>
      <c r="H164" s="283"/>
      <c r="I164" s="285"/>
      <c r="K164" s="285"/>
      <c r="L164" s="262"/>
    </row>
    <row r="165">
      <c r="A165" s="91"/>
      <c r="B165" s="91"/>
      <c r="C165" s="91"/>
      <c r="E165" s="28"/>
      <c r="F165" s="283"/>
      <c r="G165" s="284"/>
      <c r="H165" s="283"/>
      <c r="I165" s="285"/>
      <c r="K165" s="285"/>
      <c r="L165" s="262"/>
    </row>
    <row r="166">
      <c r="A166" s="91"/>
      <c r="B166" s="91"/>
      <c r="C166" s="91"/>
      <c r="E166" s="28"/>
      <c r="F166" s="283"/>
      <c r="G166" s="284"/>
      <c r="H166" s="283"/>
      <c r="I166" s="285"/>
      <c r="K166" s="285"/>
      <c r="L166" s="262"/>
    </row>
    <row r="167">
      <c r="A167" s="91"/>
      <c r="B167" s="91"/>
      <c r="C167" s="91"/>
      <c r="E167" s="28"/>
      <c r="F167" s="283"/>
      <c r="G167" s="284"/>
      <c r="H167" s="283"/>
      <c r="I167" s="285"/>
      <c r="K167" s="285"/>
      <c r="L167" s="262"/>
    </row>
    <row r="168">
      <c r="A168" s="91"/>
      <c r="B168" s="91"/>
      <c r="C168" s="91"/>
      <c r="E168" s="28"/>
      <c r="F168" s="283"/>
      <c r="G168" s="284"/>
      <c r="H168" s="283"/>
      <c r="I168" s="285"/>
      <c r="K168" s="285"/>
      <c r="L168" s="262"/>
    </row>
    <row r="169">
      <c r="A169" s="91"/>
      <c r="B169" s="91"/>
      <c r="C169" s="91"/>
      <c r="E169" s="28"/>
      <c r="F169" s="283"/>
      <c r="G169" s="284"/>
      <c r="H169" s="283"/>
      <c r="I169" s="285"/>
      <c r="K169" s="285"/>
      <c r="L169" s="262"/>
    </row>
    <row r="170">
      <c r="A170" s="91"/>
      <c r="B170" s="91"/>
      <c r="C170" s="91"/>
      <c r="E170" s="28"/>
      <c r="F170" s="283"/>
      <c r="G170" s="284"/>
      <c r="H170" s="283"/>
      <c r="I170" s="285"/>
      <c r="K170" s="285"/>
      <c r="L170" s="262"/>
    </row>
    <row r="171">
      <c r="A171" s="91"/>
      <c r="B171" s="91"/>
      <c r="C171" s="91"/>
      <c r="E171" s="28"/>
      <c r="F171" s="283"/>
      <c r="G171" s="284"/>
      <c r="H171" s="283"/>
      <c r="I171" s="285"/>
      <c r="K171" s="285"/>
      <c r="L171" s="262"/>
    </row>
    <row r="172">
      <c r="A172" s="91"/>
      <c r="B172" s="91"/>
      <c r="C172" s="91"/>
      <c r="E172" s="28"/>
      <c r="F172" s="283"/>
      <c r="G172" s="284"/>
      <c r="H172" s="283"/>
      <c r="I172" s="285"/>
      <c r="K172" s="285"/>
      <c r="L172" s="262"/>
    </row>
    <row r="173">
      <c r="A173" s="91"/>
      <c r="B173" s="91"/>
      <c r="C173" s="91"/>
      <c r="E173" s="28"/>
      <c r="F173" s="283"/>
      <c r="G173" s="284"/>
      <c r="H173" s="283"/>
      <c r="I173" s="285"/>
      <c r="K173" s="285"/>
      <c r="L173" s="262"/>
    </row>
    <row r="174">
      <c r="A174" s="91"/>
      <c r="B174" s="91"/>
      <c r="C174" s="91"/>
      <c r="E174" s="28"/>
      <c r="F174" s="283"/>
      <c r="G174" s="284"/>
      <c r="H174" s="283"/>
      <c r="I174" s="285"/>
      <c r="K174" s="285"/>
      <c r="L174" s="262"/>
    </row>
    <row r="175">
      <c r="A175" s="91"/>
      <c r="B175" s="91"/>
      <c r="C175" s="91"/>
      <c r="E175" s="28"/>
      <c r="F175" s="283"/>
      <c r="G175" s="284"/>
      <c r="H175" s="283"/>
      <c r="I175" s="285"/>
      <c r="K175" s="285"/>
      <c r="L175" s="262"/>
    </row>
    <row r="176">
      <c r="A176" s="91"/>
      <c r="B176" s="91"/>
      <c r="C176" s="91"/>
      <c r="E176" s="28"/>
      <c r="F176" s="283"/>
      <c r="G176" s="284"/>
      <c r="H176" s="283"/>
      <c r="I176" s="285"/>
      <c r="K176" s="285"/>
      <c r="L176" s="262"/>
    </row>
    <row r="177">
      <c r="A177" s="91"/>
      <c r="B177" s="91"/>
      <c r="C177" s="91"/>
      <c r="E177" s="28"/>
      <c r="F177" s="283"/>
      <c r="G177" s="284"/>
      <c r="H177" s="283"/>
      <c r="I177" s="285"/>
      <c r="K177" s="285"/>
      <c r="L177" s="262"/>
    </row>
    <row r="178">
      <c r="A178" s="91"/>
      <c r="B178" s="91"/>
      <c r="C178" s="91"/>
      <c r="E178" s="28"/>
      <c r="F178" s="283"/>
      <c r="G178" s="284"/>
      <c r="H178" s="283"/>
      <c r="I178" s="285"/>
      <c r="K178" s="285"/>
      <c r="L178" s="262"/>
    </row>
    <row r="179">
      <c r="A179" s="91"/>
      <c r="B179" s="91"/>
      <c r="C179" s="91"/>
      <c r="E179" s="28"/>
      <c r="F179" s="283"/>
      <c r="G179" s="284"/>
      <c r="H179" s="283"/>
      <c r="I179" s="285"/>
      <c r="K179" s="285"/>
      <c r="L179" s="262"/>
    </row>
    <row r="180">
      <c r="A180" s="91"/>
      <c r="B180" s="91"/>
      <c r="C180" s="91"/>
      <c r="E180" s="28"/>
      <c r="F180" s="283"/>
      <c r="G180" s="284"/>
      <c r="H180" s="283"/>
      <c r="I180" s="285"/>
      <c r="K180" s="285"/>
      <c r="L180" s="262"/>
    </row>
    <row r="181">
      <c r="A181" s="91"/>
      <c r="B181" s="91"/>
      <c r="C181" s="91"/>
      <c r="E181" s="28"/>
      <c r="F181" s="283"/>
      <c r="G181" s="284"/>
      <c r="H181" s="283"/>
      <c r="I181" s="285"/>
      <c r="K181" s="285"/>
      <c r="L181" s="262"/>
    </row>
    <row r="182">
      <c r="A182" s="91"/>
      <c r="B182" s="91"/>
      <c r="C182" s="91"/>
      <c r="E182" s="28"/>
      <c r="F182" s="283"/>
      <c r="G182" s="284"/>
      <c r="H182" s="283"/>
      <c r="I182" s="285"/>
      <c r="K182" s="285"/>
      <c r="L182" s="262"/>
    </row>
    <row r="183">
      <c r="A183" s="91"/>
      <c r="B183" s="91"/>
      <c r="C183" s="91"/>
      <c r="E183" s="28"/>
      <c r="F183" s="283"/>
      <c r="G183" s="284"/>
      <c r="H183" s="283"/>
      <c r="I183" s="285"/>
      <c r="K183" s="285"/>
      <c r="L183" s="262"/>
    </row>
    <row r="184">
      <c r="A184" s="91"/>
      <c r="B184" s="91"/>
      <c r="C184" s="91"/>
      <c r="E184" s="28"/>
      <c r="F184" s="283"/>
      <c r="G184" s="284"/>
      <c r="H184" s="283"/>
      <c r="I184" s="285"/>
      <c r="K184" s="285"/>
      <c r="L184" s="262"/>
    </row>
    <row r="185">
      <c r="A185" s="91"/>
      <c r="B185" s="91"/>
      <c r="C185" s="91"/>
      <c r="E185" s="28"/>
      <c r="F185" s="283"/>
      <c r="G185" s="284"/>
      <c r="H185" s="283"/>
      <c r="I185" s="285"/>
      <c r="K185" s="285"/>
      <c r="L185" s="262"/>
    </row>
    <row r="186">
      <c r="A186" s="91"/>
      <c r="B186" s="91"/>
      <c r="C186" s="91"/>
      <c r="E186" s="28"/>
      <c r="F186" s="283"/>
      <c r="G186" s="284"/>
      <c r="H186" s="283"/>
      <c r="I186" s="285"/>
      <c r="K186" s="285"/>
      <c r="L186" s="262"/>
    </row>
    <row r="187">
      <c r="A187" s="91"/>
      <c r="B187" s="91"/>
      <c r="C187" s="91"/>
      <c r="E187" s="28"/>
      <c r="F187" s="283"/>
      <c r="G187" s="284"/>
      <c r="H187" s="283"/>
      <c r="I187" s="285"/>
      <c r="K187" s="285"/>
      <c r="L187" s="262"/>
    </row>
    <row r="188">
      <c r="A188" s="91"/>
      <c r="B188" s="91"/>
      <c r="C188" s="91"/>
      <c r="E188" s="28"/>
      <c r="F188" s="283"/>
      <c r="G188" s="284"/>
      <c r="H188" s="283"/>
      <c r="I188" s="285"/>
      <c r="K188" s="285"/>
      <c r="L188" s="262"/>
    </row>
    <row r="189">
      <c r="A189" s="91"/>
      <c r="B189" s="91"/>
      <c r="C189" s="91"/>
      <c r="E189" s="28"/>
      <c r="F189" s="283"/>
      <c r="G189" s="284"/>
      <c r="H189" s="283"/>
      <c r="I189" s="285"/>
      <c r="K189" s="285"/>
      <c r="L189" s="262"/>
    </row>
    <row r="190">
      <c r="A190" s="91"/>
      <c r="B190" s="91"/>
      <c r="C190" s="91"/>
      <c r="E190" s="28"/>
      <c r="F190" s="283"/>
      <c r="G190" s="284"/>
      <c r="H190" s="283"/>
      <c r="I190" s="285"/>
      <c r="K190" s="285"/>
      <c r="L190" s="262"/>
    </row>
    <row r="191">
      <c r="A191" s="91"/>
      <c r="B191" s="91"/>
      <c r="C191" s="91"/>
      <c r="E191" s="28"/>
      <c r="F191" s="283"/>
      <c r="G191" s="284"/>
      <c r="H191" s="283"/>
      <c r="I191" s="285"/>
      <c r="K191" s="285"/>
      <c r="L191" s="262"/>
    </row>
    <row r="192">
      <c r="A192" s="91"/>
      <c r="B192" s="91"/>
      <c r="C192" s="91"/>
      <c r="E192" s="28"/>
      <c r="F192" s="283"/>
      <c r="G192" s="284"/>
      <c r="H192" s="283"/>
      <c r="I192" s="285"/>
      <c r="K192" s="285"/>
      <c r="L192" s="262"/>
    </row>
    <row r="193">
      <c r="A193" s="91"/>
      <c r="B193" s="91"/>
      <c r="C193" s="91"/>
      <c r="E193" s="28"/>
      <c r="F193" s="283"/>
      <c r="G193" s="284"/>
      <c r="H193" s="283"/>
      <c r="I193" s="285"/>
      <c r="K193" s="285"/>
      <c r="L193" s="262"/>
    </row>
    <row r="194">
      <c r="A194" s="91"/>
      <c r="B194" s="91"/>
      <c r="C194" s="91"/>
      <c r="E194" s="28"/>
      <c r="F194" s="283"/>
      <c r="G194" s="284"/>
      <c r="H194" s="283"/>
      <c r="I194" s="285"/>
      <c r="K194" s="285"/>
      <c r="L194" s="262"/>
    </row>
    <row r="195">
      <c r="A195" s="91"/>
      <c r="B195" s="91"/>
      <c r="C195" s="91"/>
      <c r="E195" s="28"/>
      <c r="F195" s="283"/>
      <c r="G195" s="284"/>
      <c r="H195" s="283"/>
      <c r="I195" s="285"/>
      <c r="K195" s="285"/>
      <c r="L195" s="262"/>
    </row>
    <row r="196">
      <c r="A196" s="91"/>
      <c r="B196" s="91"/>
      <c r="C196" s="91"/>
      <c r="E196" s="28"/>
      <c r="F196" s="283"/>
      <c r="G196" s="284"/>
      <c r="H196" s="283"/>
      <c r="I196" s="285"/>
      <c r="K196" s="285"/>
      <c r="L196" s="262"/>
    </row>
    <row r="197">
      <c r="A197" s="91"/>
      <c r="B197" s="91"/>
      <c r="C197" s="91"/>
      <c r="E197" s="28"/>
      <c r="F197" s="283"/>
      <c r="G197" s="284"/>
      <c r="H197" s="283"/>
      <c r="I197" s="285"/>
      <c r="K197" s="285"/>
      <c r="L197" s="262"/>
    </row>
    <row r="198">
      <c r="A198" s="91"/>
      <c r="B198" s="91"/>
      <c r="C198" s="91"/>
      <c r="E198" s="28"/>
      <c r="F198" s="283"/>
      <c r="G198" s="284"/>
      <c r="H198" s="283"/>
      <c r="I198" s="285"/>
      <c r="K198" s="285"/>
      <c r="L198" s="262"/>
    </row>
    <row r="199">
      <c r="A199" s="91"/>
      <c r="B199" s="91"/>
      <c r="C199" s="91"/>
      <c r="E199" s="28"/>
      <c r="F199" s="283"/>
      <c r="G199" s="284"/>
      <c r="H199" s="283"/>
      <c r="I199" s="285"/>
      <c r="K199" s="285"/>
      <c r="L199" s="262"/>
    </row>
    <row r="200">
      <c r="A200" s="91"/>
      <c r="B200" s="91"/>
      <c r="C200" s="91"/>
      <c r="E200" s="28"/>
      <c r="F200" s="283"/>
      <c r="G200" s="284"/>
      <c r="H200" s="283"/>
      <c r="I200" s="285"/>
      <c r="K200" s="285"/>
      <c r="L200" s="262"/>
    </row>
    <row r="201">
      <c r="A201" s="91"/>
      <c r="B201" s="91"/>
      <c r="C201" s="91"/>
      <c r="E201" s="28"/>
      <c r="F201" s="283"/>
      <c r="G201" s="284"/>
      <c r="H201" s="283"/>
      <c r="I201" s="285"/>
      <c r="K201" s="285"/>
      <c r="L201" s="262"/>
    </row>
    <row r="202">
      <c r="A202" s="91"/>
      <c r="B202" s="91"/>
      <c r="C202" s="91"/>
      <c r="E202" s="28"/>
      <c r="F202" s="283"/>
      <c r="G202" s="284"/>
      <c r="H202" s="283"/>
      <c r="I202" s="285"/>
      <c r="K202" s="285"/>
      <c r="L202" s="262"/>
    </row>
    <row r="203">
      <c r="A203" s="91"/>
      <c r="B203" s="91"/>
      <c r="C203" s="91"/>
      <c r="E203" s="28"/>
      <c r="F203" s="283"/>
      <c r="G203" s="284"/>
      <c r="H203" s="283"/>
      <c r="I203" s="285"/>
      <c r="K203" s="285"/>
      <c r="L203" s="262"/>
    </row>
    <row r="204">
      <c r="A204" s="91"/>
      <c r="B204" s="91"/>
      <c r="C204" s="91"/>
      <c r="E204" s="28"/>
      <c r="F204" s="283"/>
      <c r="G204" s="284"/>
      <c r="H204" s="283"/>
      <c r="I204" s="285"/>
      <c r="K204" s="285"/>
      <c r="L204" s="262"/>
    </row>
    <row r="205">
      <c r="A205" s="91"/>
      <c r="B205" s="91"/>
      <c r="C205" s="91"/>
      <c r="E205" s="28"/>
      <c r="F205" s="283"/>
      <c r="G205" s="284"/>
      <c r="H205" s="283"/>
      <c r="I205" s="285"/>
      <c r="K205" s="285"/>
      <c r="L205" s="262"/>
    </row>
    <row r="206">
      <c r="A206" s="91"/>
      <c r="B206" s="91"/>
      <c r="C206" s="91"/>
      <c r="E206" s="28"/>
      <c r="F206" s="283"/>
      <c r="G206" s="284"/>
      <c r="H206" s="283"/>
      <c r="I206" s="285"/>
      <c r="K206" s="285"/>
      <c r="L206" s="262"/>
    </row>
    <row r="207">
      <c r="A207" s="91"/>
      <c r="B207" s="91"/>
      <c r="C207" s="91"/>
      <c r="E207" s="28"/>
      <c r="F207" s="283"/>
      <c r="G207" s="284"/>
      <c r="H207" s="283"/>
      <c r="I207" s="285"/>
      <c r="K207" s="285"/>
      <c r="L207" s="262"/>
    </row>
    <row r="208">
      <c r="A208" s="91"/>
      <c r="B208" s="91"/>
      <c r="C208" s="91"/>
      <c r="E208" s="28"/>
      <c r="F208" s="283"/>
      <c r="G208" s="284"/>
      <c r="H208" s="283"/>
      <c r="I208" s="285"/>
      <c r="K208" s="285"/>
      <c r="L208" s="262"/>
    </row>
    <row r="209">
      <c r="A209" s="91"/>
      <c r="B209" s="91"/>
      <c r="C209" s="91"/>
      <c r="E209" s="28"/>
      <c r="F209" s="283"/>
      <c r="G209" s="284"/>
      <c r="H209" s="283"/>
      <c r="I209" s="285"/>
      <c r="K209" s="285"/>
      <c r="L209" s="262"/>
    </row>
    <row r="210">
      <c r="A210" s="91"/>
      <c r="B210" s="91"/>
      <c r="C210" s="91"/>
      <c r="E210" s="28"/>
      <c r="F210" s="283"/>
      <c r="G210" s="284"/>
      <c r="H210" s="283"/>
      <c r="I210" s="285"/>
      <c r="K210" s="285"/>
      <c r="L210" s="262"/>
    </row>
    <row r="211">
      <c r="A211" s="91"/>
      <c r="B211" s="91"/>
      <c r="C211" s="91"/>
      <c r="E211" s="28"/>
      <c r="F211" s="283"/>
      <c r="G211" s="284"/>
      <c r="H211" s="283"/>
      <c r="I211" s="285"/>
      <c r="K211" s="285"/>
      <c r="L211" s="262"/>
    </row>
    <row r="212">
      <c r="A212" s="91"/>
      <c r="B212" s="91"/>
      <c r="C212" s="91"/>
      <c r="E212" s="28"/>
      <c r="F212" s="283"/>
      <c r="G212" s="284"/>
      <c r="H212" s="283"/>
      <c r="I212" s="285"/>
      <c r="K212" s="285"/>
      <c r="L212" s="262"/>
    </row>
    <row r="213">
      <c r="A213" s="91"/>
      <c r="B213" s="91"/>
      <c r="C213" s="91"/>
      <c r="E213" s="28"/>
      <c r="F213" s="283"/>
      <c r="G213" s="284"/>
      <c r="H213" s="283"/>
      <c r="I213" s="285"/>
      <c r="K213" s="285"/>
      <c r="L213" s="262"/>
    </row>
    <row r="214">
      <c r="A214" s="91"/>
      <c r="B214" s="91"/>
      <c r="C214" s="91"/>
      <c r="E214" s="28"/>
      <c r="F214" s="283"/>
      <c r="G214" s="284"/>
      <c r="H214" s="283"/>
      <c r="I214" s="285"/>
      <c r="K214" s="285"/>
      <c r="L214" s="262"/>
    </row>
    <row r="215">
      <c r="A215" s="91"/>
      <c r="B215" s="91"/>
      <c r="C215" s="91"/>
      <c r="E215" s="28"/>
      <c r="F215" s="283"/>
      <c r="G215" s="284"/>
      <c r="H215" s="283"/>
      <c r="I215" s="285"/>
      <c r="K215" s="285"/>
      <c r="L215" s="262"/>
    </row>
    <row r="216">
      <c r="A216" s="91"/>
      <c r="B216" s="91"/>
      <c r="C216" s="91"/>
      <c r="E216" s="28"/>
      <c r="F216" s="283"/>
      <c r="G216" s="284"/>
      <c r="H216" s="283"/>
      <c r="I216" s="285"/>
      <c r="K216" s="285"/>
      <c r="L216" s="262"/>
    </row>
    <row r="217">
      <c r="A217" s="91"/>
      <c r="B217" s="91"/>
      <c r="C217" s="91"/>
      <c r="E217" s="28"/>
      <c r="F217" s="283"/>
      <c r="G217" s="284"/>
      <c r="H217" s="283"/>
      <c r="I217" s="285"/>
      <c r="K217" s="285"/>
      <c r="L217" s="262"/>
    </row>
    <row r="218">
      <c r="A218" s="91"/>
      <c r="B218" s="91"/>
      <c r="C218" s="91"/>
      <c r="E218" s="28"/>
      <c r="F218" s="283"/>
      <c r="G218" s="284"/>
      <c r="H218" s="283"/>
      <c r="I218" s="285"/>
      <c r="K218" s="285"/>
      <c r="L218" s="262"/>
    </row>
    <row r="219">
      <c r="A219" s="91"/>
      <c r="B219" s="91"/>
      <c r="C219" s="91"/>
      <c r="E219" s="28"/>
      <c r="F219" s="283"/>
      <c r="G219" s="284"/>
      <c r="H219" s="283"/>
      <c r="I219" s="285"/>
      <c r="K219" s="285"/>
      <c r="L219" s="262"/>
    </row>
    <row r="220">
      <c r="A220" s="91"/>
      <c r="B220" s="91"/>
      <c r="C220" s="91"/>
      <c r="E220" s="28"/>
      <c r="F220" s="283"/>
      <c r="G220" s="284"/>
      <c r="H220" s="283"/>
      <c r="I220" s="285"/>
      <c r="K220" s="285"/>
      <c r="L220" s="262"/>
    </row>
    <row r="221">
      <c r="A221" s="91"/>
      <c r="B221" s="91"/>
      <c r="C221" s="91"/>
      <c r="E221" s="28"/>
      <c r="F221" s="283"/>
      <c r="G221" s="284"/>
      <c r="H221" s="283"/>
      <c r="I221" s="285"/>
      <c r="K221" s="285"/>
      <c r="L221" s="262"/>
    </row>
    <row r="222">
      <c r="A222" s="91"/>
      <c r="B222" s="91"/>
      <c r="C222" s="91"/>
      <c r="E222" s="28"/>
      <c r="F222" s="283"/>
      <c r="G222" s="284"/>
      <c r="H222" s="283"/>
      <c r="I222" s="285"/>
      <c r="K222" s="285"/>
      <c r="L222" s="262"/>
    </row>
    <row r="223">
      <c r="A223" s="91"/>
      <c r="B223" s="91"/>
      <c r="C223" s="91"/>
      <c r="E223" s="28"/>
      <c r="F223" s="283"/>
      <c r="G223" s="284"/>
      <c r="H223" s="283"/>
      <c r="I223" s="285"/>
      <c r="K223" s="285"/>
      <c r="L223" s="262"/>
    </row>
    <row r="224">
      <c r="A224" s="91"/>
      <c r="B224" s="91"/>
      <c r="C224" s="91"/>
      <c r="E224" s="28"/>
      <c r="F224" s="283"/>
      <c r="G224" s="284"/>
      <c r="H224" s="283"/>
      <c r="I224" s="285"/>
      <c r="K224" s="285"/>
      <c r="L224" s="262"/>
    </row>
    <row r="225">
      <c r="A225" s="91"/>
      <c r="B225" s="91"/>
      <c r="C225" s="91"/>
      <c r="E225" s="28"/>
      <c r="F225" s="283"/>
      <c r="G225" s="284"/>
      <c r="H225" s="283"/>
      <c r="I225" s="285"/>
      <c r="K225" s="285"/>
      <c r="L225" s="262"/>
    </row>
    <row r="226">
      <c r="A226" s="91"/>
      <c r="B226" s="91"/>
      <c r="C226" s="91"/>
      <c r="E226" s="28"/>
      <c r="F226" s="283"/>
      <c r="G226" s="284"/>
      <c r="H226" s="283"/>
      <c r="I226" s="285"/>
      <c r="K226" s="285"/>
      <c r="L226" s="262"/>
    </row>
    <row r="227">
      <c r="A227" s="91"/>
      <c r="B227" s="91"/>
      <c r="C227" s="91"/>
      <c r="E227" s="28"/>
      <c r="F227" s="283"/>
      <c r="G227" s="284"/>
      <c r="H227" s="283"/>
      <c r="I227" s="285"/>
      <c r="K227" s="285"/>
      <c r="L227" s="262"/>
    </row>
    <row r="228">
      <c r="A228" s="91"/>
      <c r="B228" s="91"/>
      <c r="C228" s="91"/>
      <c r="E228" s="28"/>
      <c r="F228" s="283"/>
      <c r="G228" s="284"/>
      <c r="H228" s="283"/>
      <c r="I228" s="285"/>
      <c r="K228" s="285"/>
      <c r="L228" s="262"/>
    </row>
    <row r="229">
      <c r="A229" s="91"/>
      <c r="B229" s="91"/>
      <c r="C229" s="91"/>
      <c r="E229" s="28"/>
      <c r="F229" s="283"/>
      <c r="G229" s="284"/>
      <c r="H229" s="283"/>
      <c r="I229" s="285"/>
      <c r="K229" s="285"/>
      <c r="L229" s="262"/>
    </row>
    <row r="230">
      <c r="A230" s="91"/>
      <c r="B230" s="91"/>
      <c r="C230" s="91"/>
      <c r="E230" s="28"/>
      <c r="F230" s="283"/>
      <c r="G230" s="284"/>
      <c r="H230" s="283"/>
      <c r="I230" s="285"/>
      <c r="K230" s="285"/>
      <c r="L230" s="262"/>
    </row>
    <row r="231">
      <c r="A231" s="91"/>
      <c r="B231" s="91"/>
      <c r="C231" s="91"/>
      <c r="E231" s="28"/>
      <c r="F231" s="283"/>
      <c r="G231" s="284"/>
      <c r="H231" s="283"/>
      <c r="I231" s="285"/>
      <c r="K231" s="285"/>
      <c r="L231" s="262"/>
    </row>
    <row r="232">
      <c r="A232" s="91"/>
      <c r="B232" s="91"/>
      <c r="C232" s="91"/>
      <c r="E232" s="28"/>
      <c r="F232" s="283"/>
      <c r="G232" s="284"/>
      <c r="H232" s="283"/>
      <c r="I232" s="285"/>
      <c r="K232" s="285"/>
      <c r="L232" s="262"/>
    </row>
    <row r="233">
      <c r="A233" s="91"/>
      <c r="B233" s="91"/>
      <c r="C233" s="91"/>
      <c r="E233" s="28"/>
      <c r="F233" s="283"/>
      <c r="G233" s="284"/>
      <c r="H233" s="283"/>
      <c r="I233" s="285"/>
      <c r="K233" s="285"/>
      <c r="L233" s="262"/>
    </row>
    <row r="234">
      <c r="A234" s="91"/>
      <c r="B234" s="91"/>
      <c r="C234" s="91"/>
      <c r="E234" s="28"/>
      <c r="F234" s="283"/>
      <c r="G234" s="284"/>
      <c r="H234" s="283"/>
      <c r="I234" s="285"/>
      <c r="K234" s="285"/>
      <c r="L234" s="262"/>
    </row>
    <row r="235">
      <c r="A235" s="91"/>
      <c r="B235" s="91"/>
      <c r="C235" s="91"/>
      <c r="E235" s="28"/>
      <c r="F235" s="283"/>
      <c r="G235" s="284"/>
      <c r="H235" s="283"/>
      <c r="I235" s="285"/>
      <c r="K235" s="285"/>
      <c r="L235" s="262"/>
    </row>
    <row r="236">
      <c r="A236" s="91"/>
      <c r="B236" s="91"/>
      <c r="C236" s="91"/>
      <c r="E236" s="28"/>
      <c r="F236" s="283"/>
      <c r="G236" s="284"/>
      <c r="H236" s="283"/>
      <c r="I236" s="285"/>
      <c r="K236" s="285"/>
      <c r="L236" s="262"/>
    </row>
    <row r="237">
      <c r="A237" s="91"/>
      <c r="B237" s="91"/>
      <c r="C237" s="91"/>
      <c r="E237" s="28"/>
      <c r="F237" s="283"/>
      <c r="G237" s="284"/>
      <c r="H237" s="283"/>
      <c r="I237" s="285"/>
      <c r="K237" s="285"/>
      <c r="L237" s="262"/>
    </row>
    <row r="238">
      <c r="A238" s="91"/>
      <c r="B238" s="91"/>
      <c r="C238" s="91"/>
      <c r="E238" s="28"/>
      <c r="F238" s="283"/>
      <c r="G238" s="284"/>
      <c r="H238" s="283"/>
      <c r="I238" s="285"/>
      <c r="K238" s="285"/>
      <c r="L238" s="262"/>
    </row>
    <row r="239">
      <c r="A239" s="91"/>
      <c r="B239" s="91"/>
      <c r="C239" s="91"/>
      <c r="E239" s="28"/>
      <c r="F239" s="283"/>
      <c r="G239" s="284"/>
      <c r="H239" s="283"/>
      <c r="I239" s="285"/>
      <c r="K239" s="285"/>
      <c r="L239" s="262"/>
    </row>
    <row r="240">
      <c r="A240" s="91"/>
      <c r="B240" s="91"/>
      <c r="C240" s="91"/>
      <c r="E240" s="28"/>
      <c r="F240" s="283"/>
      <c r="G240" s="284"/>
      <c r="H240" s="283"/>
      <c r="I240" s="285"/>
      <c r="K240" s="285"/>
      <c r="L240" s="262"/>
    </row>
    <row r="241">
      <c r="A241" s="91"/>
      <c r="B241" s="91"/>
      <c r="C241" s="91"/>
      <c r="E241" s="28"/>
      <c r="F241" s="283"/>
      <c r="G241" s="284"/>
      <c r="H241" s="283"/>
      <c r="I241" s="285"/>
      <c r="K241" s="285"/>
      <c r="L241" s="262"/>
    </row>
    <row r="242">
      <c r="A242" s="91"/>
      <c r="B242" s="91"/>
      <c r="C242" s="91"/>
      <c r="E242" s="28"/>
      <c r="F242" s="283"/>
      <c r="G242" s="284"/>
      <c r="H242" s="283"/>
      <c r="I242" s="285"/>
      <c r="K242" s="285"/>
      <c r="L242" s="262"/>
    </row>
    <row r="243">
      <c r="A243" s="91"/>
      <c r="B243" s="91"/>
      <c r="C243" s="91"/>
      <c r="E243" s="28"/>
      <c r="F243" s="283"/>
      <c r="G243" s="284"/>
      <c r="H243" s="283"/>
      <c r="I243" s="285"/>
      <c r="K243" s="285"/>
      <c r="L243" s="262"/>
    </row>
    <row r="244">
      <c r="A244" s="91"/>
      <c r="B244" s="91"/>
      <c r="C244" s="91"/>
      <c r="E244" s="28"/>
      <c r="F244" s="283"/>
      <c r="G244" s="284"/>
      <c r="H244" s="283"/>
      <c r="I244" s="285"/>
      <c r="K244" s="285"/>
      <c r="L244" s="262"/>
    </row>
    <row r="245">
      <c r="A245" s="91"/>
      <c r="B245" s="91"/>
      <c r="C245" s="91"/>
      <c r="E245" s="28"/>
      <c r="F245" s="283"/>
      <c r="G245" s="284"/>
      <c r="H245" s="283"/>
      <c r="I245" s="285"/>
      <c r="K245" s="285"/>
      <c r="L245" s="262"/>
    </row>
    <row r="246">
      <c r="A246" s="91"/>
      <c r="B246" s="91"/>
      <c r="C246" s="91"/>
      <c r="E246" s="28"/>
      <c r="F246" s="283"/>
      <c r="G246" s="284"/>
      <c r="H246" s="283"/>
      <c r="I246" s="285"/>
      <c r="K246" s="285"/>
      <c r="L246" s="262"/>
    </row>
    <row r="247">
      <c r="A247" s="91"/>
      <c r="B247" s="91"/>
      <c r="C247" s="91"/>
      <c r="E247" s="28"/>
      <c r="F247" s="283"/>
      <c r="G247" s="284"/>
      <c r="H247" s="283"/>
      <c r="I247" s="285"/>
      <c r="K247" s="285"/>
      <c r="L247" s="262"/>
    </row>
    <row r="248">
      <c r="A248" s="91"/>
      <c r="B248" s="91"/>
      <c r="C248" s="91"/>
      <c r="E248" s="28"/>
      <c r="F248" s="283"/>
      <c r="G248" s="284"/>
      <c r="H248" s="283"/>
      <c r="I248" s="285"/>
      <c r="K248" s="285"/>
      <c r="L248" s="262"/>
    </row>
    <row r="249">
      <c r="A249" s="91"/>
      <c r="B249" s="91"/>
      <c r="C249" s="91"/>
      <c r="E249" s="28"/>
      <c r="F249" s="283"/>
      <c r="G249" s="284"/>
      <c r="H249" s="283"/>
      <c r="I249" s="285"/>
      <c r="K249" s="285"/>
      <c r="L249" s="262"/>
    </row>
    <row r="250">
      <c r="A250" s="91"/>
      <c r="B250" s="91"/>
      <c r="C250" s="91"/>
      <c r="E250" s="28"/>
      <c r="F250" s="283"/>
      <c r="G250" s="284"/>
      <c r="H250" s="283"/>
      <c r="I250" s="285"/>
      <c r="K250" s="285"/>
      <c r="L250" s="262"/>
    </row>
    <row r="251">
      <c r="A251" s="91"/>
      <c r="B251" s="91"/>
      <c r="C251" s="91"/>
      <c r="E251" s="28"/>
      <c r="F251" s="283"/>
      <c r="G251" s="284"/>
      <c r="H251" s="283"/>
      <c r="I251" s="285"/>
      <c r="K251" s="285"/>
      <c r="L251" s="262"/>
    </row>
    <row r="252">
      <c r="A252" s="91"/>
      <c r="B252" s="91"/>
      <c r="C252" s="91"/>
      <c r="E252" s="28"/>
      <c r="F252" s="283"/>
      <c r="G252" s="284"/>
      <c r="H252" s="283"/>
      <c r="I252" s="285"/>
      <c r="K252" s="285"/>
      <c r="L252" s="262"/>
    </row>
    <row r="253">
      <c r="A253" s="91"/>
      <c r="B253" s="91"/>
      <c r="C253" s="91"/>
      <c r="E253" s="28"/>
      <c r="F253" s="283"/>
      <c r="G253" s="284"/>
      <c r="H253" s="283"/>
      <c r="I253" s="285"/>
      <c r="K253" s="285"/>
      <c r="L253" s="262"/>
    </row>
    <row r="254">
      <c r="A254" s="91"/>
      <c r="B254" s="91"/>
      <c r="C254" s="91"/>
      <c r="E254" s="28"/>
      <c r="F254" s="283"/>
      <c r="G254" s="284"/>
      <c r="H254" s="283"/>
      <c r="I254" s="285"/>
      <c r="K254" s="285"/>
      <c r="L254" s="262"/>
    </row>
    <row r="255">
      <c r="A255" s="91"/>
      <c r="B255" s="91"/>
      <c r="C255" s="91"/>
      <c r="E255" s="28"/>
      <c r="F255" s="283"/>
      <c r="G255" s="284"/>
      <c r="H255" s="283"/>
      <c r="I255" s="285"/>
      <c r="K255" s="285"/>
      <c r="L255" s="262"/>
    </row>
    <row r="256">
      <c r="A256" s="91"/>
      <c r="B256" s="91"/>
      <c r="C256" s="91"/>
      <c r="E256" s="28"/>
      <c r="F256" s="283"/>
      <c r="G256" s="284"/>
      <c r="H256" s="283"/>
      <c r="I256" s="285"/>
      <c r="K256" s="285"/>
      <c r="L256" s="262"/>
    </row>
    <row r="257">
      <c r="A257" s="91"/>
      <c r="B257" s="91"/>
      <c r="C257" s="91"/>
      <c r="E257" s="28"/>
      <c r="F257" s="283"/>
      <c r="G257" s="284"/>
      <c r="H257" s="283"/>
      <c r="I257" s="285"/>
      <c r="K257" s="285"/>
      <c r="L257" s="262"/>
    </row>
    <row r="258">
      <c r="A258" s="91"/>
      <c r="B258" s="91"/>
      <c r="C258" s="91"/>
      <c r="E258" s="28"/>
      <c r="F258" s="283"/>
      <c r="G258" s="284"/>
      <c r="H258" s="283"/>
      <c r="I258" s="285"/>
      <c r="K258" s="285"/>
      <c r="L258" s="262"/>
    </row>
    <row r="259">
      <c r="A259" s="91"/>
      <c r="B259" s="91"/>
      <c r="C259" s="91"/>
      <c r="E259" s="28"/>
      <c r="F259" s="283"/>
      <c r="G259" s="284"/>
      <c r="H259" s="283"/>
      <c r="I259" s="285"/>
      <c r="K259" s="285"/>
      <c r="L259" s="262"/>
    </row>
    <row r="260">
      <c r="A260" s="91"/>
      <c r="B260" s="91"/>
      <c r="C260" s="91"/>
      <c r="E260" s="28"/>
      <c r="F260" s="283"/>
      <c r="G260" s="284"/>
      <c r="H260" s="283"/>
      <c r="I260" s="285"/>
      <c r="K260" s="285"/>
      <c r="L260" s="262"/>
    </row>
    <row r="261">
      <c r="A261" s="91"/>
      <c r="B261" s="91"/>
      <c r="C261" s="91"/>
      <c r="E261" s="28"/>
      <c r="F261" s="283"/>
      <c r="G261" s="284"/>
      <c r="H261" s="283"/>
      <c r="I261" s="285"/>
      <c r="K261" s="285"/>
      <c r="L261" s="262"/>
    </row>
    <row r="262">
      <c r="A262" s="91"/>
      <c r="B262" s="91"/>
      <c r="C262" s="91"/>
      <c r="E262" s="28"/>
      <c r="F262" s="283"/>
      <c r="G262" s="284"/>
      <c r="H262" s="283"/>
      <c r="I262" s="285"/>
      <c r="K262" s="285"/>
      <c r="L262" s="262"/>
    </row>
    <row r="263">
      <c r="A263" s="91"/>
      <c r="B263" s="91"/>
      <c r="C263" s="91"/>
      <c r="E263" s="28"/>
      <c r="F263" s="283"/>
      <c r="G263" s="284"/>
      <c r="H263" s="283"/>
      <c r="I263" s="285"/>
      <c r="K263" s="285"/>
      <c r="L263" s="262"/>
    </row>
    <row r="264">
      <c r="A264" s="91"/>
      <c r="B264" s="91"/>
      <c r="C264" s="91"/>
      <c r="E264" s="28"/>
      <c r="F264" s="283"/>
      <c r="G264" s="284"/>
      <c r="H264" s="283"/>
      <c r="I264" s="285"/>
      <c r="K264" s="285"/>
      <c r="L264" s="262"/>
    </row>
    <row r="265">
      <c r="A265" s="91"/>
      <c r="B265" s="91"/>
      <c r="C265" s="91"/>
      <c r="E265" s="28"/>
      <c r="F265" s="283"/>
      <c r="G265" s="284"/>
      <c r="H265" s="283"/>
      <c r="I265" s="285"/>
      <c r="K265" s="285"/>
      <c r="L265" s="262"/>
    </row>
    <row r="266">
      <c r="A266" s="91"/>
      <c r="B266" s="91"/>
      <c r="C266" s="91"/>
      <c r="E266" s="28"/>
      <c r="F266" s="283"/>
      <c r="G266" s="284"/>
      <c r="H266" s="283"/>
      <c r="I266" s="285"/>
      <c r="K266" s="285"/>
      <c r="L266" s="262"/>
    </row>
    <row r="267">
      <c r="A267" s="91"/>
      <c r="B267" s="91"/>
      <c r="C267" s="91"/>
      <c r="E267" s="28"/>
      <c r="F267" s="283"/>
      <c r="G267" s="284"/>
      <c r="H267" s="283"/>
      <c r="I267" s="285"/>
      <c r="K267" s="285"/>
      <c r="L267" s="262"/>
    </row>
    <row r="268">
      <c r="A268" s="91"/>
      <c r="B268" s="91"/>
      <c r="C268" s="91"/>
      <c r="E268" s="28"/>
      <c r="F268" s="283"/>
      <c r="G268" s="284"/>
      <c r="H268" s="283"/>
      <c r="I268" s="285"/>
      <c r="K268" s="285"/>
      <c r="L268" s="262"/>
    </row>
    <row r="269">
      <c r="A269" s="91"/>
      <c r="B269" s="91"/>
      <c r="C269" s="91"/>
      <c r="E269" s="28"/>
      <c r="F269" s="283"/>
      <c r="G269" s="284"/>
      <c r="H269" s="283"/>
      <c r="I269" s="285"/>
      <c r="K269" s="285"/>
      <c r="L269" s="262"/>
    </row>
    <row r="270">
      <c r="A270" s="91"/>
      <c r="B270" s="91"/>
      <c r="C270" s="91"/>
      <c r="E270" s="28"/>
      <c r="F270" s="283"/>
      <c r="G270" s="284"/>
      <c r="H270" s="283"/>
      <c r="I270" s="285"/>
      <c r="K270" s="285"/>
      <c r="L270" s="262"/>
    </row>
    <row r="271">
      <c r="A271" s="91"/>
      <c r="B271" s="91"/>
      <c r="C271" s="91"/>
      <c r="E271" s="28"/>
      <c r="F271" s="283"/>
      <c r="G271" s="284"/>
      <c r="H271" s="283"/>
      <c r="I271" s="285"/>
      <c r="K271" s="285"/>
      <c r="L271" s="262"/>
    </row>
    <row r="272">
      <c r="A272" s="91"/>
      <c r="B272" s="91"/>
      <c r="C272" s="91"/>
      <c r="E272" s="28"/>
      <c r="F272" s="283"/>
      <c r="G272" s="284"/>
      <c r="H272" s="283"/>
      <c r="I272" s="285"/>
      <c r="K272" s="285"/>
      <c r="L272" s="262"/>
    </row>
    <row r="273">
      <c r="A273" s="91"/>
      <c r="B273" s="91"/>
      <c r="C273" s="91"/>
      <c r="E273" s="28"/>
      <c r="F273" s="283"/>
      <c r="G273" s="284"/>
      <c r="H273" s="283"/>
      <c r="I273" s="285"/>
      <c r="K273" s="285"/>
      <c r="L273" s="262"/>
    </row>
    <row r="274">
      <c r="A274" s="91"/>
      <c r="B274" s="91"/>
      <c r="C274" s="91"/>
      <c r="E274" s="28"/>
      <c r="F274" s="283"/>
      <c r="G274" s="284"/>
      <c r="H274" s="283"/>
      <c r="I274" s="285"/>
      <c r="K274" s="285"/>
      <c r="L274" s="262"/>
    </row>
    <row r="275">
      <c r="A275" s="91"/>
      <c r="B275" s="91"/>
      <c r="C275" s="91"/>
      <c r="E275" s="28"/>
      <c r="F275" s="283"/>
      <c r="G275" s="284"/>
      <c r="H275" s="283"/>
      <c r="I275" s="285"/>
      <c r="K275" s="285"/>
      <c r="L275" s="262"/>
    </row>
    <row r="276">
      <c r="A276" s="91"/>
      <c r="B276" s="91"/>
      <c r="C276" s="91"/>
      <c r="E276" s="28"/>
      <c r="F276" s="283"/>
      <c r="G276" s="284"/>
      <c r="H276" s="283"/>
      <c r="I276" s="285"/>
      <c r="K276" s="285"/>
      <c r="L276" s="262"/>
    </row>
    <row r="277">
      <c r="A277" s="91"/>
      <c r="B277" s="91"/>
      <c r="C277" s="91"/>
      <c r="E277" s="28"/>
      <c r="F277" s="283"/>
      <c r="G277" s="284"/>
      <c r="H277" s="283"/>
      <c r="I277" s="285"/>
      <c r="K277" s="285"/>
      <c r="L277" s="262"/>
    </row>
    <row r="278">
      <c r="A278" s="91"/>
      <c r="B278" s="91"/>
      <c r="C278" s="91"/>
      <c r="E278" s="28"/>
      <c r="F278" s="283"/>
      <c r="G278" s="284"/>
      <c r="H278" s="283"/>
      <c r="I278" s="285"/>
      <c r="K278" s="285"/>
      <c r="L278" s="262"/>
    </row>
    <row r="279">
      <c r="A279" s="91"/>
      <c r="B279" s="91"/>
      <c r="C279" s="91"/>
      <c r="E279" s="28"/>
      <c r="F279" s="283"/>
      <c r="G279" s="284"/>
      <c r="H279" s="283"/>
      <c r="I279" s="285"/>
      <c r="K279" s="285"/>
      <c r="L279" s="262"/>
    </row>
    <row r="280">
      <c r="A280" s="91"/>
      <c r="B280" s="91"/>
      <c r="C280" s="91"/>
      <c r="E280" s="28"/>
      <c r="F280" s="283"/>
      <c r="G280" s="284"/>
      <c r="H280" s="283"/>
      <c r="I280" s="285"/>
      <c r="K280" s="285"/>
      <c r="L280" s="262"/>
    </row>
    <row r="281">
      <c r="A281" s="91"/>
      <c r="B281" s="91"/>
      <c r="C281" s="91"/>
      <c r="E281" s="28"/>
      <c r="F281" s="283"/>
      <c r="G281" s="284"/>
      <c r="H281" s="283"/>
      <c r="I281" s="285"/>
      <c r="K281" s="285"/>
      <c r="L281" s="262"/>
    </row>
    <row r="282">
      <c r="A282" s="91"/>
      <c r="B282" s="91"/>
      <c r="C282" s="91"/>
      <c r="E282" s="28"/>
      <c r="F282" s="283"/>
      <c r="G282" s="284"/>
      <c r="H282" s="283"/>
      <c r="I282" s="285"/>
      <c r="K282" s="285"/>
      <c r="L282" s="262"/>
    </row>
    <row r="283">
      <c r="A283" s="91"/>
      <c r="B283" s="91"/>
      <c r="C283" s="91"/>
      <c r="E283" s="28"/>
      <c r="F283" s="283"/>
      <c r="G283" s="284"/>
      <c r="H283" s="283"/>
      <c r="I283" s="285"/>
      <c r="K283" s="285"/>
      <c r="L283" s="262"/>
    </row>
    <row r="284">
      <c r="A284" s="91"/>
      <c r="B284" s="91"/>
      <c r="C284" s="91"/>
      <c r="E284" s="28"/>
      <c r="F284" s="283"/>
      <c r="G284" s="284"/>
      <c r="H284" s="283"/>
      <c r="I284" s="285"/>
      <c r="K284" s="285"/>
      <c r="L284" s="262"/>
    </row>
    <row r="285">
      <c r="A285" s="91"/>
      <c r="B285" s="91"/>
      <c r="C285" s="91"/>
      <c r="E285" s="28"/>
      <c r="F285" s="283"/>
      <c r="G285" s="284"/>
      <c r="H285" s="283"/>
      <c r="I285" s="285"/>
      <c r="K285" s="285"/>
      <c r="L285" s="262"/>
    </row>
    <row r="286">
      <c r="A286" s="91"/>
      <c r="B286" s="91"/>
      <c r="C286" s="91"/>
      <c r="E286" s="28"/>
      <c r="F286" s="283"/>
      <c r="G286" s="284"/>
      <c r="H286" s="283"/>
      <c r="I286" s="285"/>
      <c r="K286" s="285"/>
      <c r="L286" s="262"/>
    </row>
    <row r="287">
      <c r="A287" s="91"/>
      <c r="B287" s="91"/>
      <c r="C287" s="91"/>
      <c r="E287" s="28"/>
      <c r="F287" s="283"/>
      <c r="G287" s="284"/>
      <c r="H287" s="283"/>
      <c r="I287" s="285"/>
      <c r="K287" s="285"/>
      <c r="L287" s="262"/>
    </row>
    <row r="288">
      <c r="A288" s="91"/>
      <c r="B288" s="91"/>
      <c r="C288" s="91"/>
      <c r="E288" s="28"/>
      <c r="F288" s="283"/>
      <c r="G288" s="284"/>
      <c r="H288" s="283"/>
      <c r="I288" s="285"/>
      <c r="K288" s="285"/>
      <c r="L288" s="262"/>
    </row>
    <row r="289">
      <c r="A289" s="91"/>
      <c r="B289" s="91"/>
      <c r="C289" s="91"/>
      <c r="E289" s="28"/>
      <c r="F289" s="283"/>
      <c r="G289" s="284"/>
      <c r="H289" s="283"/>
      <c r="I289" s="285"/>
      <c r="K289" s="285"/>
      <c r="L289" s="262"/>
    </row>
    <row r="290">
      <c r="A290" s="91"/>
      <c r="B290" s="91"/>
      <c r="C290" s="91"/>
      <c r="E290" s="28"/>
      <c r="F290" s="283"/>
      <c r="G290" s="284"/>
      <c r="H290" s="283"/>
      <c r="I290" s="285"/>
      <c r="K290" s="285"/>
      <c r="L290" s="262"/>
    </row>
    <row r="291">
      <c r="A291" s="91"/>
      <c r="B291" s="91"/>
      <c r="C291" s="91"/>
      <c r="E291" s="28"/>
      <c r="F291" s="283"/>
      <c r="G291" s="284"/>
      <c r="H291" s="283"/>
      <c r="I291" s="285"/>
      <c r="K291" s="285"/>
      <c r="L291" s="262"/>
    </row>
    <row r="292">
      <c r="A292" s="91"/>
      <c r="B292" s="91"/>
      <c r="C292" s="91"/>
      <c r="E292" s="28"/>
      <c r="F292" s="283"/>
      <c r="G292" s="284"/>
      <c r="H292" s="283"/>
      <c r="I292" s="285"/>
      <c r="K292" s="285"/>
      <c r="L292" s="262"/>
    </row>
    <row r="293">
      <c r="A293" s="91"/>
      <c r="B293" s="91"/>
      <c r="C293" s="91"/>
      <c r="E293" s="28"/>
      <c r="F293" s="283"/>
      <c r="G293" s="284"/>
      <c r="H293" s="283"/>
      <c r="I293" s="285"/>
      <c r="K293" s="285"/>
      <c r="L293" s="262"/>
    </row>
    <row r="294">
      <c r="A294" s="91"/>
      <c r="B294" s="91"/>
      <c r="C294" s="91"/>
      <c r="E294" s="28"/>
      <c r="F294" s="283"/>
      <c r="G294" s="284"/>
      <c r="H294" s="283"/>
      <c r="I294" s="285"/>
      <c r="K294" s="285"/>
      <c r="L294" s="262"/>
    </row>
    <row r="295">
      <c r="A295" s="91"/>
      <c r="B295" s="91"/>
      <c r="C295" s="91"/>
      <c r="E295" s="28"/>
      <c r="F295" s="283"/>
      <c r="G295" s="284"/>
      <c r="H295" s="283"/>
      <c r="I295" s="285"/>
      <c r="K295" s="285"/>
      <c r="L295" s="262"/>
    </row>
    <row r="296">
      <c r="A296" s="91"/>
      <c r="B296" s="91"/>
      <c r="C296" s="91"/>
      <c r="E296" s="28"/>
      <c r="F296" s="283"/>
      <c r="G296" s="284"/>
      <c r="H296" s="283"/>
      <c r="I296" s="285"/>
      <c r="K296" s="285"/>
      <c r="L296" s="262"/>
    </row>
    <row r="297">
      <c r="A297" s="91"/>
      <c r="B297" s="91"/>
      <c r="C297" s="91"/>
      <c r="E297" s="28"/>
      <c r="F297" s="283"/>
      <c r="G297" s="284"/>
      <c r="H297" s="283"/>
      <c r="I297" s="285"/>
      <c r="K297" s="285"/>
      <c r="L297" s="262"/>
    </row>
    <row r="298">
      <c r="A298" s="91"/>
      <c r="B298" s="91"/>
      <c r="C298" s="91"/>
      <c r="E298" s="28"/>
      <c r="F298" s="283"/>
      <c r="G298" s="284"/>
      <c r="H298" s="283"/>
      <c r="I298" s="285"/>
      <c r="K298" s="285"/>
      <c r="L298" s="262"/>
    </row>
    <row r="299">
      <c r="A299" s="91"/>
      <c r="B299" s="91"/>
      <c r="C299" s="91"/>
      <c r="E299" s="28"/>
      <c r="F299" s="283"/>
      <c r="G299" s="284"/>
      <c r="H299" s="283"/>
      <c r="I299" s="285"/>
      <c r="K299" s="285"/>
      <c r="L299" s="262"/>
    </row>
    <row r="300">
      <c r="A300" s="91"/>
      <c r="B300" s="91"/>
      <c r="C300" s="91"/>
      <c r="E300" s="28"/>
      <c r="F300" s="283"/>
      <c r="G300" s="284"/>
      <c r="H300" s="283"/>
      <c r="I300" s="285"/>
      <c r="K300" s="285"/>
      <c r="L300" s="262"/>
    </row>
    <row r="301">
      <c r="A301" s="91"/>
      <c r="B301" s="91"/>
      <c r="C301" s="91"/>
      <c r="E301" s="28"/>
      <c r="F301" s="283"/>
      <c r="G301" s="284"/>
      <c r="H301" s="283"/>
      <c r="I301" s="285"/>
      <c r="K301" s="285"/>
      <c r="L301" s="262"/>
    </row>
    <row r="302">
      <c r="A302" s="91"/>
      <c r="B302" s="91"/>
      <c r="C302" s="91"/>
      <c r="E302" s="28"/>
      <c r="F302" s="283"/>
      <c r="G302" s="284"/>
      <c r="H302" s="283"/>
      <c r="I302" s="285"/>
      <c r="K302" s="285"/>
      <c r="L302" s="262"/>
    </row>
    <row r="303">
      <c r="A303" s="91"/>
      <c r="B303" s="91"/>
      <c r="C303" s="91"/>
      <c r="E303" s="28"/>
      <c r="F303" s="283"/>
      <c r="G303" s="284"/>
      <c r="H303" s="283"/>
      <c r="I303" s="285"/>
      <c r="K303" s="285"/>
      <c r="L303" s="262"/>
    </row>
    <row r="304">
      <c r="A304" s="91"/>
      <c r="B304" s="91"/>
      <c r="C304" s="91"/>
      <c r="E304" s="28"/>
      <c r="F304" s="283"/>
      <c r="G304" s="284"/>
      <c r="H304" s="283"/>
      <c r="I304" s="285"/>
      <c r="K304" s="285"/>
      <c r="L304" s="262"/>
    </row>
    <row r="305">
      <c r="A305" s="91"/>
      <c r="B305" s="91"/>
      <c r="C305" s="91"/>
      <c r="E305" s="28"/>
      <c r="F305" s="283"/>
      <c r="G305" s="284"/>
      <c r="H305" s="283"/>
      <c r="I305" s="285"/>
      <c r="K305" s="285"/>
      <c r="L305" s="262"/>
    </row>
    <row r="306">
      <c r="A306" s="91"/>
      <c r="B306" s="91"/>
      <c r="C306" s="91"/>
      <c r="E306" s="28"/>
      <c r="F306" s="283"/>
      <c r="G306" s="284"/>
      <c r="H306" s="283"/>
      <c r="I306" s="285"/>
      <c r="K306" s="285"/>
      <c r="L306" s="262"/>
    </row>
    <row r="307">
      <c r="A307" s="91"/>
      <c r="B307" s="91"/>
      <c r="C307" s="91"/>
      <c r="E307" s="28"/>
      <c r="F307" s="283"/>
      <c r="G307" s="284"/>
      <c r="H307" s="283"/>
      <c r="I307" s="285"/>
      <c r="K307" s="285"/>
      <c r="L307" s="262"/>
    </row>
    <row r="308">
      <c r="A308" s="91"/>
      <c r="B308" s="91"/>
      <c r="C308" s="91"/>
      <c r="E308" s="28"/>
      <c r="F308" s="283"/>
      <c r="G308" s="284"/>
      <c r="H308" s="283"/>
      <c r="I308" s="285"/>
      <c r="K308" s="285"/>
      <c r="L308" s="262"/>
    </row>
    <row r="309">
      <c r="A309" s="91"/>
      <c r="B309" s="91"/>
      <c r="C309" s="91"/>
      <c r="E309" s="28"/>
      <c r="F309" s="283"/>
      <c r="G309" s="284"/>
      <c r="H309" s="283"/>
      <c r="I309" s="285"/>
      <c r="K309" s="285"/>
      <c r="L309" s="262"/>
    </row>
    <row r="310">
      <c r="A310" s="91"/>
      <c r="B310" s="91"/>
      <c r="C310" s="91"/>
      <c r="E310" s="28"/>
      <c r="F310" s="283"/>
      <c r="G310" s="284"/>
      <c r="H310" s="283"/>
      <c r="I310" s="285"/>
      <c r="K310" s="285"/>
      <c r="L310" s="262"/>
    </row>
    <row r="311">
      <c r="A311" s="91"/>
      <c r="B311" s="91"/>
      <c r="C311" s="91"/>
      <c r="E311" s="28"/>
      <c r="F311" s="283"/>
      <c r="G311" s="284"/>
      <c r="H311" s="283"/>
      <c r="I311" s="285"/>
      <c r="K311" s="285"/>
      <c r="L311" s="262"/>
    </row>
    <row r="312">
      <c r="A312" s="91"/>
      <c r="B312" s="91"/>
      <c r="C312" s="91"/>
      <c r="E312" s="28"/>
      <c r="F312" s="283"/>
      <c r="G312" s="284"/>
      <c r="H312" s="283"/>
      <c r="I312" s="285"/>
      <c r="K312" s="285"/>
      <c r="L312" s="262"/>
    </row>
    <row r="313">
      <c r="A313" s="91"/>
      <c r="B313" s="91"/>
      <c r="C313" s="91"/>
      <c r="E313" s="28"/>
      <c r="F313" s="283"/>
      <c r="G313" s="284"/>
      <c r="H313" s="283"/>
      <c r="I313" s="285"/>
      <c r="K313" s="285"/>
      <c r="L313" s="262"/>
    </row>
    <row r="314">
      <c r="A314" s="91"/>
      <c r="B314" s="91"/>
      <c r="C314" s="91"/>
      <c r="E314" s="28"/>
      <c r="F314" s="283"/>
      <c r="G314" s="284"/>
      <c r="H314" s="283"/>
      <c r="I314" s="285"/>
      <c r="K314" s="285"/>
      <c r="L314" s="262"/>
    </row>
    <row r="315">
      <c r="A315" s="91"/>
      <c r="B315" s="91"/>
      <c r="C315" s="91"/>
      <c r="E315" s="28"/>
      <c r="F315" s="283"/>
      <c r="G315" s="284"/>
      <c r="H315" s="283"/>
      <c r="I315" s="285"/>
      <c r="K315" s="285"/>
      <c r="L315" s="262"/>
    </row>
    <row r="316">
      <c r="A316" s="91"/>
      <c r="B316" s="91"/>
      <c r="C316" s="91"/>
      <c r="E316" s="28"/>
      <c r="F316" s="283"/>
      <c r="G316" s="284"/>
      <c r="H316" s="283"/>
      <c r="I316" s="285"/>
      <c r="K316" s="285"/>
      <c r="L316" s="262"/>
    </row>
    <row r="317">
      <c r="A317" s="91"/>
      <c r="B317" s="91"/>
      <c r="C317" s="91"/>
      <c r="E317" s="28"/>
      <c r="F317" s="283"/>
      <c r="G317" s="284"/>
      <c r="H317" s="283"/>
      <c r="I317" s="285"/>
      <c r="K317" s="285"/>
      <c r="L317" s="262"/>
    </row>
    <row r="318">
      <c r="A318" s="91"/>
      <c r="B318" s="91"/>
      <c r="C318" s="91"/>
      <c r="E318" s="28"/>
      <c r="F318" s="283"/>
      <c r="G318" s="284"/>
      <c r="H318" s="283"/>
      <c r="I318" s="285"/>
      <c r="K318" s="285"/>
      <c r="L318" s="262"/>
    </row>
    <row r="319">
      <c r="A319" s="91"/>
      <c r="B319" s="91"/>
      <c r="C319" s="91"/>
      <c r="E319" s="28"/>
      <c r="F319" s="283"/>
      <c r="G319" s="284"/>
      <c r="H319" s="283"/>
      <c r="I319" s="285"/>
      <c r="K319" s="285"/>
      <c r="L319" s="262"/>
    </row>
    <row r="320">
      <c r="A320" s="91"/>
      <c r="B320" s="91"/>
      <c r="C320" s="91"/>
      <c r="E320" s="28"/>
      <c r="F320" s="283"/>
      <c r="G320" s="284"/>
      <c r="H320" s="283"/>
      <c r="I320" s="285"/>
      <c r="K320" s="285"/>
      <c r="L320" s="262"/>
    </row>
    <row r="321">
      <c r="A321" s="91"/>
      <c r="B321" s="91"/>
      <c r="C321" s="91"/>
      <c r="E321" s="28"/>
      <c r="F321" s="283"/>
      <c r="G321" s="284"/>
      <c r="H321" s="283"/>
      <c r="I321" s="285"/>
      <c r="K321" s="285"/>
      <c r="L321" s="262"/>
    </row>
    <row r="322">
      <c r="A322" s="91"/>
      <c r="B322" s="91"/>
      <c r="C322" s="91"/>
      <c r="E322" s="28"/>
      <c r="F322" s="283"/>
      <c r="G322" s="284"/>
      <c r="H322" s="283"/>
      <c r="I322" s="285"/>
      <c r="K322" s="285"/>
      <c r="L322" s="262"/>
    </row>
    <row r="323">
      <c r="A323" s="91"/>
      <c r="B323" s="91"/>
      <c r="C323" s="91"/>
      <c r="E323" s="28"/>
      <c r="F323" s="283"/>
      <c r="G323" s="284"/>
      <c r="H323" s="283"/>
      <c r="I323" s="285"/>
      <c r="K323" s="285"/>
      <c r="L323" s="262"/>
    </row>
    <row r="324">
      <c r="A324" s="91"/>
      <c r="B324" s="91"/>
      <c r="C324" s="91"/>
      <c r="E324" s="28"/>
      <c r="F324" s="283"/>
      <c r="G324" s="284"/>
      <c r="H324" s="283"/>
      <c r="I324" s="285"/>
      <c r="K324" s="285"/>
      <c r="L324" s="262"/>
    </row>
    <row r="325">
      <c r="A325" s="91"/>
      <c r="B325" s="91"/>
      <c r="C325" s="91"/>
      <c r="E325" s="28"/>
      <c r="F325" s="283"/>
      <c r="G325" s="284"/>
      <c r="H325" s="283"/>
      <c r="I325" s="285"/>
      <c r="K325" s="285"/>
      <c r="L325" s="262"/>
    </row>
    <row r="326">
      <c r="A326" s="91"/>
      <c r="B326" s="91"/>
      <c r="C326" s="91"/>
      <c r="E326" s="28"/>
      <c r="F326" s="283"/>
      <c r="G326" s="284"/>
      <c r="H326" s="283"/>
      <c r="I326" s="285"/>
      <c r="K326" s="285"/>
      <c r="L326" s="262"/>
    </row>
    <row r="327">
      <c r="A327" s="91"/>
      <c r="B327" s="91"/>
      <c r="C327" s="91"/>
      <c r="E327" s="28"/>
      <c r="F327" s="283"/>
      <c r="G327" s="284"/>
      <c r="H327" s="283"/>
      <c r="I327" s="285"/>
      <c r="K327" s="285"/>
      <c r="L327" s="262"/>
    </row>
    <row r="328">
      <c r="A328" s="91"/>
      <c r="B328" s="91"/>
      <c r="C328" s="91"/>
      <c r="E328" s="28"/>
      <c r="F328" s="283"/>
      <c r="G328" s="284"/>
      <c r="H328" s="283"/>
      <c r="I328" s="285"/>
      <c r="K328" s="285"/>
      <c r="L328" s="262"/>
    </row>
    <row r="329">
      <c r="A329" s="91"/>
      <c r="B329" s="91"/>
      <c r="C329" s="91"/>
      <c r="E329" s="28"/>
      <c r="F329" s="283"/>
      <c r="G329" s="284"/>
      <c r="H329" s="283"/>
      <c r="I329" s="285"/>
      <c r="K329" s="285"/>
      <c r="L329" s="262"/>
    </row>
    <row r="330">
      <c r="A330" s="91"/>
      <c r="B330" s="91"/>
      <c r="C330" s="91"/>
      <c r="E330" s="28"/>
      <c r="F330" s="283"/>
      <c r="G330" s="284"/>
      <c r="H330" s="283"/>
      <c r="I330" s="285"/>
      <c r="K330" s="285"/>
      <c r="L330" s="262"/>
    </row>
    <row r="331">
      <c r="A331" s="91"/>
      <c r="B331" s="91"/>
      <c r="C331" s="91"/>
      <c r="E331" s="28"/>
      <c r="F331" s="283"/>
      <c r="G331" s="284"/>
      <c r="H331" s="283"/>
      <c r="I331" s="285"/>
      <c r="K331" s="285"/>
      <c r="L331" s="262"/>
    </row>
    <row r="332">
      <c r="A332" s="91"/>
      <c r="B332" s="91"/>
      <c r="C332" s="91"/>
      <c r="E332" s="28"/>
      <c r="F332" s="283"/>
      <c r="G332" s="284"/>
      <c r="H332" s="283"/>
      <c r="I332" s="285"/>
      <c r="K332" s="285"/>
      <c r="L332" s="262"/>
    </row>
    <row r="333">
      <c r="A333" s="91"/>
      <c r="B333" s="91"/>
      <c r="C333" s="91"/>
      <c r="E333" s="28"/>
      <c r="F333" s="283"/>
      <c r="G333" s="284"/>
      <c r="H333" s="283"/>
      <c r="I333" s="285"/>
      <c r="K333" s="285"/>
      <c r="L333" s="262"/>
    </row>
    <row r="334">
      <c r="A334" s="91"/>
      <c r="B334" s="91"/>
      <c r="C334" s="91"/>
      <c r="E334" s="28"/>
      <c r="F334" s="283"/>
      <c r="G334" s="284"/>
      <c r="H334" s="283"/>
      <c r="I334" s="285"/>
      <c r="K334" s="285"/>
      <c r="L334" s="262"/>
    </row>
    <row r="335">
      <c r="A335" s="91"/>
      <c r="B335" s="91"/>
      <c r="C335" s="91"/>
      <c r="E335" s="28"/>
      <c r="F335" s="283"/>
      <c r="G335" s="284"/>
      <c r="H335" s="283"/>
      <c r="I335" s="285"/>
      <c r="K335" s="285"/>
      <c r="L335" s="262"/>
    </row>
    <row r="336">
      <c r="A336" s="91"/>
      <c r="B336" s="91"/>
      <c r="C336" s="91"/>
      <c r="E336" s="28"/>
      <c r="F336" s="283"/>
      <c r="G336" s="284"/>
      <c r="H336" s="283"/>
      <c r="I336" s="285"/>
      <c r="K336" s="285"/>
      <c r="L336" s="262"/>
    </row>
    <row r="337">
      <c r="A337" s="91"/>
      <c r="B337" s="91"/>
      <c r="C337" s="91"/>
      <c r="E337" s="28"/>
      <c r="F337" s="283"/>
      <c r="G337" s="284"/>
      <c r="H337" s="283"/>
      <c r="I337" s="285"/>
      <c r="K337" s="285"/>
      <c r="L337" s="262"/>
    </row>
    <row r="338">
      <c r="A338" s="91"/>
      <c r="B338" s="91"/>
      <c r="C338" s="91"/>
      <c r="E338" s="28"/>
      <c r="F338" s="283"/>
      <c r="G338" s="284"/>
      <c r="H338" s="283"/>
      <c r="I338" s="285"/>
      <c r="K338" s="285"/>
      <c r="L338" s="262"/>
    </row>
    <row r="339">
      <c r="A339" s="91"/>
      <c r="B339" s="91"/>
      <c r="C339" s="91"/>
      <c r="E339" s="28"/>
      <c r="F339" s="283"/>
      <c r="G339" s="284"/>
      <c r="H339" s="283"/>
      <c r="I339" s="285"/>
      <c r="K339" s="285"/>
      <c r="L339" s="262"/>
    </row>
    <row r="340">
      <c r="A340" s="91"/>
      <c r="B340" s="91"/>
      <c r="C340" s="91"/>
      <c r="E340" s="28"/>
      <c r="F340" s="283"/>
      <c r="G340" s="284"/>
      <c r="H340" s="283"/>
      <c r="I340" s="285"/>
      <c r="K340" s="285"/>
      <c r="L340" s="262"/>
    </row>
    <row r="341">
      <c r="A341" s="91"/>
      <c r="B341" s="91"/>
      <c r="C341" s="91"/>
      <c r="E341" s="28"/>
      <c r="F341" s="283"/>
      <c r="G341" s="284"/>
      <c r="H341" s="283"/>
      <c r="I341" s="285"/>
      <c r="K341" s="285"/>
      <c r="L341" s="262"/>
    </row>
    <row r="342">
      <c r="A342" s="91"/>
      <c r="B342" s="91"/>
      <c r="C342" s="91"/>
      <c r="E342" s="28"/>
      <c r="F342" s="283"/>
      <c r="G342" s="284"/>
      <c r="H342" s="283"/>
      <c r="I342" s="285"/>
      <c r="K342" s="285"/>
      <c r="L342" s="262"/>
    </row>
    <row r="343">
      <c r="A343" s="91"/>
      <c r="B343" s="91"/>
      <c r="C343" s="91"/>
      <c r="E343" s="28"/>
      <c r="F343" s="283"/>
      <c r="G343" s="284"/>
      <c r="H343" s="283"/>
      <c r="I343" s="285"/>
      <c r="K343" s="285"/>
      <c r="L343" s="262"/>
    </row>
    <row r="344">
      <c r="A344" s="91"/>
      <c r="B344" s="91"/>
      <c r="C344" s="91"/>
      <c r="E344" s="28"/>
      <c r="F344" s="283"/>
      <c r="G344" s="284"/>
      <c r="H344" s="283"/>
      <c r="I344" s="285"/>
      <c r="K344" s="285"/>
      <c r="L344" s="262"/>
    </row>
    <row r="345">
      <c r="A345" s="91"/>
      <c r="B345" s="91"/>
      <c r="C345" s="91"/>
      <c r="E345" s="28"/>
      <c r="F345" s="283"/>
      <c r="G345" s="284"/>
      <c r="H345" s="283"/>
      <c r="I345" s="285"/>
      <c r="K345" s="285"/>
      <c r="L345" s="262"/>
    </row>
    <row r="346">
      <c r="A346" s="91"/>
      <c r="B346" s="91"/>
      <c r="C346" s="91"/>
      <c r="E346" s="28"/>
      <c r="F346" s="283"/>
      <c r="G346" s="284"/>
      <c r="H346" s="283"/>
      <c r="I346" s="285"/>
      <c r="K346" s="285"/>
      <c r="L346" s="262"/>
    </row>
    <row r="347">
      <c r="A347" s="91"/>
      <c r="B347" s="91"/>
      <c r="C347" s="91"/>
      <c r="E347" s="28"/>
      <c r="F347" s="283"/>
      <c r="G347" s="284"/>
      <c r="H347" s="283"/>
      <c r="I347" s="285"/>
      <c r="K347" s="285"/>
      <c r="L347" s="262"/>
    </row>
    <row r="348">
      <c r="A348" s="91"/>
      <c r="B348" s="91"/>
      <c r="C348" s="91"/>
      <c r="E348" s="28"/>
      <c r="F348" s="283"/>
      <c r="G348" s="284"/>
      <c r="H348" s="283"/>
      <c r="I348" s="285"/>
      <c r="K348" s="285"/>
      <c r="L348" s="262"/>
    </row>
    <row r="349">
      <c r="A349" s="91"/>
      <c r="B349" s="91"/>
      <c r="C349" s="91"/>
      <c r="E349" s="28"/>
      <c r="F349" s="283"/>
      <c r="G349" s="284"/>
      <c r="H349" s="283"/>
      <c r="I349" s="285"/>
      <c r="K349" s="285"/>
      <c r="L349" s="262"/>
    </row>
    <row r="350">
      <c r="A350" s="91"/>
      <c r="B350" s="91"/>
      <c r="C350" s="91"/>
      <c r="E350" s="28"/>
      <c r="F350" s="283"/>
      <c r="G350" s="284"/>
      <c r="H350" s="283"/>
      <c r="I350" s="285"/>
      <c r="K350" s="285"/>
      <c r="L350" s="262"/>
    </row>
    <row r="351">
      <c r="A351" s="91"/>
      <c r="B351" s="91"/>
      <c r="C351" s="91"/>
      <c r="E351" s="28"/>
      <c r="F351" s="283"/>
      <c r="G351" s="284"/>
      <c r="H351" s="283"/>
      <c r="I351" s="285"/>
      <c r="K351" s="285"/>
      <c r="L351" s="262"/>
    </row>
    <row r="352">
      <c r="A352" s="91"/>
      <c r="B352" s="91"/>
      <c r="C352" s="91"/>
      <c r="E352" s="28"/>
      <c r="F352" s="283"/>
      <c r="G352" s="284"/>
      <c r="H352" s="283"/>
      <c r="I352" s="285"/>
      <c r="K352" s="285"/>
      <c r="L352" s="262"/>
    </row>
    <row r="353">
      <c r="A353" s="91"/>
      <c r="B353" s="91"/>
      <c r="C353" s="91"/>
      <c r="E353" s="28"/>
      <c r="F353" s="283"/>
      <c r="G353" s="284"/>
      <c r="H353" s="283"/>
      <c r="I353" s="285"/>
      <c r="K353" s="285"/>
      <c r="L353" s="262"/>
    </row>
    <row r="354">
      <c r="A354" s="91"/>
      <c r="B354" s="91"/>
      <c r="C354" s="91"/>
      <c r="E354" s="28"/>
      <c r="F354" s="283"/>
      <c r="G354" s="284"/>
      <c r="H354" s="283"/>
      <c r="I354" s="285"/>
      <c r="K354" s="285"/>
      <c r="L354" s="262"/>
    </row>
    <row r="355">
      <c r="A355" s="91"/>
      <c r="B355" s="91"/>
      <c r="C355" s="91"/>
      <c r="E355" s="28"/>
      <c r="F355" s="283"/>
      <c r="G355" s="284"/>
      <c r="H355" s="283"/>
      <c r="I355" s="285"/>
      <c r="K355" s="285"/>
      <c r="L355" s="262"/>
    </row>
    <row r="356">
      <c r="A356" s="91"/>
      <c r="B356" s="91"/>
      <c r="C356" s="91"/>
      <c r="E356" s="28"/>
      <c r="F356" s="283"/>
      <c r="G356" s="284"/>
      <c r="H356" s="283"/>
      <c r="I356" s="285"/>
      <c r="K356" s="285"/>
      <c r="L356" s="262"/>
    </row>
    <row r="357">
      <c r="A357" s="91"/>
      <c r="B357" s="91"/>
      <c r="C357" s="91"/>
      <c r="E357" s="28"/>
      <c r="F357" s="283"/>
      <c r="G357" s="284"/>
      <c r="H357" s="283"/>
      <c r="I357" s="285"/>
      <c r="K357" s="285"/>
      <c r="L357" s="262"/>
    </row>
    <row r="358">
      <c r="A358" s="91"/>
      <c r="B358" s="91"/>
      <c r="C358" s="91"/>
      <c r="E358" s="28"/>
      <c r="F358" s="283"/>
      <c r="G358" s="284"/>
      <c r="H358" s="283"/>
      <c r="I358" s="285"/>
      <c r="K358" s="285"/>
      <c r="L358" s="262"/>
    </row>
    <row r="359">
      <c r="A359" s="91"/>
      <c r="B359" s="91"/>
      <c r="C359" s="91"/>
      <c r="E359" s="28"/>
      <c r="F359" s="283"/>
      <c r="G359" s="284"/>
      <c r="H359" s="283"/>
      <c r="I359" s="285"/>
      <c r="K359" s="285"/>
      <c r="L359" s="262"/>
    </row>
    <row r="360">
      <c r="A360" s="91"/>
      <c r="B360" s="91"/>
      <c r="C360" s="91"/>
      <c r="E360" s="28"/>
      <c r="F360" s="283"/>
      <c r="G360" s="284"/>
      <c r="H360" s="283"/>
      <c r="I360" s="285"/>
      <c r="K360" s="285"/>
      <c r="L360" s="262"/>
    </row>
    <row r="361">
      <c r="A361" s="91"/>
      <c r="B361" s="91"/>
      <c r="C361" s="91"/>
      <c r="E361" s="28"/>
      <c r="F361" s="283"/>
      <c r="G361" s="284"/>
      <c r="H361" s="283"/>
      <c r="I361" s="285"/>
      <c r="K361" s="285"/>
      <c r="L361" s="262"/>
    </row>
    <row r="362">
      <c r="A362" s="91"/>
      <c r="B362" s="91"/>
      <c r="C362" s="91"/>
      <c r="E362" s="28"/>
      <c r="F362" s="283"/>
      <c r="G362" s="284"/>
      <c r="H362" s="283"/>
      <c r="I362" s="285"/>
      <c r="K362" s="285"/>
      <c r="L362" s="262"/>
    </row>
    <row r="363">
      <c r="A363" s="91"/>
      <c r="B363" s="91"/>
      <c r="C363" s="91"/>
      <c r="E363" s="28"/>
      <c r="F363" s="283"/>
      <c r="G363" s="284"/>
      <c r="H363" s="283"/>
      <c r="I363" s="285"/>
      <c r="K363" s="285"/>
      <c r="L363" s="262"/>
    </row>
    <row r="364">
      <c r="A364" s="91"/>
      <c r="B364" s="91"/>
      <c r="C364" s="91"/>
      <c r="E364" s="28"/>
      <c r="F364" s="283"/>
      <c r="G364" s="284"/>
      <c r="H364" s="283"/>
      <c r="I364" s="285"/>
      <c r="K364" s="285"/>
      <c r="L364" s="262"/>
    </row>
    <row r="365">
      <c r="A365" s="91"/>
      <c r="B365" s="91"/>
      <c r="C365" s="91"/>
      <c r="E365" s="28"/>
      <c r="F365" s="283"/>
      <c r="G365" s="284"/>
      <c r="H365" s="283"/>
      <c r="I365" s="285"/>
      <c r="K365" s="285"/>
      <c r="L365" s="262"/>
    </row>
    <row r="366">
      <c r="A366" s="91"/>
      <c r="B366" s="91"/>
      <c r="C366" s="91"/>
      <c r="E366" s="28"/>
      <c r="F366" s="283"/>
      <c r="G366" s="284"/>
      <c r="H366" s="283"/>
      <c r="I366" s="285"/>
      <c r="K366" s="285"/>
      <c r="L366" s="262"/>
    </row>
    <row r="367">
      <c r="A367" s="91"/>
      <c r="B367" s="91"/>
      <c r="C367" s="91"/>
      <c r="E367" s="28"/>
      <c r="F367" s="283"/>
      <c r="G367" s="284"/>
      <c r="H367" s="283"/>
      <c r="I367" s="285"/>
      <c r="K367" s="285"/>
      <c r="L367" s="262"/>
    </row>
    <row r="368">
      <c r="A368" s="91"/>
      <c r="B368" s="91"/>
      <c r="C368" s="91"/>
      <c r="E368" s="28"/>
      <c r="F368" s="283"/>
      <c r="G368" s="284"/>
      <c r="H368" s="283"/>
      <c r="I368" s="285"/>
      <c r="K368" s="285"/>
      <c r="L368" s="262"/>
    </row>
    <row r="369">
      <c r="A369" s="91"/>
      <c r="B369" s="91"/>
      <c r="C369" s="91"/>
      <c r="E369" s="28"/>
      <c r="F369" s="283"/>
      <c r="G369" s="284"/>
      <c r="H369" s="283"/>
      <c r="I369" s="285"/>
      <c r="K369" s="285"/>
      <c r="L369" s="262"/>
    </row>
    <row r="370">
      <c r="A370" s="91"/>
      <c r="B370" s="91"/>
      <c r="C370" s="91"/>
      <c r="E370" s="28"/>
      <c r="F370" s="283"/>
      <c r="G370" s="284"/>
      <c r="H370" s="283"/>
      <c r="I370" s="285"/>
      <c r="K370" s="285"/>
      <c r="L370" s="262"/>
    </row>
    <row r="371">
      <c r="A371" s="91"/>
      <c r="B371" s="91"/>
      <c r="C371" s="91"/>
      <c r="E371" s="28"/>
      <c r="F371" s="283"/>
      <c r="G371" s="284"/>
      <c r="H371" s="283"/>
      <c r="I371" s="285"/>
      <c r="K371" s="285"/>
      <c r="L371" s="262"/>
    </row>
    <row r="372">
      <c r="A372" s="91"/>
      <c r="B372" s="91"/>
      <c r="C372" s="91"/>
      <c r="E372" s="28"/>
      <c r="F372" s="283"/>
      <c r="G372" s="284"/>
      <c r="H372" s="283"/>
      <c r="I372" s="285"/>
      <c r="K372" s="285"/>
      <c r="L372" s="262"/>
    </row>
    <row r="373">
      <c r="A373" s="91"/>
      <c r="B373" s="91"/>
      <c r="C373" s="91"/>
      <c r="E373" s="28"/>
      <c r="F373" s="283"/>
      <c r="G373" s="284"/>
      <c r="H373" s="283"/>
      <c r="I373" s="285"/>
      <c r="K373" s="285"/>
      <c r="L373" s="262"/>
    </row>
    <row r="374">
      <c r="A374" s="91"/>
      <c r="B374" s="91"/>
      <c r="C374" s="91"/>
      <c r="E374" s="28"/>
      <c r="F374" s="283"/>
      <c r="G374" s="284"/>
      <c r="H374" s="283"/>
      <c r="I374" s="285"/>
      <c r="K374" s="285"/>
      <c r="L374" s="262"/>
    </row>
    <row r="375">
      <c r="A375" s="91"/>
      <c r="B375" s="91"/>
      <c r="C375" s="91"/>
      <c r="E375" s="28"/>
      <c r="F375" s="283"/>
      <c r="G375" s="284"/>
      <c r="H375" s="283"/>
      <c r="I375" s="285"/>
      <c r="K375" s="285"/>
      <c r="L375" s="262"/>
    </row>
    <row r="376">
      <c r="A376" s="91"/>
      <c r="B376" s="91"/>
      <c r="C376" s="91"/>
      <c r="E376" s="28"/>
      <c r="F376" s="283"/>
      <c r="G376" s="284"/>
      <c r="H376" s="283"/>
      <c r="I376" s="285"/>
      <c r="K376" s="285"/>
      <c r="L376" s="262"/>
    </row>
    <row r="377">
      <c r="A377" s="91"/>
      <c r="B377" s="91"/>
      <c r="C377" s="91"/>
      <c r="E377" s="28"/>
      <c r="F377" s="283"/>
      <c r="G377" s="284"/>
      <c r="H377" s="283"/>
      <c r="I377" s="285"/>
      <c r="K377" s="285"/>
      <c r="L377" s="262"/>
    </row>
    <row r="378">
      <c r="A378" s="91"/>
      <c r="B378" s="91"/>
      <c r="C378" s="91"/>
      <c r="E378" s="28"/>
      <c r="F378" s="283"/>
      <c r="G378" s="284"/>
      <c r="H378" s="283"/>
      <c r="I378" s="285"/>
      <c r="K378" s="285"/>
      <c r="L378" s="262"/>
    </row>
    <row r="379">
      <c r="A379" s="91"/>
      <c r="B379" s="91"/>
      <c r="C379" s="91"/>
      <c r="E379" s="28"/>
      <c r="F379" s="283"/>
      <c r="G379" s="284"/>
      <c r="H379" s="283"/>
      <c r="I379" s="285"/>
      <c r="K379" s="285"/>
      <c r="L379" s="262"/>
    </row>
    <row r="380">
      <c r="A380" s="91"/>
      <c r="B380" s="91"/>
      <c r="C380" s="91"/>
      <c r="E380" s="28"/>
      <c r="F380" s="283"/>
      <c r="G380" s="284"/>
      <c r="H380" s="283"/>
      <c r="I380" s="285"/>
      <c r="K380" s="285"/>
      <c r="L380" s="262"/>
    </row>
    <row r="381">
      <c r="A381" s="91"/>
      <c r="B381" s="91"/>
      <c r="C381" s="91"/>
      <c r="E381" s="28"/>
      <c r="F381" s="283"/>
      <c r="G381" s="284"/>
      <c r="H381" s="283"/>
      <c r="I381" s="285"/>
      <c r="K381" s="285"/>
      <c r="L381" s="262"/>
    </row>
    <row r="382">
      <c r="A382" s="91"/>
      <c r="B382" s="91"/>
      <c r="C382" s="91"/>
      <c r="E382" s="28"/>
      <c r="F382" s="283"/>
      <c r="G382" s="284"/>
      <c r="H382" s="283"/>
      <c r="I382" s="285"/>
      <c r="K382" s="285"/>
      <c r="L382" s="262"/>
    </row>
    <row r="383">
      <c r="A383" s="91"/>
      <c r="B383" s="91"/>
      <c r="C383" s="91"/>
      <c r="E383" s="28"/>
      <c r="F383" s="283"/>
      <c r="G383" s="284"/>
      <c r="H383" s="283"/>
      <c r="I383" s="285"/>
      <c r="K383" s="285"/>
      <c r="L383" s="262"/>
    </row>
    <row r="384">
      <c r="A384" s="91"/>
      <c r="B384" s="91"/>
      <c r="C384" s="91"/>
      <c r="E384" s="28"/>
      <c r="F384" s="283"/>
      <c r="G384" s="284"/>
      <c r="H384" s="283"/>
      <c r="I384" s="285"/>
      <c r="K384" s="285"/>
      <c r="L384" s="262"/>
    </row>
    <row r="385">
      <c r="A385" s="91"/>
      <c r="B385" s="91"/>
      <c r="C385" s="91"/>
      <c r="E385" s="28"/>
      <c r="F385" s="283"/>
      <c r="G385" s="284"/>
      <c r="H385" s="283"/>
      <c r="I385" s="285"/>
      <c r="K385" s="285"/>
      <c r="L385" s="262"/>
    </row>
    <row r="386">
      <c r="A386" s="91"/>
      <c r="B386" s="91"/>
      <c r="C386" s="91"/>
      <c r="E386" s="28"/>
      <c r="F386" s="283"/>
      <c r="G386" s="284"/>
      <c r="H386" s="283"/>
      <c r="I386" s="285"/>
      <c r="K386" s="285"/>
      <c r="L386" s="262"/>
    </row>
    <row r="387">
      <c r="A387" s="91"/>
      <c r="B387" s="91"/>
      <c r="C387" s="91"/>
      <c r="E387" s="28"/>
      <c r="F387" s="283"/>
      <c r="G387" s="284"/>
      <c r="H387" s="283"/>
      <c r="I387" s="285"/>
      <c r="K387" s="285"/>
      <c r="L387" s="262"/>
    </row>
    <row r="388">
      <c r="A388" s="91"/>
      <c r="B388" s="91"/>
      <c r="C388" s="91"/>
      <c r="E388" s="28"/>
      <c r="F388" s="283"/>
      <c r="G388" s="284"/>
      <c r="H388" s="283"/>
      <c r="I388" s="285"/>
      <c r="K388" s="285"/>
      <c r="L388" s="262"/>
    </row>
    <row r="389">
      <c r="A389" s="91"/>
      <c r="B389" s="91"/>
      <c r="C389" s="91"/>
      <c r="E389" s="28"/>
      <c r="F389" s="283"/>
      <c r="G389" s="284"/>
      <c r="H389" s="283"/>
      <c r="I389" s="285"/>
      <c r="K389" s="285"/>
      <c r="L389" s="262"/>
    </row>
    <row r="390">
      <c r="A390" s="91"/>
      <c r="B390" s="91"/>
      <c r="C390" s="91"/>
      <c r="E390" s="28"/>
      <c r="F390" s="283"/>
      <c r="G390" s="284"/>
      <c r="H390" s="283"/>
      <c r="I390" s="285"/>
      <c r="K390" s="285"/>
      <c r="L390" s="262"/>
    </row>
    <row r="391">
      <c r="A391" s="91"/>
      <c r="B391" s="91"/>
      <c r="C391" s="91"/>
      <c r="E391" s="28"/>
      <c r="F391" s="283"/>
      <c r="G391" s="284"/>
      <c r="H391" s="283"/>
      <c r="I391" s="285"/>
      <c r="K391" s="285"/>
      <c r="L391" s="262"/>
    </row>
    <row r="392">
      <c r="A392" s="91"/>
      <c r="B392" s="91"/>
      <c r="C392" s="91"/>
      <c r="E392" s="28"/>
      <c r="F392" s="283"/>
      <c r="G392" s="284"/>
      <c r="H392" s="283"/>
      <c r="I392" s="285"/>
      <c r="K392" s="285"/>
      <c r="L392" s="262"/>
    </row>
    <row r="393">
      <c r="A393" s="91"/>
      <c r="B393" s="91"/>
      <c r="C393" s="91"/>
      <c r="E393" s="28"/>
      <c r="F393" s="283"/>
      <c r="G393" s="284"/>
      <c r="H393" s="283"/>
      <c r="I393" s="285"/>
      <c r="K393" s="285"/>
      <c r="L393" s="262"/>
    </row>
    <row r="394">
      <c r="A394" s="91"/>
      <c r="B394" s="91"/>
      <c r="C394" s="91"/>
      <c r="E394" s="28"/>
      <c r="F394" s="283"/>
      <c r="G394" s="284"/>
      <c r="H394" s="283"/>
      <c r="I394" s="285"/>
      <c r="K394" s="285"/>
      <c r="L394" s="262"/>
    </row>
    <row r="395">
      <c r="A395" s="91"/>
      <c r="B395" s="91"/>
      <c r="C395" s="91"/>
      <c r="E395" s="28"/>
      <c r="F395" s="283"/>
      <c r="G395" s="284"/>
      <c r="H395" s="283"/>
      <c r="I395" s="285"/>
      <c r="K395" s="285"/>
      <c r="L395" s="262"/>
    </row>
    <row r="396">
      <c r="A396" s="91"/>
      <c r="B396" s="91"/>
      <c r="C396" s="91"/>
      <c r="E396" s="28"/>
      <c r="F396" s="283"/>
      <c r="G396" s="284"/>
      <c r="H396" s="283"/>
      <c r="I396" s="285"/>
      <c r="K396" s="285"/>
      <c r="L396" s="262"/>
    </row>
    <row r="397">
      <c r="A397" s="91"/>
      <c r="B397" s="91"/>
      <c r="C397" s="91"/>
      <c r="E397" s="28"/>
      <c r="F397" s="283"/>
      <c r="G397" s="284"/>
      <c r="H397" s="283"/>
      <c r="I397" s="285"/>
      <c r="K397" s="285"/>
      <c r="L397" s="262"/>
    </row>
    <row r="398">
      <c r="A398" s="91"/>
      <c r="B398" s="91"/>
      <c r="C398" s="91"/>
      <c r="E398" s="28"/>
      <c r="F398" s="283"/>
      <c r="G398" s="284"/>
      <c r="H398" s="283"/>
      <c r="I398" s="285"/>
      <c r="K398" s="285"/>
      <c r="L398" s="262"/>
    </row>
    <row r="399">
      <c r="A399" s="91"/>
      <c r="B399" s="91"/>
      <c r="C399" s="91"/>
      <c r="E399" s="28"/>
      <c r="F399" s="283"/>
      <c r="G399" s="284"/>
      <c r="H399" s="283"/>
      <c r="I399" s="285"/>
      <c r="K399" s="285"/>
      <c r="L399" s="262"/>
    </row>
    <row r="400">
      <c r="A400" s="91"/>
      <c r="B400" s="91"/>
      <c r="C400" s="91"/>
      <c r="E400" s="28"/>
      <c r="F400" s="283"/>
      <c r="G400" s="284"/>
      <c r="H400" s="283"/>
      <c r="I400" s="285"/>
      <c r="K400" s="285"/>
      <c r="L400" s="262"/>
    </row>
    <row r="401">
      <c r="A401" s="91"/>
      <c r="B401" s="91"/>
      <c r="C401" s="91"/>
      <c r="E401" s="28"/>
      <c r="F401" s="283"/>
      <c r="G401" s="284"/>
      <c r="H401" s="283"/>
      <c r="I401" s="285"/>
      <c r="K401" s="285"/>
      <c r="L401" s="262"/>
    </row>
    <row r="402">
      <c r="A402" s="91"/>
      <c r="B402" s="91"/>
      <c r="C402" s="91"/>
      <c r="E402" s="28"/>
      <c r="F402" s="283"/>
      <c r="G402" s="284"/>
      <c r="H402" s="283"/>
      <c r="I402" s="285"/>
      <c r="K402" s="285"/>
      <c r="L402" s="262"/>
    </row>
    <row r="403">
      <c r="A403" s="91"/>
      <c r="B403" s="91"/>
      <c r="C403" s="91"/>
      <c r="E403" s="28"/>
      <c r="F403" s="283"/>
      <c r="G403" s="284"/>
      <c r="H403" s="283"/>
      <c r="I403" s="285"/>
      <c r="K403" s="285"/>
      <c r="L403" s="262"/>
    </row>
    <row r="404">
      <c r="A404" s="91"/>
      <c r="B404" s="91"/>
      <c r="C404" s="91"/>
      <c r="E404" s="28"/>
      <c r="F404" s="283"/>
      <c r="G404" s="284"/>
      <c r="H404" s="283"/>
      <c r="I404" s="285"/>
      <c r="K404" s="285"/>
      <c r="L404" s="262"/>
    </row>
    <row r="405">
      <c r="A405" s="91"/>
      <c r="B405" s="91"/>
      <c r="C405" s="91"/>
      <c r="E405" s="28"/>
      <c r="F405" s="283"/>
      <c r="G405" s="284"/>
      <c r="H405" s="283"/>
      <c r="I405" s="285"/>
      <c r="K405" s="285"/>
      <c r="L405" s="262"/>
    </row>
    <row r="406">
      <c r="A406" s="91"/>
      <c r="B406" s="91"/>
      <c r="C406" s="91"/>
      <c r="E406" s="28"/>
      <c r="F406" s="283"/>
      <c r="G406" s="284"/>
      <c r="H406" s="283"/>
      <c r="I406" s="285"/>
      <c r="K406" s="285"/>
      <c r="L406" s="262"/>
    </row>
    <row r="407">
      <c r="A407" s="91"/>
      <c r="B407" s="91"/>
      <c r="C407" s="91"/>
      <c r="E407" s="28"/>
      <c r="F407" s="283"/>
      <c r="G407" s="284"/>
      <c r="H407" s="283"/>
      <c r="I407" s="285"/>
      <c r="K407" s="285"/>
      <c r="L407" s="262"/>
    </row>
    <row r="408">
      <c r="A408" s="91"/>
      <c r="B408" s="91"/>
      <c r="C408" s="91"/>
      <c r="E408" s="28"/>
      <c r="F408" s="283"/>
      <c r="G408" s="284"/>
      <c r="H408" s="283"/>
      <c r="I408" s="285"/>
      <c r="K408" s="285"/>
      <c r="L408" s="262"/>
    </row>
    <row r="409">
      <c r="A409" s="91"/>
      <c r="B409" s="91"/>
      <c r="C409" s="91"/>
      <c r="E409" s="28"/>
      <c r="F409" s="283"/>
      <c r="G409" s="284"/>
      <c r="H409" s="283"/>
      <c r="I409" s="285"/>
      <c r="K409" s="285"/>
      <c r="L409" s="262"/>
    </row>
    <row r="410">
      <c r="A410" s="91"/>
      <c r="B410" s="91"/>
      <c r="C410" s="91"/>
      <c r="E410" s="28"/>
      <c r="F410" s="283"/>
      <c r="G410" s="284"/>
      <c r="H410" s="283"/>
      <c r="I410" s="285"/>
      <c r="K410" s="285"/>
      <c r="L410" s="262"/>
    </row>
    <row r="411">
      <c r="A411" s="91"/>
      <c r="B411" s="91"/>
      <c r="C411" s="91"/>
      <c r="E411" s="28"/>
      <c r="F411" s="283"/>
      <c r="G411" s="284"/>
      <c r="H411" s="283"/>
      <c r="I411" s="285"/>
      <c r="K411" s="285"/>
      <c r="L411" s="262"/>
    </row>
    <row r="412">
      <c r="A412" s="91"/>
      <c r="B412" s="91"/>
      <c r="C412" s="91"/>
      <c r="E412" s="28"/>
      <c r="F412" s="283"/>
      <c r="G412" s="284"/>
      <c r="H412" s="283"/>
      <c r="I412" s="285"/>
      <c r="K412" s="285"/>
      <c r="L412" s="262"/>
    </row>
    <row r="413">
      <c r="A413" s="91"/>
      <c r="B413" s="91"/>
      <c r="C413" s="91"/>
      <c r="E413" s="28"/>
      <c r="F413" s="283"/>
      <c r="G413" s="284"/>
      <c r="H413" s="283"/>
      <c r="I413" s="285"/>
      <c r="K413" s="285"/>
      <c r="L413" s="262"/>
    </row>
    <row r="414">
      <c r="A414" s="91"/>
      <c r="B414" s="91"/>
      <c r="C414" s="91"/>
      <c r="E414" s="28"/>
      <c r="F414" s="283"/>
      <c r="G414" s="284"/>
      <c r="H414" s="283"/>
      <c r="I414" s="285"/>
      <c r="K414" s="285"/>
      <c r="L414" s="262"/>
    </row>
    <row r="415">
      <c r="A415" s="91"/>
      <c r="B415" s="91"/>
      <c r="C415" s="91"/>
      <c r="E415" s="28"/>
      <c r="F415" s="283"/>
      <c r="G415" s="284"/>
      <c r="H415" s="283"/>
      <c r="I415" s="285"/>
      <c r="K415" s="285"/>
      <c r="L415" s="262"/>
    </row>
    <row r="416">
      <c r="A416" s="91"/>
      <c r="B416" s="91"/>
      <c r="C416" s="91"/>
      <c r="E416" s="28"/>
      <c r="F416" s="283"/>
      <c r="G416" s="284"/>
      <c r="H416" s="283"/>
      <c r="I416" s="285"/>
      <c r="K416" s="285"/>
      <c r="L416" s="262"/>
    </row>
    <row r="417">
      <c r="A417" s="91"/>
      <c r="B417" s="91"/>
      <c r="C417" s="91"/>
      <c r="E417" s="28"/>
      <c r="F417" s="283"/>
      <c r="G417" s="284"/>
      <c r="H417" s="283"/>
      <c r="I417" s="285"/>
      <c r="K417" s="285"/>
      <c r="L417" s="262"/>
    </row>
    <row r="418">
      <c r="A418" s="91"/>
      <c r="B418" s="91"/>
      <c r="C418" s="91"/>
      <c r="E418" s="28"/>
      <c r="F418" s="283"/>
      <c r="G418" s="284"/>
      <c r="H418" s="283"/>
      <c r="I418" s="285"/>
      <c r="K418" s="285"/>
      <c r="L418" s="262"/>
    </row>
    <row r="419">
      <c r="A419" s="91"/>
      <c r="B419" s="91"/>
      <c r="C419" s="91"/>
      <c r="E419" s="28"/>
      <c r="F419" s="283"/>
      <c r="G419" s="284"/>
      <c r="H419" s="283"/>
      <c r="I419" s="285"/>
      <c r="K419" s="285"/>
      <c r="L419" s="262"/>
    </row>
    <row r="420">
      <c r="A420" s="91"/>
      <c r="B420" s="91"/>
      <c r="C420" s="91"/>
      <c r="E420" s="28"/>
      <c r="F420" s="283"/>
      <c r="G420" s="284"/>
      <c r="H420" s="283"/>
      <c r="I420" s="285"/>
      <c r="K420" s="285"/>
      <c r="L420" s="262"/>
    </row>
    <row r="421">
      <c r="A421" s="91"/>
      <c r="B421" s="91"/>
      <c r="C421" s="91"/>
      <c r="E421" s="28"/>
      <c r="F421" s="283"/>
      <c r="G421" s="284"/>
      <c r="H421" s="283"/>
      <c r="I421" s="285"/>
      <c r="K421" s="285"/>
      <c r="L421" s="262"/>
    </row>
    <row r="422">
      <c r="A422" s="91"/>
      <c r="B422" s="91"/>
      <c r="C422" s="91"/>
      <c r="E422" s="28"/>
      <c r="F422" s="283"/>
      <c r="G422" s="284"/>
      <c r="H422" s="283"/>
      <c r="I422" s="285"/>
      <c r="K422" s="285"/>
      <c r="L422" s="262"/>
    </row>
    <row r="423">
      <c r="A423" s="91"/>
      <c r="B423" s="91"/>
      <c r="C423" s="91"/>
      <c r="E423" s="28"/>
      <c r="F423" s="283"/>
      <c r="G423" s="284"/>
      <c r="H423" s="283"/>
      <c r="I423" s="285"/>
      <c r="K423" s="285"/>
      <c r="L423" s="262"/>
    </row>
    <row r="424">
      <c r="A424" s="91"/>
      <c r="B424" s="91"/>
      <c r="C424" s="91"/>
      <c r="E424" s="28"/>
      <c r="F424" s="283"/>
      <c r="G424" s="284"/>
      <c r="H424" s="283"/>
      <c r="I424" s="285"/>
      <c r="K424" s="285"/>
      <c r="L424" s="262"/>
    </row>
    <row r="425">
      <c r="A425" s="91"/>
      <c r="B425" s="91"/>
      <c r="C425" s="91"/>
      <c r="E425" s="28"/>
      <c r="F425" s="283"/>
      <c r="G425" s="284"/>
      <c r="H425" s="283"/>
      <c r="I425" s="285"/>
      <c r="K425" s="285"/>
      <c r="L425" s="262"/>
    </row>
    <row r="426">
      <c r="A426" s="91"/>
      <c r="B426" s="91"/>
      <c r="C426" s="91"/>
      <c r="E426" s="28"/>
      <c r="F426" s="283"/>
      <c r="G426" s="284"/>
      <c r="H426" s="283"/>
      <c r="I426" s="285"/>
      <c r="K426" s="285"/>
      <c r="L426" s="262"/>
    </row>
    <row r="427">
      <c r="A427" s="91"/>
      <c r="B427" s="91"/>
      <c r="C427" s="91"/>
      <c r="E427" s="28"/>
      <c r="F427" s="283"/>
      <c r="G427" s="284"/>
      <c r="H427" s="283"/>
      <c r="I427" s="285"/>
      <c r="K427" s="285"/>
      <c r="L427" s="262"/>
    </row>
    <row r="428">
      <c r="A428" s="91"/>
      <c r="B428" s="91"/>
      <c r="C428" s="91"/>
      <c r="E428" s="28"/>
      <c r="F428" s="283"/>
      <c r="G428" s="284"/>
      <c r="H428" s="283"/>
      <c r="I428" s="285"/>
      <c r="K428" s="285"/>
      <c r="L428" s="262"/>
    </row>
    <row r="429">
      <c r="A429" s="91"/>
      <c r="B429" s="91"/>
      <c r="C429" s="91"/>
      <c r="E429" s="28"/>
      <c r="F429" s="283"/>
      <c r="G429" s="284"/>
      <c r="H429" s="283"/>
      <c r="I429" s="285"/>
      <c r="K429" s="285"/>
      <c r="L429" s="262"/>
    </row>
    <row r="430">
      <c r="A430" s="91"/>
      <c r="B430" s="91"/>
      <c r="C430" s="91"/>
      <c r="E430" s="28"/>
      <c r="F430" s="283"/>
      <c r="G430" s="284"/>
      <c r="H430" s="283"/>
      <c r="I430" s="285"/>
      <c r="K430" s="285"/>
      <c r="L430" s="262"/>
    </row>
    <row r="431">
      <c r="A431" s="91"/>
      <c r="B431" s="91"/>
      <c r="C431" s="91"/>
      <c r="E431" s="28"/>
      <c r="F431" s="283"/>
      <c r="G431" s="284"/>
      <c r="H431" s="283"/>
      <c r="I431" s="285"/>
      <c r="K431" s="285"/>
      <c r="L431" s="262"/>
    </row>
    <row r="432">
      <c r="A432" s="91"/>
      <c r="B432" s="91"/>
      <c r="C432" s="91"/>
      <c r="E432" s="28"/>
      <c r="F432" s="283"/>
      <c r="G432" s="284"/>
      <c r="H432" s="283"/>
      <c r="I432" s="285"/>
      <c r="K432" s="285"/>
      <c r="L432" s="262"/>
    </row>
    <row r="433">
      <c r="A433" s="91"/>
      <c r="B433" s="91"/>
      <c r="C433" s="91"/>
      <c r="E433" s="28"/>
      <c r="F433" s="283"/>
      <c r="G433" s="284"/>
      <c r="H433" s="283"/>
      <c r="I433" s="285"/>
      <c r="K433" s="285"/>
      <c r="L433" s="262"/>
    </row>
    <row r="434">
      <c r="A434" s="91"/>
      <c r="B434" s="91"/>
      <c r="C434" s="91"/>
      <c r="E434" s="28"/>
      <c r="F434" s="283"/>
      <c r="G434" s="284"/>
      <c r="H434" s="283"/>
      <c r="I434" s="285"/>
      <c r="K434" s="285"/>
      <c r="L434" s="262"/>
    </row>
    <row r="435">
      <c r="A435" s="91"/>
      <c r="B435" s="91"/>
      <c r="C435" s="91"/>
      <c r="E435" s="28"/>
      <c r="F435" s="283"/>
      <c r="G435" s="284"/>
      <c r="H435" s="283"/>
      <c r="I435" s="285"/>
      <c r="K435" s="285"/>
      <c r="L435" s="262"/>
    </row>
    <row r="436">
      <c r="A436" s="91"/>
      <c r="B436" s="91"/>
      <c r="C436" s="91"/>
      <c r="E436" s="28"/>
      <c r="F436" s="283"/>
      <c r="G436" s="284"/>
      <c r="H436" s="283"/>
      <c r="I436" s="285"/>
      <c r="K436" s="285"/>
      <c r="L436" s="262"/>
    </row>
    <row r="437">
      <c r="A437" s="91"/>
      <c r="B437" s="91"/>
      <c r="C437" s="91"/>
      <c r="E437" s="28"/>
      <c r="F437" s="283"/>
      <c r="G437" s="284"/>
      <c r="H437" s="283"/>
      <c r="I437" s="285"/>
      <c r="K437" s="285"/>
      <c r="L437" s="262"/>
    </row>
    <row r="438">
      <c r="A438" s="91"/>
      <c r="B438" s="91"/>
      <c r="C438" s="91"/>
      <c r="E438" s="28"/>
      <c r="F438" s="283"/>
      <c r="G438" s="284"/>
      <c r="H438" s="283"/>
      <c r="I438" s="285"/>
      <c r="K438" s="285"/>
      <c r="L438" s="262"/>
    </row>
    <row r="439">
      <c r="A439" s="91"/>
      <c r="B439" s="91"/>
      <c r="C439" s="91"/>
      <c r="E439" s="28"/>
      <c r="F439" s="283"/>
      <c r="G439" s="284"/>
      <c r="H439" s="283"/>
      <c r="I439" s="285"/>
      <c r="K439" s="285"/>
      <c r="L439" s="262"/>
    </row>
    <row r="440">
      <c r="A440" s="91"/>
      <c r="B440" s="91"/>
      <c r="C440" s="91"/>
      <c r="E440" s="28"/>
      <c r="F440" s="283"/>
      <c r="G440" s="284"/>
      <c r="H440" s="283"/>
      <c r="I440" s="285"/>
      <c r="K440" s="285"/>
      <c r="L440" s="262"/>
    </row>
    <row r="441">
      <c r="A441" s="91"/>
      <c r="B441" s="91"/>
      <c r="C441" s="91"/>
      <c r="E441" s="28"/>
      <c r="F441" s="283"/>
      <c r="G441" s="284"/>
      <c r="H441" s="283"/>
      <c r="I441" s="285"/>
      <c r="K441" s="285"/>
      <c r="L441" s="262"/>
    </row>
    <row r="442">
      <c r="A442" s="91"/>
      <c r="B442" s="91"/>
      <c r="C442" s="91"/>
      <c r="E442" s="28"/>
      <c r="F442" s="283"/>
      <c r="G442" s="284"/>
      <c r="H442" s="283"/>
      <c r="I442" s="285"/>
      <c r="K442" s="285"/>
      <c r="L442" s="262"/>
    </row>
    <row r="443">
      <c r="A443" s="91"/>
      <c r="B443" s="91"/>
      <c r="C443" s="91"/>
      <c r="E443" s="28"/>
      <c r="F443" s="283"/>
      <c r="G443" s="284"/>
      <c r="H443" s="283"/>
      <c r="I443" s="285"/>
      <c r="K443" s="285"/>
      <c r="L443" s="262"/>
    </row>
    <row r="444">
      <c r="A444" s="91"/>
      <c r="B444" s="91"/>
      <c r="C444" s="91"/>
      <c r="E444" s="28"/>
      <c r="F444" s="283"/>
      <c r="G444" s="284"/>
      <c r="H444" s="283"/>
      <c r="I444" s="285"/>
      <c r="K444" s="285"/>
      <c r="L444" s="262"/>
    </row>
    <row r="445">
      <c r="A445" s="91"/>
      <c r="B445" s="91"/>
      <c r="C445" s="91"/>
      <c r="E445" s="28"/>
      <c r="F445" s="283"/>
      <c r="G445" s="284"/>
      <c r="H445" s="283"/>
      <c r="I445" s="285"/>
      <c r="K445" s="285"/>
      <c r="L445" s="262"/>
    </row>
    <row r="446">
      <c r="A446" s="91"/>
      <c r="B446" s="91"/>
      <c r="C446" s="91"/>
      <c r="E446" s="28"/>
      <c r="F446" s="283"/>
      <c r="G446" s="284"/>
      <c r="H446" s="283"/>
      <c r="I446" s="285"/>
      <c r="K446" s="285"/>
      <c r="L446" s="262"/>
    </row>
    <row r="447">
      <c r="A447" s="91"/>
      <c r="B447" s="91"/>
      <c r="C447" s="91"/>
      <c r="E447" s="28"/>
      <c r="F447" s="283"/>
      <c r="G447" s="284"/>
      <c r="H447" s="283"/>
      <c r="I447" s="285"/>
      <c r="K447" s="285"/>
      <c r="L447" s="262"/>
    </row>
    <row r="448">
      <c r="A448" s="91"/>
      <c r="B448" s="91"/>
      <c r="C448" s="91"/>
      <c r="E448" s="28"/>
      <c r="F448" s="283"/>
      <c r="G448" s="284"/>
      <c r="H448" s="283"/>
      <c r="I448" s="285"/>
      <c r="K448" s="285"/>
      <c r="L448" s="262"/>
    </row>
    <row r="449">
      <c r="A449" s="91"/>
      <c r="B449" s="91"/>
      <c r="C449" s="91"/>
      <c r="E449" s="28"/>
      <c r="F449" s="283"/>
      <c r="G449" s="284"/>
      <c r="H449" s="283"/>
      <c r="I449" s="285"/>
      <c r="K449" s="285"/>
      <c r="L449" s="262"/>
    </row>
    <row r="450">
      <c r="A450" s="91"/>
      <c r="B450" s="91"/>
      <c r="C450" s="91"/>
      <c r="E450" s="28"/>
      <c r="F450" s="283"/>
      <c r="G450" s="284"/>
      <c r="H450" s="283"/>
      <c r="I450" s="285"/>
      <c r="K450" s="285"/>
      <c r="L450" s="262"/>
    </row>
    <row r="451">
      <c r="A451" s="91"/>
      <c r="B451" s="91"/>
      <c r="C451" s="91"/>
      <c r="E451" s="28"/>
      <c r="F451" s="283"/>
      <c r="G451" s="284"/>
      <c r="H451" s="283"/>
      <c r="I451" s="285"/>
      <c r="K451" s="285"/>
      <c r="L451" s="262"/>
    </row>
    <row r="452">
      <c r="A452" s="91"/>
      <c r="B452" s="91"/>
      <c r="C452" s="91"/>
      <c r="E452" s="28"/>
      <c r="F452" s="283"/>
      <c r="G452" s="284"/>
      <c r="H452" s="283"/>
      <c r="I452" s="285"/>
      <c r="K452" s="285"/>
      <c r="L452" s="262"/>
    </row>
    <row r="453">
      <c r="A453" s="91"/>
      <c r="B453" s="91"/>
      <c r="C453" s="91"/>
      <c r="E453" s="28"/>
      <c r="F453" s="283"/>
      <c r="G453" s="284"/>
      <c r="H453" s="283"/>
      <c r="I453" s="285"/>
      <c r="K453" s="285"/>
      <c r="L453" s="262"/>
    </row>
    <row r="454">
      <c r="A454" s="91"/>
      <c r="B454" s="91"/>
      <c r="C454" s="91"/>
      <c r="E454" s="28"/>
      <c r="F454" s="283"/>
      <c r="G454" s="284"/>
      <c r="H454" s="283"/>
      <c r="I454" s="285"/>
      <c r="K454" s="285"/>
      <c r="L454" s="262"/>
    </row>
    <row r="455">
      <c r="A455" s="91"/>
      <c r="B455" s="91"/>
      <c r="C455" s="91"/>
      <c r="E455" s="28"/>
      <c r="F455" s="283"/>
      <c r="G455" s="284"/>
      <c r="H455" s="283"/>
      <c r="I455" s="285"/>
      <c r="K455" s="285"/>
      <c r="L455" s="262"/>
    </row>
    <row r="456">
      <c r="A456" s="91"/>
      <c r="B456" s="91"/>
      <c r="C456" s="91"/>
      <c r="E456" s="28"/>
      <c r="F456" s="283"/>
      <c r="G456" s="284"/>
      <c r="H456" s="283"/>
      <c r="I456" s="285"/>
      <c r="K456" s="285"/>
      <c r="L456" s="262"/>
    </row>
    <row r="457">
      <c r="A457" s="91"/>
      <c r="B457" s="91"/>
      <c r="C457" s="91"/>
      <c r="E457" s="28"/>
      <c r="F457" s="283"/>
      <c r="G457" s="284"/>
      <c r="H457" s="283"/>
      <c r="I457" s="285"/>
      <c r="K457" s="285"/>
      <c r="L457" s="262"/>
    </row>
    <row r="458">
      <c r="A458" s="91"/>
      <c r="B458" s="91"/>
      <c r="C458" s="91"/>
      <c r="E458" s="28"/>
      <c r="F458" s="283"/>
      <c r="G458" s="284"/>
      <c r="H458" s="283"/>
      <c r="I458" s="285"/>
      <c r="K458" s="285"/>
      <c r="L458" s="262"/>
    </row>
    <row r="459">
      <c r="A459" s="91"/>
      <c r="B459" s="91"/>
      <c r="C459" s="91"/>
      <c r="E459" s="28"/>
      <c r="F459" s="283"/>
      <c r="G459" s="284"/>
      <c r="H459" s="283"/>
      <c r="I459" s="285"/>
      <c r="K459" s="285"/>
      <c r="L459" s="262"/>
    </row>
    <row r="460">
      <c r="A460" s="91"/>
      <c r="B460" s="91"/>
      <c r="C460" s="91"/>
      <c r="E460" s="28"/>
      <c r="F460" s="283"/>
      <c r="G460" s="284"/>
      <c r="H460" s="283"/>
      <c r="I460" s="285"/>
      <c r="K460" s="285"/>
      <c r="L460" s="262"/>
    </row>
    <row r="461">
      <c r="A461" s="91"/>
      <c r="B461" s="91"/>
      <c r="C461" s="91"/>
      <c r="E461" s="28"/>
      <c r="F461" s="283"/>
      <c r="G461" s="284"/>
      <c r="H461" s="283"/>
      <c r="I461" s="285"/>
      <c r="K461" s="285"/>
      <c r="L461" s="262"/>
    </row>
    <row r="462">
      <c r="A462" s="91"/>
      <c r="B462" s="91"/>
      <c r="C462" s="91"/>
      <c r="E462" s="28"/>
      <c r="F462" s="283"/>
      <c r="G462" s="284"/>
      <c r="H462" s="283"/>
      <c r="I462" s="285"/>
      <c r="K462" s="285"/>
      <c r="L462" s="262"/>
    </row>
    <row r="463">
      <c r="A463" s="91"/>
      <c r="B463" s="91"/>
      <c r="C463" s="91"/>
      <c r="E463" s="28"/>
      <c r="F463" s="283"/>
      <c r="G463" s="284"/>
      <c r="H463" s="283"/>
      <c r="I463" s="285"/>
      <c r="K463" s="285"/>
      <c r="L463" s="262"/>
    </row>
    <row r="464">
      <c r="A464" s="91"/>
      <c r="B464" s="91"/>
      <c r="C464" s="91"/>
      <c r="E464" s="28"/>
      <c r="F464" s="283"/>
      <c r="G464" s="284"/>
      <c r="H464" s="283"/>
      <c r="I464" s="285"/>
      <c r="K464" s="285"/>
      <c r="L464" s="262"/>
    </row>
    <row r="465">
      <c r="A465" s="91"/>
      <c r="B465" s="91"/>
      <c r="C465" s="91"/>
      <c r="E465" s="28"/>
      <c r="F465" s="283"/>
      <c r="G465" s="284"/>
      <c r="H465" s="283"/>
      <c r="I465" s="285"/>
      <c r="K465" s="285"/>
      <c r="L465" s="262"/>
    </row>
    <row r="466">
      <c r="A466" s="91"/>
      <c r="B466" s="91"/>
      <c r="C466" s="91"/>
      <c r="E466" s="28"/>
      <c r="F466" s="283"/>
      <c r="G466" s="284"/>
      <c r="H466" s="283"/>
      <c r="I466" s="285"/>
      <c r="K466" s="285"/>
      <c r="L466" s="262"/>
    </row>
    <row r="467">
      <c r="A467" s="91"/>
      <c r="B467" s="91"/>
      <c r="C467" s="91"/>
      <c r="E467" s="28"/>
      <c r="F467" s="283"/>
      <c r="G467" s="284"/>
      <c r="H467" s="283"/>
      <c r="I467" s="285"/>
      <c r="K467" s="285"/>
      <c r="L467" s="262"/>
    </row>
    <row r="468">
      <c r="A468" s="91"/>
      <c r="B468" s="91"/>
      <c r="C468" s="91"/>
      <c r="E468" s="28"/>
      <c r="F468" s="283"/>
      <c r="G468" s="284"/>
      <c r="H468" s="283"/>
      <c r="I468" s="285"/>
      <c r="K468" s="285"/>
      <c r="L468" s="262"/>
    </row>
    <row r="469">
      <c r="A469" s="91"/>
      <c r="B469" s="91"/>
      <c r="C469" s="91"/>
      <c r="E469" s="28"/>
      <c r="F469" s="283"/>
      <c r="G469" s="284"/>
      <c r="H469" s="283"/>
      <c r="I469" s="285"/>
      <c r="K469" s="285"/>
      <c r="L469" s="262"/>
    </row>
    <row r="470">
      <c r="A470" s="91"/>
      <c r="B470" s="91"/>
      <c r="C470" s="91"/>
      <c r="E470" s="28"/>
      <c r="F470" s="283"/>
      <c r="G470" s="284"/>
      <c r="H470" s="283"/>
      <c r="I470" s="285"/>
      <c r="K470" s="285"/>
      <c r="L470" s="262"/>
    </row>
    <row r="471">
      <c r="A471" s="91"/>
      <c r="B471" s="91"/>
      <c r="C471" s="91"/>
      <c r="E471" s="28"/>
      <c r="F471" s="283"/>
      <c r="G471" s="284"/>
      <c r="H471" s="283"/>
      <c r="I471" s="285"/>
      <c r="K471" s="285"/>
      <c r="L471" s="262"/>
    </row>
    <row r="472">
      <c r="A472" s="91"/>
      <c r="B472" s="91"/>
      <c r="C472" s="91"/>
      <c r="E472" s="28"/>
      <c r="F472" s="283"/>
      <c r="G472" s="284"/>
      <c r="H472" s="283"/>
      <c r="I472" s="285"/>
      <c r="K472" s="285"/>
      <c r="L472" s="262"/>
    </row>
    <row r="473">
      <c r="A473" s="91"/>
      <c r="B473" s="91"/>
      <c r="C473" s="91"/>
      <c r="E473" s="28"/>
      <c r="F473" s="283"/>
      <c r="G473" s="284"/>
      <c r="H473" s="283"/>
      <c r="I473" s="285"/>
      <c r="K473" s="285"/>
      <c r="L473" s="262"/>
    </row>
    <row r="474">
      <c r="A474" s="91"/>
      <c r="B474" s="91"/>
      <c r="C474" s="91"/>
      <c r="E474" s="28"/>
      <c r="F474" s="283"/>
      <c r="G474" s="284"/>
      <c r="H474" s="283"/>
      <c r="I474" s="285"/>
      <c r="K474" s="285"/>
      <c r="L474" s="262"/>
    </row>
    <row r="475">
      <c r="A475" s="91"/>
      <c r="B475" s="91"/>
      <c r="C475" s="91"/>
      <c r="E475" s="28"/>
      <c r="F475" s="283"/>
      <c r="G475" s="284"/>
      <c r="H475" s="283"/>
      <c r="I475" s="285"/>
      <c r="K475" s="285"/>
      <c r="L475" s="262"/>
    </row>
    <row r="476">
      <c r="A476" s="91"/>
      <c r="B476" s="91"/>
      <c r="C476" s="91"/>
      <c r="E476" s="28"/>
      <c r="F476" s="283"/>
      <c r="G476" s="284"/>
      <c r="H476" s="283"/>
      <c r="I476" s="285"/>
      <c r="K476" s="285"/>
      <c r="L476" s="262"/>
    </row>
    <row r="477">
      <c r="A477" s="91"/>
      <c r="B477" s="91"/>
      <c r="C477" s="91"/>
      <c r="E477" s="28"/>
      <c r="F477" s="283"/>
      <c r="G477" s="284"/>
      <c r="H477" s="283"/>
      <c r="I477" s="285"/>
      <c r="K477" s="285"/>
      <c r="L477" s="262"/>
    </row>
    <row r="478">
      <c r="A478" s="91"/>
      <c r="B478" s="91"/>
      <c r="C478" s="91"/>
      <c r="E478" s="28"/>
      <c r="F478" s="283"/>
      <c r="G478" s="284"/>
      <c r="H478" s="283"/>
      <c r="I478" s="285"/>
      <c r="K478" s="285"/>
      <c r="L478" s="262"/>
    </row>
    <row r="479">
      <c r="A479" s="91"/>
      <c r="B479" s="91"/>
      <c r="C479" s="91"/>
      <c r="E479" s="28"/>
      <c r="F479" s="283"/>
      <c r="G479" s="284"/>
      <c r="H479" s="283"/>
      <c r="I479" s="285"/>
      <c r="K479" s="285"/>
      <c r="L479" s="262"/>
    </row>
    <row r="480">
      <c r="A480" s="91"/>
      <c r="B480" s="91"/>
      <c r="C480" s="91"/>
      <c r="E480" s="28"/>
      <c r="F480" s="283"/>
      <c r="G480" s="284"/>
      <c r="H480" s="283"/>
      <c r="I480" s="285"/>
      <c r="K480" s="285"/>
      <c r="L480" s="262"/>
    </row>
    <row r="481">
      <c r="A481" s="91"/>
      <c r="B481" s="91"/>
      <c r="C481" s="91"/>
      <c r="E481" s="28"/>
      <c r="F481" s="283"/>
      <c r="G481" s="284"/>
      <c r="H481" s="283"/>
      <c r="I481" s="285"/>
      <c r="K481" s="285"/>
      <c r="L481" s="262"/>
    </row>
    <row r="482">
      <c r="A482" s="91"/>
      <c r="B482" s="91"/>
      <c r="C482" s="91"/>
      <c r="E482" s="28"/>
      <c r="F482" s="283"/>
      <c r="G482" s="284"/>
      <c r="H482" s="283"/>
      <c r="I482" s="285"/>
      <c r="K482" s="285"/>
      <c r="L482" s="262"/>
    </row>
    <row r="483">
      <c r="A483" s="91"/>
      <c r="B483" s="91"/>
      <c r="C483" s="91"/>
      <c r="E483" s="28"/>
      <c r="F483" s="283"/>
      <c r="G483" s="284"/>
      <c r="H483" s="283"/>
      <c r="I483" s="285"/>
      <c r="K483" s="285"/>
      <c r="L483" s="262"/>
    </row>
    <row r="484">
      <c r="A484" s="91"/>
      <c r="B484" s="91"/>
      <c r="C484" s="91"/>
      <c r="E484" s="28"/>
      <c r="F484" s="283"/>
      <c r="G484" s="284"/>
      <c r="H484" s="283"/>
      <c r="I484" s="285"/>
      <c r="K484" s="285"/>
      <c r="L484" s="262"/>
    </row>
    <row r="485">
      <c r="A485" s="91"/>
      <c r="B485" s="91"/>
      <c r="C485" s="91"/>
      <c r="E485" s="28"/>
      <c r="F485" s="283"/>
      <c r="G485" s="284"/>
      <c r="H485" s="283"/>
      <c r="I485" s="285"/>
      <c r="K485" s="285"/>
      <c r="L485" s="262"/>
    </row>
    <row r="486">
      <c r="A486" s="91"/>
      <c r="B486" s="91"/>
      <c r="C486" s="91"/>
      <c r="E486" s="28"/>
      <c r="F486" s="283"/>
      <c r="G486" s="284"/>
      <c r="H486" s="283"/>
      <c r="I486" s="285"/>
      <c r="K486" s="285"/>
      <c r="L486" s="262"/>
    </row>
    <row r="487">
      <c r="A487" s="91"/>
      <c r="B487" s="91"/>
      <c r="C487" s="91"/>
      <c r="E487" s="28"/>
      <c r="F487" s="283"/>
      <c r="G487" s="284"/>
      <c r="H487" s="283"/>
      <c r="I487" s="285"/>
      <c r="K487" s="285"/>
      <c r="L487" s="262"/>
    </row>
    <row r="488">
      <c r="A488" s="91"/>
      <c r="B488" s="91"/>
      <c r="C488" s="91"/>
      <c r="E488" s="28"/>
      <c r="F488" s="283"/>
      <c r="G488" s="284"/>
      <c r="H488" s="283"/>
      <c r="I488" s="285"/>
      <c r="K488" s="285"/>
      <c r="L488" s="262"/>
    </row>
    <row r="489">
      <c r="A489" s="91"/>
      <c r="B489" s="91"/>
      <c r="C489" s="91"/>
      <c r="E489" s="28"/>
      <c r="F489" s="283"/>
      <c r="G489" s="284"/>
      <c r="H489" s="283"/>
      <c r="I489" s="285"/>
      <c r="K489" s="285"/>
      <c r="L489" s="262"/>
    </row>
    <row r="490">
      <c r="A490" s="91"/>
      <c r="B490" s="91"/>
      <c r="C490" s="91"/>
      <c r="E490" s="28"/>
      <c r="F490" s="283"/>
      <c r="G490" s="284"/>
      <c r="H490" s="283"/>
      <c r="I490" s="285"/>
      <c r="K490" s="285"/>
      <c r="L490" s="262"/>
    </row>
    <row r="491">
      <c r="A491" s="91"/>
      <c r="B491" s="91"/>
      <c r="C491" s="91"/>
      <c r="E491" s="28"/>
      <c r="F491" s="283"/>
      <c r="G491" s="284"/>
      <c r="H491" s="283"/>
      <c r="I491" s="285"/>
      <c r="K491" s="285"/>
      <c r="L491" s="262"/>
    </row>
    <row r="492">
      <c r="A492" s="91"/>
      <c r="B492" s="91"/>
      <c r="C492" s="91"/>
      <c r="E492" s="28"/>
      <c r="F492" s="283"/>
      <c r="G492" s="284"/>
      <c r="H492" s="283"/>
      <c r="I492" s="285"/>
      <c r="K492" s="285"/>
      <c r="L492" s="262"/>
    </row>
    <row r="493">
      <c r="A493" s="91"/>
      <c r="B493" s="91"/>
      <c r="C493" s="91"/>
      <c r="E493" s="28"/>
      <c r="F493" s="283"/>
      <c r="G493" s="284"/>
      <c r="H493" s="283"/>
      <c r="I493" s="285"/>
      <c r="K493" s="285"/>
      <c r="L493" s="262"/>
    </row>
    <row r="494">
      <c r="A494" s="91"/>
      <c r="B494" s="91"/>
      <c r="C494" s="91"/>
      <c r="E494" s="28"/>
      <c r="F494" s="283"/>
      <c r="G494" s="284"/>
      <c r="H494" s="283"/>
      <c r="I494" s="285"/>
      <c r="K494" s="285"/>
      <c r="L494" s="262"/>
    </row>
    <row r="495">
      <c r="A495" s="91"/>
      <c r="B495" s="91"/>
      <c r="C495" s="91"/>
      <c r="E495" s="28"/>
      <c r="F495" s="283"/>
      <c r="G495" s="284"/>
      <c r="H495" s="283"/>
      <c r="I495" s="285"/>
      <c r="K495" s="285"/>
      <c r="L495" s="262"/>
    </row>
    <row r="496">
      <c r="A496" s="91"/>
      <c r="B496" s="91"/>
      <c r="C496" s="91"/>
      <c r="E496" s="28"/>
      <c r="F496" s="283"/>
      <c r="G496" s="284"/>
      <c r="H496" s="283"/>
      <c r="I496" s="285"/>
      <c r="K496" s="285"/>
      <c r="L496" s="262"/>
    </row>
    <row r="497">
      <c r="A497" s="91"/>
      <c r="B497" s="91"/>
      <c r="C497" s="91"/>
      <c r="E497" s="28"/>
      <c r="F497" s="283"/>
      <c r="G497" s="284"/>
      <c r="H497" s="283"/>
      <c r="I497" s="285"/>
      <c r="K497" s="285"/>
      <c r="L497" s="262"/>
    </row>
    <row r="498">
      <c r="A498" s="91"/>
      <c r="B498" s="91"/>
      <c r="C498" s="91"/>
      <c r="E498" s="28"/>
      <c r="F498" s="283"/>
      <c r="G498" s="284"/>
      <c r="H498" s="283"/>
      <c r="I498" s="285"/>
      <c r="K498" s="285"/>
      <c r="L498" s="262"/>
    </row>
    <row r="499">
      <c r="A499" s="91"/>
      <c r="B499" s="91"/>
      <c r="C499" s="91"/>
      <c r="E499" s="28"/>
      <c r="F499" s="283"/>
      <c r="G499" s="284"/>
      <c r="H499" s="283"/>
      <c r="I499" s="285"/>
      <c r="K499" s="285"/>
      <c r="L499" s="262"/>
    </row>
    <row r="500">
      <c r="A500" s="91"/>
      <c r="B500" s="91"/>
      <c r="C500" s="91"/>
      <c r="E500" s="28"/>
      <c r="F500" s="283"/>
      <c r="G500" s="284"/>
      <c r="H500" s="283"/>
      <c r="I500" s="285"/>
      <c r="K500" s="285"/>
      <c r="L500" s="262"/>
    </row>
    <row r="501">
      <c r="A501" s="91"/>
      <c r="B501" s="91"/>
      <c r="C501" s="91"/>
      <c r="E501" s="28"/>
      <c r="F501" s="283"/>
      <c r="G501" s="284"/>
      <c r="H501" s="283"/>
      <c r="I501" s="285"/>
      <c r="K501" s="285"/>
      <c r="L501" s="262"/>
    </row>
    <row r="502">
      <c r="A502" s="91"/>
      <c r="B502" s="91"/>
      <c r="C502" s="91"/>
      <c r="E502" s="28"/>
      <c r="F502" s="283"/>
      <c r="G502" s="284"/>
      <c r="H502" s="283"/>
      <c r="I502" s="285"/>
      <c r="K502" s="285"/>
      <c r="L502" s="262"/>
    </row>
    <row r="503">
      <c r="A503" s="91"/>
      <c r="B503" s="91"/>
      <c r="C503" s="91"/>
      <c r="E503" s="28"/>
      <c r="F503" s="283"/>
      <c r="G503" s="284"/>
      <c r="H503" s="283"/>
      <c r="I503" s="285"/>
      <c r="K503" s="285"/>
      <c r="L503" s="262"/>
    </row>
    <row r="504">
      <c r="A504" s="91"/>
      <c r="B504" s="91"/>
      <c r="C504" s="91"/>
      <c r="E504" s="28"/>
      <c r="F504" s="283"/>
      <c r="G504" s="284"/>
      <c r="H504" s="283"/>
      <c r="I504" s="285"/>
      <c r="K504" s="285"/>
      <c r="L504" s="262"/>
    </row>
    <row r="505">
      <c r="A505" s="91"/>
      <c r="B505" s="91"/>
      <c r="C505" s="91"/>
      <c r="E505" s="28"/>
      <c r="F505" s="283"/>
      <c r="G505" s="284"/>
      <c r="H505" s="283"/>
      <c r="I505" s="285"/>
      <c r="K505" s="285"/>
      <c r="L505" s="262"/>
    </row>
    <row r="506">
      <c r="A506" s="91"/>
      <c r="B506" s="91"/>
      <c r="C506" s="91"/>
      <c r="E506" s="28"/>
      <c r="F506" s="283"/>
      <c r="G506" s="284"/>
      <c r="H506" s="283"/>
      <c r="I506" s="285"/>
      <c r="K506" s="285"/>
      <c r="L506" s="262"/>
    </row>
    <row r="507">
      <c r="A507" s="91"/>
      <c r="B507" s="91"/>
      <c r="C507" s="91"/>
      <c r="E507" s="28"/>
      <c r="F507" s="283"/>
      <c r="G507" s="284"/>
      <c r="H507" s="283"/>
      <c r="I507" s="285"/>
      <c r="K507" s="285"/>
      <c r="L507" s="262"/>
    </row>
    <row r="508">
      <c r="A508" s="91"/>
      <c r="B508" s="91"/>
      <c r="C508" s="91"/>
      <c r="E508" s="28"/>
      <c r="F508" s="283"/>
      <c r="G508" s="284"/>
      <c r="H508" s="283"/>
      <c r="I508" s="285"/>
      <c r="K508" s="285"/>
      <c r="L508" s="262"/>
    </row>
    <row r="509">
      <c r="A509" s="91"/>
      <c r="B509" s="91"/>
      <c r="C509" s="91"/>
      <c r="E509" s="28"/>
      <c r="F509" s="283"/>
      <c r="G509" s="284"/>
      <c r="H509" s="283"/>
      <c r="I509" s="285"/>
      <c r="K509" s="285"/>
      <c r="L509" s="262"/>
    </row>
    <row r="510">
      <c r="A510" s="91"/>
      <c r="B510" s="91"/>
      <c r="C510" s="91"/>
      <c r="E510" s="28"/>
      <c r="F510" s="283"/>
      <c r="G510" s="284"/>
      <c r="H510" s="283"/>
      <c r="I510" s="285"/>
      <c r="K510" s="285"/>
      <c r="L510" s="262"/>
    </row>
    <row r="511">
      <c r="A511" s="91"/>
      <c r="B511" s="91"/>
      <c r="C511" s="91"/>
      <c r="E511" s="28"/>
      <c r="F511" s="283"/>
      <c r="G511" s="284"/>
      <c r="H511" s="283"/>
      <c r="I511" s="285"/>
      <c r="K511" s="285"/>
      <c r="L511" s="262"/>
    </row>
    <row r="512">
      <c r="A512" s="91"/>
      <c r="B512" s="91"/>
      <c r="C512" s="91"/>
      <c r="E512" s="28"/>
      <c r="F512" s="283"/>
      <c r="G512" s="284"/>
      <c r="H512" s="283"/>
      <c r="I512" s="285"/>
      <c r="K512" s="285"/>
      <c r="L512" s="262"/>
    </row>
    <row r="513">
      <c r="A513" s="91"/>
      <c r="B513" s="91"/>
      <c r="C513" s="91"/>
      <c r="E513" s="28"/>
      <c r="F513" s="283"/>
      <c r="G513" s="284"/>
      <c r="H513" s="283"/>
      <c r="I513" s="285"/>
      <c r="K513" s="285"/>
      <c r="L513" s="262"/>
    </row>
    <row r="514">
      <c r="A514" s="91"/>
      <c r="B514" s="91"/>
      <c r="C514" s="91"/>
      <c r="E514" s="28"/>
      <c r="F514" s="283"/>
      <c r="G514" s="284"/>
      <c r="H514" s="283"/>
      <c r="I514" s="285"/>
      <c r="K514" s="285"/>
      <c r="L514" s="262"/>
    </row>
    <row r="515">
      <c r="A515" s="91"/>
      <c r="B515" s="91"/>
      <c r="C515" s="91"/>
      <c r="E515" s="28"/>
      <c r="F515" s="283"/>
      <c r="G515" s="284"/>
      <c r="H515" s="283"/>
      <c r="I515" s="285"/>
      <c r="K515" s="285"/>
      <c r="L515" s="262"/>
    </row>
    <row r="516">
      <c r="A516" s="91"/>
      <c r="B516" s="91"/>
      <c r="C516" s="91"/>
      <c r="E516" s="28"/>
      <c r="F516" s="283"/>
      <c r="G516" s="284"/>
      <c r="H516" s="283"/>
      <c r="I516" s="285"/>
      <c r="K516" s="285"/>
      <c r="L516" s="262"/>
    </row>
    <row r="517">
      <c r="A517" s="91"/>
      <c r="B517" s="91"/>
      <c r="C517" s="91"/>
      <c r="E517" s="28"/>
      <c r="F517" s="283"/>
      <c r="G517" s="284"/>
      <c r="H517" s="283"/>
      <c r="I517" s="285"/>
      <c r="K517" s="285"/>
      <c r="L517" s="262"/>
    </row>
    <row r="518">
      <c r="A518" s="91"/>
      <c r="B518" s="91"/>
      <c r="C518" s="91"/>
      <c r="E518" s="28"/>
      <c r="F518" s="283"/>
      <c r="G518" s="284"/>
      <c r="H518" s="283"/>
      <c r="I518" s="285"/>
      <c r="K518" s="285"/>
      <c r="L518" s="262"/>
    </row>
    <row r="519">
      <c r="A519" s="91"/>
      <c r="B519" s="91"/>
      <c r="C519" s="91"/>
      <c r="E519" s="28"/>
      <c r="F519" s="283"/>
      <c r="G519" s="284"/>
      <c r="H519" s="283"/>
      <c r="I519" s="285"/>
      <c r="K519" s="285"/>
      <c r="L519" s="262"/>
    </row>
    <row r="520">
      <c r="A520" s="91"/>
      <c r="B520" s="91"/>
      <c r="C520" s="91"/>
      <c r="E520" s="28"/>
      <c r="F520" s="283"/>
      <c r="G520" s="284"/>
      <c r="H520" s="283"/>
      <c r="I520" s="285"/>
      <c r="K520" s="285"/>
      <c r="L520" s="262"/>
    </row>
    <row r="521">
      <c r="A521" s="91"/>
      <c r="B521" s="91"/>
      <c r="C521" s="91"/>
      <c r="E521" s="28"/>
      <c r="F521" s="283"/>
      <c r="G521" s="284"/>
      <c r="H521" s="283"/>
      <c r="I521" s="285"/>
      <c r="K521" s="285"/>
      <c r="L521" s="262"/>
    </row>
    <row r="522">
      <c r="A522" s="91"/>
      <c r="B522" s="91"/>
      <c r="C522" s="91"/>
      <c r="E522" s="28"/>
      <c r="F522" s="283"/>
      <c r="G522" s="284"/>
      <c r="H522" s="283"/>
      <c r="I522" s="285"/>
      <c r="K522" s="285"/>
      <c r="L522" s="262"/>
    </row>
    <row r="523">
      <c r="A523" s="91"/>
      <c r="B523" s="91"/>
      <c r="C523" s="91"/>
      <c r="E523" s="28"/>
      <c r="F523" s="283"/>
      <c r="G523" s="284"/>
      <c r="H523" s="283"/>
      <c r="I523" s="285"/>
      <c r="K523" s="285"/>
      <c r="L523" s="262"/>
    </row>
    <row r="524">
      <c r="A524" s="91"/>
      <c r="B524" s="91"/>
      <c r="C524" s="91"/>
      <c r="E524" s="28"/>
      <c r="F524" s="283"/>
      <c r="G524" s="284"/>
      <c r="H524" s="283"/>
      <c r="I524" s="285"/>
      <c r="K524" s="285"/>
      <c r="L524" s="262"/>
    </row>
    <row r="525">
      <c r="A525" s="91"/>
      <c r="B525" s="91"/>
      <c r="C525" s="91"/>
      <c r="E525" s="28"/>
      <c r="F525" s="283"/>
      <c r="G525" s="284"/>
      <c r="H525" s="283"/>
      <c r="I525" s="285"/>
      <c r="K525" s="285"/>
      <c r="L525" s="262"/>
    </row>
    <row r="526">
      <c r="A526" s="91"/>
      <c r="B526" s="91"/>
      <c r="C526" s="91"/>
      <c r="E526" s="28"/>
      <c r="F526" s="283"/>
      <c r="G526" s="284"/>
      <c r="H526" s="283"/>
      <c r="I526" s="285"/>
      <c r="K526" s="285"/>
      <c r="L526" s="262"/>
    </row>
    <row r="527">
      <c r="A527" s="91"/>
      <c r="B527" s="91"/>
      <c r="C527" s="91"/>
      <c r="E527" s="28"/>
      <c r="F527" s="283"/>
      <c r="G527" s="284"/>
      <c r="H527" s="283"/>
      <c r="I527" s="285"/>
      <c r="K527" s="285"/>
      <c r="L527" s="262"/>
    </row>
    <row r="528">
      <c r="A528" s="91"/>
      <c r="B528" s="91"/>
      <c r="C528" s="91"/>
      <c r="E528" s="28"/>
      <c r="F528" s="283"/>
      <c r="G528" s="284"/>
      <c r="H528" s="283"/>
      <c r="I528" s="285"/>
      <c r="K528" s="285"/>
      <c r="L528" s="262"/>
    </row>
    <row r="529">
      <c r="A529" s="91"/>
      <c r="B529" s="91"/>
      <c r="C529" s="91"/>
      <c r="E529" s="28"/>
      <c r="F529" s="283"/>
      <c r="G529" s="284"/>
      <c r="H529" s="283"/>
      <c r="I529" s="285"/>
      <c r="K529" s="285"/>
      <c r="L529" s="262"/>
    </row>
    <row r="530">
      <c r="A530" s="91"/>
      <c r="B530" s="91"/>
      <c r="C530" s="91"/>
      <c r="E530" s="28"/>
      <c r="F530" s="283"/>
      <c r="G530" s="284"/>
      <c r="H530" s="283"/>
      <c r="I530" s="285"/>
      <c r="K530" s="285"/>
      <c r="L530" s="262"/>
    </row>
    <row r="531">
      <c r="A531" s="91"/>
      <c r="B531" s="91"/>
      <c r="C531" s="91"/>
      <c r="E531" s="28"/>
      <c r="F531" s="283"/>
      <c r="G531" s="284"/>
      <c r="H531" s="283"/>
      <c r="I531" s="285"/>
      <c r="K531" s="285"/>
      <c r="L531" s="262"/>
    </row>
    <row r="532">
      <c r="A532" s="91"/>
      <c r="B532" s="91"/>
      <c r="C532" s="91"/>
      <c r="E532" s="28"/>
      <c r="F532" s="283"/>
      <c r="G532" s="284"/>
      <c r="H532" s="283"/>
      <c r="I532" s="285"/>
      <c r="K532" s="285"/>
      <c r="L532" s="262"/>
    </row>
    <row r="533">
      <c r="A533" s="91"/>
      <c r="B533" s="91"/>
      <c r="C533" s="91"/>
      <c r="E533" s="28"/>
      <c r="F533" s="283"/>
      <c r="G533" s="284"/>
      <c r="H533" s="283"/>
      <c r="I533" s="285"/>
      <c r="K533" s="285"/>
      <c r="L533" s="262"/>
    </row>
    <row r="534">
      <c r="A534" s="91"/>
      <c r="B534" s="91"/>
      <c r="C534" s="91"/>
      <c r="E534" s="28"/>
      <c r="F534" s="283"/>
      <c r="G534" s="284"/>
      <c r="H534" s="283"/>
      <c r="I534" s="285"/>
      <c r="K534" s="285"/>
      <c r="L534" s="262"/>
    </row>
    <row r="535">
      <c r="A535" s="91"/>
      <c r="B535" s="91"/>
      <c r="C535" s="91"/>
      <c r="E535" s="28"/>
      <c r="F535" s="283"/>
      <c r="G535" s="284"/>
      <c r="H535" s="283"/>
      <c r="I535" s="285"/>
      <c r="K535" s="285"/>
      <c r="L535" s="262"/>
    </row>
    <row r="536">
      <c r="A536" s="91"/>
      <c r="B536" s="91"/>
      <c r="C536" s="91"/>
      <c r="E536" s="28"/>
      <c r="F536" s="283"/>
      <c r="G536" s="284"/>
      <c r="H536" s="283"/>
      <c r="I536" s="285"/>
      <c r="K536" s="285"/>
      <c r="L536" s="262"/>
    </row>
    <row r="537">
      <c r="A537" s="91"/>
      <c r="B537" s="91"/>
      <c r="C537" s="91"/>
      <c r="E537" s="28"/>
      <c r="F537" s="283"/>
      <c r="G537" s="284"/>
      <c r="H537" s="283"/>
      <c r="I537" s="285"/>
      <c r="K537" s="285"/>
      <c r="L537" s="262"/>
    </row>
    <row r="538">
      <c r="A538" s="91"/>
      <c r="B538" s="91"/>
      <c r="C538" s="91"/>
      <c r="E538" s="28"/>
      <c r="F538" s="283"/>
      <c r="G538" s="284"/>
      <c r="H538" s="283"/>
      <c r="I538" s="285"/>
      <c r="K538" s="285"/>
      <c r="L538" s="262"/>
    </row>
    <row r="539">
      <c r="A539" s="91"/>
      <c r="B539" s="91"/>
      <c r="C539" s="91"/>
      <c r="E539" s="28"/>
      <c r="F539" s="283"/>
      <c r="G539" s="284"/>
      <c r="H539" s="283"/>
      <c r="I539" s="285"/>
      <c r="K539" s="285"/>
      <c r="L539" s="262"/>
    </row>
    <row r="540">
      <c r="A540" s="91"/>
      <c r="B540" s="91"/>
      <c r="C540" s="91"/>
      <c r="E540" s="28"/>
      <c r="F540" s="283"/>
      <c r="G540" s="284"/>
      <c r="H540" s="283"/>
      <c r="I540" s="285"/>
      <c r="K540" s="285"/>
      <c r="L540" s="262"/>
    </row>
    <row r="541">
      <c r="A541" s="91"/>
      <c r="B541" s="91"/>
      <c r="C541" s="91"/>
      <c r="E541" s="28"/>
      <c r="F541" s="283"/>
      <c r="G541" s="284"/>
      <c r="H541" s="283"/>
      <c r="I541" s="285"/>
      <c r="K541" s="285"/>
      <c r="L541" s="262"/>
    </row>
    <row r="542">
      <c r="A542" s="91"/>
      <c r="B542" s="91"/>
      <c r="C542" s="91"/>
      <c r="E542" s="28"/>
      <c r="F542" s="283"/>
      <c r="G542" s="284"/>
      <c r="H542" s="283"/>
      <c r="I542" s="285"/>
      <c r="K542" s="285"/>
      <c r="L542" s="262"/>
    </row>
    <row r="543">
      <c r="A543" s="91"/>
      <c r="B543" s="91"/>
      <c r="C543" s="91"/>
      <c r="E543" s="28"/>
      <c r="F543" s="283"/>
      <c r="G543" s="284"/>
      <c r="H543" s="283"/>
      <c r="I543" s="285"/>
      <c r="K543" s="285"/>
      <c r="L543" s="262"/>
    </row>
    <row r="544">
      <c r="A544" s="91"/>
      <c r="B544" s="91"/>
      <c r="C544" s="91"/>
      <c r="E544" s="28"/>
      <c r="F544" s="283"/>
      <c r="G544" s="284"/>
      <c r="H544" s="283"/>
      <c r="I544" s="285"/>
      <c r="K544" s="285"/>
      <c r="L544" s="262"/>
    </row>
    <row r="545">
      <c r="A545" s="91"/>
      <c r="B545" s="91"/>
      <c r="C545" s="91"/>
      <c r="E545" s="28"/>
      <c r="F545" s="283"/>
      <c r="G545" s="284"/>
      <c r="H545" s="283"/>
      <c r="I545" s="285"/>
      <c r="K545" s="285"/>
      <c r="L545" s="262"/>
    </row>
    <row r="546">
      <c r="A546" s="91"/>
      <c r="B546" s="91"/>
      <c r="C546" s="91"/>
      <c r="E546" s="28"/>
      <c r="F546" s="283"/>
      <c r="G546" s="284"/>
      <c r="H546" s="283"/>
      <c r="I546" s="285"/>
      <c r="K546" s="285"/>
      <c r="L546" s="262"/>
    </row>
    <row r="547">
      <c r="A547" s="91"/>
      <c r="B547" s="91"/>
      <c r="C547" s="91"/>
      <c r="E547" s="28"/>
      <c r="F547" s="283"/>
      <c r="G547" s="284"/>
      <c r="H547" s="283"/>
      <c r="I547" s="285"/>
      <c r="K547" s="285"/>
      <c r="L547" s="262"/>
    </row>
    <row r="548">
      <c r="A548" s="91"/>
      <c r="B548" s="91"/>
      <c r="C548" s="91"/>
      <c r="E548" s="28"/>
      <c r="F548" s="283"/>
      <c r="G548" s="284"/>
      <c r="H548" s="283"/>
      <c r="I548" s="285"/>
      <c r="K548" s="285"/>
      <c r="L548" s="262"/>
    </row>
    <row r="549">
      <c r="A549" s="91"/>
      <c r="B549" s="91"/>
      <c r="C549" s="91"/>
      <c r="E549" s="28"/>
      <c r="F549" s="283"/>
      <c r="G549" s="284"/>
      <c r="H549" s="283"/>
      <c r="I549" s="285"/>
      <c r="K549" s="285"/>
      <c r="L549" s="262"/>
    </row>
    <row r="550">
      <c r="A550" s="91"/>
      <c r="B550" s="91"/>
      <c r="C550" s="91"/>
      <c r="E550" s="28"/>
      <c r="F550" s="283"/>
      <c r="G550" s="284"/>
      <c r="H550" s="283"/>
      <c r="I550" s="285"/>
      <c r="K550" s="285"/>
      <c r="L550" s="262"/>
    </row>
    <row r="551">
      <c r="A551" s="91"/>
      <c r="B551" s="91"/>
      <c r="C551" s="91"/>
      <c r="E551" s="28"/>
      <c r="F551" s="283"/>
      <c r="G551" s="284"/>
      <c r="H551" s="283"/>
      <c r="I551" s="285"/>
      <c r="K551" s="285"/>
      <c r="L551" s="262"/>
    </row>
    <row r="552">
      <c r="A552" s="91"/>
      <c r="B552" s="91"/>
      <c r="C552" s="91"/>
      <c r="E552" s="28"/>
      <c r="F552" s="283"/>
      <c r="G552" s="284"/>
      <c r="H552" s="283"/>
      <c r="I552" s="285"/>
      <c r="K552" s="285"/>
      <c r="L552" s="262"/>
    </row>
    <row r="553">
      <c r="A553" s="91"/>
      <c r="B553" s="91"/>
      <c r="C553" s="91"/>
      <c r="E553" s="28"/>
      <c r="F553" s="283"/>
      <c r="G553" s="284"/>
      <c r="H553" s="283"/>
      <c r="I553" s="285"/>
      <c r="K553" s="285"/>
      <c r="L553" s="262"/>
    </row>
    <row r="554">
      <c r="A554" s="91"/>
      <c r="B554" s="91"/>
      <c r="C554" s="91"/>
      <c r="E554" s="28"/>
      <c r="F554" s="283"/>
      <c r="G554" s="284"/>
      <c r="H554" s="283"/>
      <c r="I554" s="285"/>
      <c r="K554" s="285"/>
      <c r="L554" s="262"/>
    </row>
    <row r="555">
      <c r="A555" s="91"/>
      <c r="B555" s="91"/>
      <c r="C555" s="91"/>
      <c r="E555" s="28"/>
      <c r="F555" s="283"/>
      <c r="G555" s="284"/>
      <c r="H555" s="283"/>
      <c r="I555" s="285"/>
      <c r="K555" s="285"/>
      <c r="L555" s="262"/>
    </row>
    <row r="556">
      <c r="A556" s="91"/>
      <c r="B556" s="91"/>
      <c r="C556" s="91"/>
      <c r="E556" s="28"/>
      <c r="F556" s="283"/>
      <c r="G556" s="284"/>
      <c r="H556" s="283"/>
      <c r="I556" s="285"/>
      <c r="K556" s="285"/>
      <c r="L556" s="262"/>
    </row>
    <row r="557">
      <c r="A557" s="91"/>
      <c r="B557" s="91"/>
      <c r="C557" s="91"/>
      <c r="E557" s="28"/>
      <c r="F557" s="283"/>
      <c r="G557" s="284"/>
      <c r="H557" s="283"/>
      <c r="I557" s="285"/>
      <c r="K557" s="285"/>
      <c r="L557" s="262"/>
    </row>
    <row r="558">
      <c r="A558" s="91"/>
      <c r="B558" s="91"/>
      <c r="C558" s="91"/>
      <c r="E558" s="28"/>
      <c r="F558" s="283"/>
      <c r="G558" s="284"/>
      <c r="H558" s="283"/>
      <c r="I558" s="285"/>
      <c r="K558" s="285"/>
      <c r="L558" s="262"/>
    </row>
    <row r="559">
      <c r="A559" s="91"/>
      <c r="B559" s="91"/>
      <c r="C559" s="91"/>
      <c r="E559" s="28"/>
      <c r="F559" s="283"/>
      <c r="G559" s="284"/>
      <c r="H559" s="283"/>
      <c r="I559" s="285"/>
      <c r="K559" s="285"/>
      <c r="L559" s="262"/>
    </row>
    <row r="560">
      <c r="A560" s="91"/>
      <c r="B560" s="91"/>
      <c r="C560" s="91"/>
      <c r="E560" s="28"/>
      <c r="F560" s="283"/>
      <c r="G560" s="284"/>
      <c r="H560" s="283"/>
      <c r="I560" s="285"/>
      <c r="K560" s="285"/>
      <c r="L560" s="262"/>
    </row>
    <row r="561">
      <c r="A561" s="91"/>
      <c r="B561" s="91"/>
      <c r="C561" s="91"/>
      <c r="E561" s="28"/>
      <c r="F561" s="283"/>
      <c r="G561" s="284"/>
      <c r="H561" s="283"/>
      <c r="I561" s="285"/>
      <c r="K561" s="285"/>
      <c r="L561" s="262"/>
    </row>
    <row r="562">
      <c r="A562" s="91"/>
      <c r="B562" s="91"/>
      <c r="C562" s="91"/>
      <c r="E562" s="28"/>
      <c r="F562" s="283"/>
      <c r="G562" s="284"/>
      <c r="H562" s="283"/>
      <c r="I562" s="285"/>
      <c r="K562" s="285"/>
      <c r="L562" s="262"/>
    </row>
    <row r="563">
      <c r="A563" s="91"/>
      <c r="B563" s="91"/>
      <c r="C563" s="91"/>
      <c r="E563" s="28"/>
      <c r="F563" s="283"/>
      <c r="G563" s="284"/>
      <c r="H563" s="283"/>
      <c r="I563" s="285"/>
      <c r="K563" s="285"/>
      <c r="L563" s="262"/>
    </row>
    <row r="564">
      <c r="A564" s="91"/>
      <c r="B564" s="91"/>
      <c r="C564" s="91"/>
      <c r="E564" s="28"/>
      <c r="F564" s="283"/>
      <c r="G564" s="284"/>
      <c r="H564" s="283"/>
      <c r="I564" s="285"/>
      <c r="K564" s="285"/>
      <c r="L564" s="262"/>
    </row>
    <row r="565">
      <c r="A565" s="91"/>
      <c r="B565" s="91"/>
      <c r="C565" s="91"/>
      <c r="E565" s="28"/>
      <c r="F565" s="283"/>
      <c r="G565" s="284"/>
      <c r="H565" s="283"/>
      <c r="I565" s="285"/>
      <c r="K565" s="285"/>
      <c r="L565" s="262"/>
    </row>
    <row r="566">
      <c r="A566" s="91"/>
      <c r="B566" s="91"/>
      <c r="C566" s="91"/>
      <c r="E566" s="28"/>
      <c r="F566" s="283"/>
      <c r="G566" s="284"/>
      <c r="H566" s="283"/>
      <c r="I566" s="285"/>
      <c r="K566" s="285"/>
      <c r="L566" s="262"/>
    </row>
    <row r="567">
      <c r="A567" s="91"/>
      <c r="B567" s="91"/>
      <c r="C567" s="91"/>
      <c r="E567" s="28"/>
      <c r="F567" s="283"/>
      <c r="G567" s="284"/>
      <c r="H567" s="283"/>
      <c r="I567" s="285"/>
      <c r="K567" s="285"/>
      <c r="L567" s="262"/>
    </row>
    <row r="568">
      <c r="A568" s="91"/>
      <c r="B568" s="91"/>
      <c r="C568" s="91"/>
      <c r="E568" s="28"/>
      <c r="F568" s="283"/>
      <c r="G568" s="284"/>
      <c r="H568" s="283"/>
      <c r="I568" s="285"/>
      <c r="K568" s="285"/>
      <c r="L568" s="262"/>
    </row>
    <row r="569">
      <c r="A569" s="91"/>
      <c r="B569" s="91"/>
      <c r="C569" s="91"/>
      <c r="E569" s="28"/>
      <c r="F569" s="283"/>
      <c r="G569" s="284"/>
      <c r="H569" s="283"/>
      <c r="I569" s="285"/>
      <c r="K569" s="285"/>
      <c r="L569" s="262"/>
    </row>
    <row r="570">
      <c r="A570" s="91"/>
      <c r="B570" s="91"/>
      <c r="C570" s="91"/>
      <c r="E570" s="28"/>
      <c r="F570" s="283"/>
      <c r="G570" s="284"/>
      <c r="H570" s="283"/>
      <c r="I570" s="285"/>
      <c r="K570" s="285"/>
      <c r="L570" s="262"/>
    </row>
    <row r="571">
      <c r="A571" s="91"/>
      <c r="B571" s="91"/>
      <c r="C571" s="91"/>
      <c r="E571" s="28"/>
      <c r="F571" s="283"/>
      <c r="G571" s="284"/>
      <c r="H571" s="283"/>
      <c r="I571" s="285"/>
      <c r="K571" s="285"/>
      <c r="L571" s="262"/>
    </row>
    <row r="572">
      <c r="A572" s="91"/>
      <c r="B572" s="91"/>
      <c r="C572" s="91"/>
      <c r="E572" s="28"/>
      <c r="F572" s="283"/>
      <c r="G572" s="284"/>
      <c r="H572" s="283"/>
      <c r="I572" s="285"/>
      <c r="K572" s="285"/>
      <c r="L572" s="262"/>
    </row>
    <row r="573">
      <c r="A573" s="91"/>
      <c r="B573" s="91"/>
      <c r="C573" s="91"/>
      <c r="E573" s="28"/>
      <c r="F573" s="283"/>
      <c r="G573" s="284"/>
      <c r="H573" s="283"/>
      <c r="I573" s="285"/>
      <c r="K573" s="285"/>
      <c r="L573" s="262"/>
    </row>
    <row r="574">
      <c r="A574" s="91"/>
      <c r="B574" s="91"/>
      <c r="C574" s="91"/>
      <c r="E574" s="28"/>
      <c r="F574" s="283"/>
      <c r="G574" s="284"/>
      <c r="H574" s="283"/>
      <c r="I574" s="285"/>
      <c r="K574" s="285"/>
      <c r="L574" s="262"/>
    </row>
    <row r="575">
      <c r="A575" s="91"/>
      <c r="B575" s="91"/>
      <c r="C575" s="91"/>
      <c r="E575" s="28"/>
      <c r="F575" s="283"/>
      <c r="G575" s="284"/>
      <c r="H575" s="283"/>
      <c r="I575" s="285"/>
      <c r="K575" s="285"/>
      <c r="L575" s="262"/>
    </row>
    <row r="576">
      <c r="A576" s="91"/>
      <c r="B576" s="91"/>
      <c r="C576" s="91"/>
      <c r="E576" s="28"/>
      <c r="F576" s="283"/>
      <c r="G576" s="284"/>
      <c r="H576" s="283"/>
      <c r="I576" s="285"/>
      <c r="K576" s="285"/>
      <c r="L576" s="262"/>
    </row>
    <row r="577">
      <c r="A577" s="91"/>
      <c r="B577" s="91"/>
      <c r="C577" s="91"/>
      <c r="E577" s="28"/>
      <c r="F577" s="283"/>
      <c r="G577" s="284"/>
      <c r="H577" s="283"/>
      <c r="I577" s="285"/>
      <c r="K577" s="285"/>
      <c r="L577" s="262"/>
    </row>
    <row r="578">
      <c r="A578" s="91"/>
      <c r="B578" s="91"/>
      <c r="C578" s="91"/>
      <c r="E578" s="28"/>
      <c r="F578" s="283"/>
      <c r="G578" s="284"/>
      <c r="H578" s="283"/>
      <c r="I578" s="285"/>
      <c r="K578" s="285"/>
      <c r="L578" s="262"/>
    </row>
    <row r="579">
      <c r="A579" s="91"/>
      <c r="B579" s="91"/>
      <c r="C579" s="91"/>
      <c r="E579" s="28"/>
      <c r="F579" s="283"/>
      <c r="G579" s="284"/>
      <c r="H579" s="283"/>
      <c r="I579" s="285"/>
      <c r="K579" s="285"/>
      <c r="L579" s="262"/>
    </row>
    <row r="580">
      <c r="A580" s="91"/>
      <c r="B580" s="91"/>
      <c r="C580" s="91"/>
      <c r="E580" s="28"/>
      <c r="F580" s="283"/>
      <c r="G580" s="284"/>
      <c r="H580" s="283"/>
      <c r="I580" s="285"/>
      <c r="K580" s="285"/>
      <c r="L580" s="262"/>
    </row>
    <row r="581">
      <c r="A581" s="91"/>
      <c r="B581" s="91"/>
      <c r="C581" s="91"/>
      <c r="E581" s="28"/>
      <c r="F581" s="283"/>
      <c r="G581" s="284"/>
      <c r="H581" s="283"/>
      <c r="I581" s="285"/>
      <c r="K581" s="285"/>
      <c r="L581" s="262"/>
    </row>
    <row r="582">
      <c r="A582" s="91"/>
      <c r="B582" s="91"/>
      <c r="C582" s="91"/>
      <c r="E582" s="28"/>
      <c r="F582" s="283"/>
      <c r="G582" s="284"/>
      <c r="H582" s="283"/>
      <c r="I582" s="285"/>
      <c r="K582" s="285"/>
      <c r="L582" s="262"/>
    </row>
    <row r="583">
      <c r="A583" s="91"/>
      <c r="B583" s="91"/>
      <c r="C583" s="91"/>
      <c r="E583" s="28"/>
      <c r="F583" s="283"/>
      <c r="G583" s="284"/>
      <c r="H583" s="283"/>
      <c r="I583" s="285"/>
      <c r="K583" s="285"/>
      <c r="L583" s="262"/>
    </row>
    <row r="584">
      <c r="A584" s="91"/>
      <c r="B584" s="91"/>
      <c r="C584" s="91"/>
      <c r="E584" s="28"/>
      <c r="F584" s="283"/>
      <c r="G584" s="284"/>
      <c r="H584" s="283"/>
      <c r="I584" s="285"/>
      <c r="K584" s="285"/>
      <c r="L584" s="262"/>
    </row>
    <row r="585">
      <c r="A585" s="91"/>
      <c r="B585" s="91"/>
      <c r="C585" s="91"/>
      <c r="E585" s="28"/>
      <c r="F585" s="283"/>
      <c r="G585" s="284"/>
      <c r="H585" s="283"/>
      <c r="I585" s="285"/>
      <c r="K585" s="285"/>
      <c r="L585" s="262"/>
    </row>
    <row r="586">
      <c r="A586" s="91"/>
      <c r="B586" s="91"/>
      <c r="C586" s="91"/>
      <c r="E586" s="28"/>
      <c r="F586" s="283"/>
      <c r="G586" s="284"/>
      <c r="H586" s="283"/>
      <c r="I586" s="285"/>
      <c r="K586" s="285"/>
      <c r="L586" s="262"/>
    </row>
    <row r="587">
      <c r="A587" s="91"/>
      <c r="B587" s="91"/>
      <c r="C587" s="91"/>
      <c r="E587" s="28"/>
      <c r="F587" s="283"/>
      <c r="G587" s="284"/>
      <c r="H587" s="283"/>
      <c r="I587" s="285"/>
      <c r="K587" s="285"/>
      <c r="L587" s="262"/>
    </row>
    <row r="588">
      <c r="A588" s="91"/>
      <c r="B588" s="91"/>
      <c r="C588" s="91"/>
      <c r="E588" s="28"/>
      <c r="F588" s="283"/>
      <c r="G588" s="284"/>
      <c r="H588" s="283"/>
      <c r="I588" s="285"/>
      <c r="K588" s="285"/>
      <c r="L588" s="262"/>
    </row>
    <row r="589">
      <c r="A589" s="91"/>
      <c r="B589" s="91"/>
      <c r="C589" s="91"/>
      <c r="E589" s="28"/>
      <c r="F589" s="283"/>
      <c r="G589" s="284"/>
      <c r="H589" s="283"/>
      <c r="I589" s="285"/>
      <c r="K589" s="285"/>
      <c r="L589" s="262"/>
    </row>
    <row r="590">
      <c r="A590" s="91"/>
      <c r="B590" s="91"/>
      <c r="C590" s="91"/>
      <c r="E590" s="28"/>
      <c r="F590" s="283"/>
      <c r="G590" s="284"/>
      <c r="H590" s="283"/>
      <c r="I590" s="285"/>
      <c r="K590" s="285"/>
      <c r="L590" s="262"/>
    </row>
    <row r="591">
      <c r="A591" s="91"/>
      <c r="B591" s="91"/>
      <c r="C591" s="91"/>
      <c r="E591" s="28"/>
      <c r="F591" s="283"/>
      <c r="G591" s="284"/>
      <c r="H591" s="283"/>
      <c r="I591" s="285"/>
      <c r="K591" s="285"/>
      <c r="L591" s="262"/>
    </row>
    <row r="592">
      <c r="A592" s="91"/>
      <c r="B592" s="91"/>
      <c r="C592" s="91"/>
      <c r="E592" s="28"/>
      <c r="F592" s="283"/>
      <c r="G592" s="284"/>
      <c r="H592" s="283"/>
      <c r="I592" s="285"/>
      <c r="K592" s="285"/>
      <c r="L592" s="262"/>
    </row>
    <row r="593">
      <c r="A593" s="91"/>
      <c r="B593" s="91"/>
      <c r="C593" s="91"/>
      <c r="E593" s="28"/>
      <c r="F593" s="283"/>
      <c r="G593" s="284"/>
      <c r="H593" s="283"/>
      <c r="I593" s="285"/>
      <c r="K593" s="285"/>
      <c r="L593" s="262"/>
    </row>
    <row r="594">
      <c r="A594" s="91"/>
      <c r="B594" s="91"/>
      <c r="C594" s="91"/>
      <c r="E594" s="28"/>
      <c r="F594" s="283"/>
      <c r="G594" s="284"/>
      <c r="H594" s="283"/>
      <c r="I594" s="285"/>
      <c r="K594" s="285"/>
      <c r="L594" s="262"/>
    </row>
    <row r="595">
      <c r="A595" s="91"/>
      <c r="B595" s="91"/>
      <c r="C595" s="91"/>
      <c r="E595" s="28"/>
      <c r="F595" s="283"/>
      <c r="G595" s="284"/>
      <c r="H595" s="283"/>
      <c r="I595" s="285"/>
      <c r="K595" s="285"/>
      <c r="L595" s="262"/>
    </row>
    <row r="596">
      <c r="A596" s="91"/>
      <c r="B596" s="91"/>
      <c r="C596" s="91"/>
      <c r="E596" s="28"/>
      <c r="F596" s="283"/>
      <c r="G596" s="284"/>
      <c r="H596" s="283"/>
      <c r="I596" s="285"/>
      <c r="K596" s="285"/>
      <c r="L596" s="262"/>
    </row>
    <row r="597">
      <c r="A597" s="91"/>
      <c r="B597" s="91"/>
      <c r="C597" s="91"/>
      <c r="E597" s="28"/>
      <c r="F597" s="283"/>
      <c r="G597" s="284"/>
      <c r="H597" s="283"/>
      <c r="I597" s="285"/>
      <c r="K597" s="285"/>
      <c r="L597" s="262"/>
    </row>
    <row r="598">
      <c r="A598" s="91"/>
      <c r="B598" s="91"/>
      <c r="C598" s="91"/>
      <c r="E598" s="28"/>
      <c r="F598" s="283"/>
      <c r="G598" s="284"/>
      <c r="H598" s="283"/>
      <c r="I598" s="285"/>
      <c r="K598" s="285"/>
      <c r="L598" s="262"/>
    </row>
    <row r="599">
      <c r="A599" s="91"/>
      <c r="B599" s="91"/>
      <c r="C599" s="91"/>
      <c r="E599" s="28"/>
      <c r="F599" s="283"/>
      <c r="G599" s="284"/>
      <c r="H599" s="283"/>
      <c r="I599" s="285"/>
      <c r="K599" s="285"/>
      <c r="L599" s="262"/>
    </row>
    <row r="600">
      <c r="A600" s="91"/>
      <c r="B600" s="91"/>
      <c r="C600" s="91"/>
      <c r="E600" s="28"/>
      <c r="F600" s="283"/>
      <c r="G600" s="284"/>
      <c r="H600" s="283"/>
      <c r="I600" s="285"/>
      <c r="K600" s="285"/>
      <c r="L600" s="262"/>
    </row>
    <row r="601">
      <c r="A601" s="91"/>
      <c r="B601" s="91"/>
      <c r="C601" s="91"/>
      <c r="E601" s="28"/>
      <c r="F601" s="283"/>
      <c r="G601" s="284"/>
      <c r="H601" s="283"/>
      <c r="I601" s="285"/>
      <c r="K601" s="285"/>
      <c r="L601" s="262"/>
    </row>
    <row r="602">
      <c r="A602" s="91"/>
      <c r="B602" s="91"/>
      <c r="C602" s="91"/>
      <c r="E602" s="28"/>
      <c r="F602" s="283"/>
      <c r="G602" s="284"/>
      <c r="H602" s="283"/>
      <c r="I602" s="285"/>
      <c r="K602" s="285"/>
      <c r="L602" s="262"/>
    </row>
    <row r="603">
      <c r="A603" s="91"/>
      <c r="B603" s="91"/>
      <c r="C603" s="91"/>
      <c r="E603" s="28"/>
      <c r="F603" s="283"/>
      <c r="G603" s="284"/>
      <c r="H603" s="283"/>
      <c r="I603" s="285"/>
      <c r="K603" s="285"/>
      <c r="L603" s="262"/>
    </row>
    <row r="604">
      <c r="A604" s="91"/>
      <c r="B604" s="91"/>
      <c r="C604" s="91"/>
      <c r="E604" s="28"/>
      <c r="F604" s="283"/>
      <c r="G604" s="284"/>
      <c r="H604" s="283"/>
      <c r="I604" s="285"/>
      <c r="K604" s="285"/>
      <c r="L604" s="262"/>
    </row>
    <row r="605">
      <c r="A605" s="91"/>
      <c r="B605" s="91"/>
      <c r="C605" s="91"/>
      <c r="E605" s="28"/>
      <c r="F605" s="283"/>
      <c r="G605" s="284"/>
      <c r="H605" s="283"/>
      <c r="I605" s="285"/>
      <c r="K605" s="285"/>
      <c r="L605" s="262"/>
    </row>
    <row r="606">
      <c r="A606" s="91"/>
      <c r="B606" s="91"/>
      <c r="C606" s="91"/>
      <c r="E606" s="28"/>
      <c r="F606" s="283"/>
      <c r="G606" s="284"/>
      <c r="H606" s="283"/>
      <c r="I606" s="285"/>
      <c r="K606" s="285"/>
      <c r="L606" s="262"/>
    </row>
    <row r="607">
      <c r="A607" s="91"/>
      <c r="B607" s="91"/>
      <c r="C607" s="91"/>
      <c r="E607" s="28"/>
      <c r="F607" s="283"/>
      <c r="G607" s="284"/>
      <c r="H607" s="283"/>
      <c r="I607" s="285"/>
      <c r="K607" s="285"/>
      <c r="L607" s="262"/>
    </row>
    <row r="608">
      <c r="A608" s="91"/>
      <c r="B608" s="91"/>
      <c r="C608" s="91"/>
      <c r="E608" s="28"/>
      <c r="F608" s="283"/>
      <c r="G608" s="284"/>
      <c r="H608" s="283"/>
      <c r="I608" s="285"/>
      <c r="K608" s="285"/>
      <c r="L608" s="262"/>
    </row>
    <row r="609">
      <c r="A609" s="91"/>
      <c r="B609" s="91"/>
      <c r="C609" s="91"/>
      <c r="E609" s="28"/>
      <c r="F609" s="283"/>
      <c r="G609" s="284"/>
      <c r="H609" s="283"/>
      <c r="I609" s="285"/>
      <c r="K609" s="285"/>
      <c r="L609" s="262"/>
    </row>
    <row r="610">
      <c r="A610" s="91"/>
      <c r="B610" s="91"/>
      <c r="C610" s="91"/>
      <c r="E610" s="28"/>
      <c r="F610" s="283"/>
      <c r="G610" s="284"/>
      <c r="H610" s="283"/>
      <c r="I610" s="285"/>
      <c r="K610" s="285"/>
      <c r="L610" s="262"/>
    </row>
    <row r="611">
      <c r="A611" s="91"/>
      <c r="B611" s="91"/>
      <c r="C611" s="91"/>
      <c r="E611" s="28"/>
      <c r="F611" s="283"/>
      <c r="G611" s="284"/>
      <c r="H611" s="283"/>
      <c r="I611" s="285"/>
      <c r="K611" s="285"/>
      <c r="L611" s="262"/>
    </row>
    <row r="612">
      <c r="A612" s="91"/>
      <c r="B612" s="91"/>
      <c r="C612" s="91"/>
      <c r="E612" s="28"/>
      <c r="F612" s="283"/>
      <c r="G612" s="284"/>
      <c r="H612" s="283"/>
      <c r="I612" s="285"/>
      <c r="K612" s="285"/>
      <c r="L612" s="262"/>
    </row>
    <row r="613">
      <c r="A613" s="91"/>
      <c r="B613" s="91"/>
      <c r="C613" s="91"/>
      <c r="E613" s="28"/>
      <c r="F613" s="283"/>
      <c r="G613" s="284"/>
      <c r="H613" s="283"/>
      <c r="I613" s="285"/>
      <c r="K613" s="285"/>
      <c r="L613" s="262"/>
    </row>
    <row r="614">
      <c r="A614" s="91"/>
      <c r="B614" s="91"/>
      <c r="C614" s="91"/>
      <c r="E614" s="28"/>
      <c r="F614" s="283"/>
      <c r="G614" s="284"/>
      <c r="H614" s="283"/>
      <c r="I614" s="285"/>
      <c r="K614" s="285"/>
      <c r="L614" s="262"/>
    </row>
    <row r="615">
      <c r="A615" s="91"/>
      <c r="B615" s="91"/>
      <c r="C615" s="91"/>
      <c r="E615" s="28"/>
      <c r="F615" s="283"/>
      <c r="G615" s="284"/>
      <c r="H615" s="283"/>
      <c r="I615" s="285"/>
      <c r="K615" s="285"/>
      <c r="L615" s="262"/>
    </row>
    <row r="616">
      <c r="A616" s="91"/>
      <c r="B616" s="91"/>
      <c r="C616" s="91"/>
      <c r="E616" s="28"/>
      <c r="F616" s="283"/>
      <c r="G616" s="284"/>
      <c r="H616" s="283"/>
      <c r="I616" s="285"/>
      <c r="K616" s="285"/>
      <c r="L616" s="262"/>
    </row>
    <row r="617">
      <c r="A617" s="91"/>
      <c r="B617" s="91"/>
      <c r="C617" s="91"/>
      <c r="E617" s="28"/>
      <c r="F617" s="283"/>
      <c r="G617" s="284"/>
      <c r="H617" s="283"/>
      <c r="I617" s="285"/>
      <c r="K617" s="285"/>
      <c r="L617" s="262"/>
    </row>
    <row r="618">
      <c r="A618" s="91"/>
      <c r="B618" s="91"/>
      <c r="C618" s="91"/>
      <c r="E618" s="28"/>
      <c r="F618" s="283"/>
      <c r="G618" s="284"/>
      <c r="H618" s="283"/>
      <c r="I618" s="285"/>
      <c r="K618" s="285"/>
      <c r="L618" s="262"/>
    </row>
    <row r="619">
      <c r="A619" s="91"/>
      <c r="B619" s="91"/>
      <c r="C619" s="91"/>
      <c r="E619" s="28"/>
      <c r="F619" s="283"/>
      <c r="G619" s="284"/>
      <c r="H619" s="283"/>
      <c r="I619" s="285"/>
      <c r="K619" s="285"/>
      <c r="L619" s="262"/>
    </row>
    <row r="620">
      <c r="A620" s="91"/>
      <c r="B620" s="91"/>
      <c r="C620" s="91"/>
      <c r="E620" s="28"/>
      <c r="F620" s="283"/>
      <c r="G620" s="284"/>
      <c r="H620" s="283"/>
      <c r="I620" s="285"/>
      <c r="K620" s="285"/>
      <c r="L620" s="262"/>
    </row>
    <row r="621">
      <c r="A621" s="91"/>
      <c r="B621" s="91"/>
      <c r="C621" s="91"/>
      <c r="E621" s="28"/>
      <c r="F621" s="283"/>
      <c r="G621" s="284"/>
      <c r="H621" s="283"/>
      <c r="I621" s="285"/>
      <c r="K621" s="285"/>
      <c r="L621" s="262"/>
    </row>
    <row r="622">
      <c r="A622" s="91"/>
      <c r="B622" s="91"/>
      <c r="C622" s="91"/>
      <c r="E622" s="28"/>
      <c r="F622" s="283"/>
      <c r="G622" s="284"/>
      <c r="H622" s="283"/>
      <c r="I622" s="285"/>
      <c r="K622" s="285"/>
      <c r="L622" s="262"/>
    </row>
    <row r="623">
      <c r="A623" s="91"/>
      <c r="B623" s="91"/>
      <c r="C623" s="91"/>
      <c r="E623" s="28"/>
      <c r="F623" s="283"/>
      <c r="G623" s="284"/>
      <c r="H623" s="283"/>
      <c r="I623" s="285"/>
      <c r="K623" s="285"/>
      <c r="L623" s="262"/>
    </row>
    <row r="624">
      <c r="A624" s="91"/>
      <c r="B624" s="91"/>
      <c r="C624" s="91"/>
      <c r="E624" s="28"/>
      <c r="F624" s="283"/>
      <c r="G624" s="284"/>
      <c r="H624" s="283"/>
      <c r="I624" s="285"/>
      <c r="K624" s="285"/>
      <c r="L624" s="262"/>
    </row>
    <row r="625">
      <c r="A625" s="91"/>
      <c r="B625" s="91"/>
      <c r="C625" s="91"/>
      <c r="E625" s="28"/>
      <c r="F625" s="283"/>
      <c r="G625" s="284"/>
      <c r="H625" s="283"/>
      <c r="I625" s="285"/>
      <c r="K625" s="285"/>
      <c r="L625" s="262"/>
    </row>
    <row r="626">
      <c r="A626" s="91"/>
      <c r="B626" s="91"/>
      <c r="C626" s="91"/>
      <c r="E626" s="28"/>
      <c r="F626" s="283"/>
      <c r="G626" s="284"/>
      <c r="H626" s="283"/>
      <c r="I626" s="285"/>
      <c r="K626" s="285"/>
      <c r="L626" s="262"/>
    </row>
    <row r="627">
      <c r="A627" s="91"/>
      <c r="B627" s="91"/>
      <c r="C627" s="91"/>
      <c r="E627" s="28"/>
      <c r="F627" s="283"/>
      <c r="G627" s="284"/>
      <c r="H627" s="283"/>
      <c r="I627" s="285"/>
      <c r="K627" s="285"/>
      <c r="L627" s="262"/>
    </row>
    <row r="628">
      <c r="A628" s="91"/>
      <c r="B628" s="91"/>
      <c r="C628" s="91"/>
      <c r="E628" s="28"/>
      <c r="F628" s="283"/>
      <c r="G628" s="284"/>
      <c r="H628" s="283"/>
      <c r="I628" s="285"/>
      <c r="K628" s="285"/>
      <c r="L628" s="262"/>
    </row>
    <row r="629">
      <c r="A629" s="91"/>
      <c r="B629" s="91"/>
      <c r="C629" s="91"/>
      <c r="E629" s="28"/>
      <c r="F629" s="283"/>
      <c r="G629" s="284"/>
      <c r="H629" s="283"/>
      <c r="I629" s="285"/>
      <c r="K629" s="285"/>
      <c r="L629" s="262"/>
    </row>
    <row r="630">
      <c r="A630" s="91"/>
      <c r="B630" s="91"/>
      <c r="C630" s="91"/>
      <c r="E630" s="28"/>
      <c r="F630" s="283"/>
      <c r="G630" s="284"/>
      <c r="H630" s="283"/>
      <c r="I630" s="285"/>
      <c r="K630" s="285"/>
      <c r="L630" s="262"/>
    </row>
    <row r="631">
      <c r="A631" s="91"/>
      <c r="B631" s="91"/>
      <c r="C631" s="91"/>
      <c r="E631" s="28"/>
      <c r="F631" s="283"/>
      <c r="G631" s="284"/>
      <c r="H631" s="283"/>
      <c r="I631" s="285"/>
      <c r="K631" s="285"/>
      <c r="L631" s="262"/>
    </row>
    <row r="632">
      <c r="A632" s="91"/>
      <c r="B632" s="91"/>
      <c r="C632" s="91"/>
      <c r="E632" s="28"/>
      <c r="F632" s="283"/>
      <c r="G632" s="284"/>
      <c r="H632" s="283"/>
      <c r="I632" s="285"/>
      <c r="K632" s="285"/>
      <c r="L632" s="262"/>
    </row>
    <row r="633">
      <c r="A633" s="91"/>
      <c r="B633" s="91"/>
      <c r="C633" s="91"/>
      <c r="E633" s="28"/>
      <c r="F633" s="283"/>
      <c r="G633" s="284"/>
      <c r="H633" s="283"/>
      <c r="I633" s="285"/>
      <c r="K633" s="285"/>
      <c r="L633" s="262"/>
    </row>
    <row r="634">
      <c r="A634" s="91"/>
      <c r="B634" s="91"/>
      <c r="C634" s="91"/>
      <c r="E634" s="28"/>
      <c r="F634" s="283"/>
      <c r="G634" s="284"/>
      <c r="H634" s="283"/>
      <c r="I634" s="285"/>
      <c r="K634" s="285"/>
      <c r="L634" s="262"/>
    </row>
    <row r="635">
      <c r="A635" s="91"/>
      <c r="B635" s="91"/>
      <c r="C635" s="91"/>
      <c r="E635" s="28"/>
      <c r="F635" s="283"/>
      <c r="G635" s="284"/>
      <c r="H635" s="283"/>
      <c r="I635" s="285"/>
      <c r="K635" s="285"/>
      <c r="L635" s="262"/>
    </row>
    <row r="636">
      <c r="A636" s="91"/>
      <c r="B636" s="91"/>
      <c r="C636" s="91"/>
      <c r="E636" s="28"/>
      <c r="F636" s="283"/>
      <c r="G636" s="284"/>
      <c r="H636" s="283"/>
      <c r="I636" s="285"/>
      <c r="K636" s="285"/>
      <c r="L636" s="262"/>
    </row>
    <row r="637">
      <c r="A637" s="91"/>
      <c r="B637" s="91"/>
      <c r="C637" s="91"/>
      <c r="E637" s="28"/>
      <c r="F637" s="283"/>
      <c r="G637" s="284"/>
      <c r="H637" s="283"/>
      <c r="I637" s="285"/>
      <c r="K637" s="285"/>
      <c r="L637" s="262"/>
    </row>
    <row r="638">
      <c r="A638" s="91"/>
      <c r="B638" s="91"/>
      <c r="C638" s="91"/>
      <c r="E638" s="28"/>
      <c r="F638" s="283"/>
      <c r="G638" s="284"/>
      <c r="H638" s="283"/>
      <c r="I638" s="285"/>
      <c r="K638" s="285"/>
      <c r="L638" s="262"/>
    </row>
    <row r="639">
      <c r="A639" s="91"/>
      <c r="B639" s="91"/>
      <c r="C639" s="91"/>
      <c r="E639" s="28"/>
      <c r="F639" s="283"/>
      <c r="G639" s="284"/>
      <c r="H639" s="283"/>
      <c r="I639" s="285"/>
      <c r="K639" s="285"/>
      <c r="L639" s="262"/>
    </row>
    <row r="640">
      <c r="A640" s="91"/>
      <c r="B640" s="91"/>
      <c r="C640" s="91"/>
      <c r="E640" s="28"/>
      <c r="F640" s="283"/>
      <c r="G640" s="284"/>
      <c r="H640" s="283"/>
      <c r="I640" s="285"/>
      <c r="K640" s="285"/>
      <c r="L640" s="262"/>
    </row>
    <row r="641">
      <c r="A641" s="91"/>
      <c r="B641" s="91"/>
      <c r="C641" s="91"/>
      <c r="E641" s="28"/>
      <c r="F641" s="283"/>
      <c r="G641" s="284"/>
      <c r="H641" s="283"/>
      <c r="I641" s="285"/>
      <c r="K641" s="285"/>
      <c r="L641" s="262"/>
    </row>
    <row r="642">
      <c r="A642" s="91"/>
      <c r="B642" s="91"/>
      <c r="C642" s="91"/>
      <c r="E642" s="28"/>
      <c r="F642" s="283"/>
      <c r="G642" s="284"/>
      <c r="H642" s="283"/>
      <c r="I642" s="285"/>
      <c r="K642" s="285"/>
      <c r="L642" s="262"/>
    </row>
    <row r="643">
      <c r="A643" s="91"/>
      <c r="B643" s="91"/>
      <c r="C643" s="91"/>
      <c r="E643" s="28"/>
      <c r="F643" s="283"/>
      <c r="G643" s="284"/>
      <c r="H643" s="283"/>
      <c r="I643" s="285"/>
      <c r="K643" s="285"/>
      <c r="L643" s="262"/>
    </row>
    <row r="644">
      <c r="A644" s="91"/>
      <c r="B644" s="91"/>
      <c r="C644" s="91"/>
      <c r="E644" s="28"/>
      <c r="F644" s="283"/>
      <c r="G644" s="284"/>
      <c r="H644" s="283"/>
      <c r="I644" s="285"/>
      <c r="K644" s="285"/>
      <c r="L644" s="262"/>
    </row>
    <row r="645">
      <c r="A645" s="91"/>
      <c r="B645" s="91"/>
      <c r="C645" s="91"/>
      <c r="E645" s="28"/>
      <c r="F645" s="283"/>
      <c r="G645" s="284"/>
      <c r="H645" s="283"/>
      <c r="I645" s="285"/>
      <c r="K645" s="285"/>
      <c r="L645" s="262"/>
    </row>
    <row r="646">
      <c r="A646" s="91"/>
      <c r="B646" s="91"/>
      <c r="C646" s="91"/>
      <c r="E646" s="28"/>
      <c r="F646" s="283"/>
      <c r="G646" s="284"/>
      <c r="H646" s="283"/>
      <c r="I646" s="285"/>
      <c r="K646" s="285"/>
      <c r="L646" s="262"/>
    </row>
    <row r="647">
      <c r="A647" s="91"/>
      <c r="B647" s="91"/>
      <c r="C647" s="91"/>
      <c r="E647" s="28"/>
      <c r="F647" s="283"/>
      <c r="G647" s="284"/>
      <c r="H647" s="283"/>
      <c r="I647" s="285"/>
      <c r="K647" s="285"/>
      <c r="L647" s="262"/>
    </row>
    <row r="648">
      <c r="A648" s="91"/>
      <c r="B648" s="91"/>
      <c r="C648" s="91"/>
      <c r="E648" s="28"/>
      <c r="F648" s="283"/>
      <c r="G648" s="284"/>
      <c r="H648" s="283"/>
      <c r="I648" s="285"/>
      <c r="K648" s="285"/>
      <c r="L648" s="262"/>
    </row>
    <row r="649">
      <c r="A649" s="91"/>
      <c r="B649" s="91"/>
      <c r="C649" s="91"/>
      <c r="E649" s="28"/>
      <c r="F649" s="283"/>
      <c r="G649" s="284"/>
      <c r="H649" s="283"/>
      <c r="I649" s="285"/>
      <c r="K649" s="285"/>
      <c r="L649" s="262"/>
    </row>
    <row r="650">
      <c r="A650" s="91"/>
      <c r="B650" s="91"/>
      <c r="C650" s="91"/>
      <c r="E650" s="28"/>
      <c r="F650" s="283"/>
      <c r="G650" s="284"/>
      <c r="H650" s="283"/>
      <c r="I650" s="285"/>
      <c r="K650" s="285"/>
      <c r="L650" s="262"/>
    </row>
    <row r="651">
      <c r="A651" s="91"/>
      <c r="B651" s="91"/>
      <c r="C651" s="91"/>
      <c r="E651" s="28"/>
      <c r="F651" s="283"/>
      <c r="G651" s="284"/>
      <c r="H651" s="283"/>
      <c r="I651" s="285"/>
      <c r="K651" s="285"/>
      <c r="L651" s="262"/>
    </row>
    <row r="652">
      <c r="A652" s="91"/>
      <c r="B652" s="91"/>
      <c r="C652" s="91"/>
      <c r="E652" s="28"/>
      <c r="F652" s="283"/>
      <c r="G652" s="284"/>
      <c r="H652" s="283"/>
      <c r="I652" s="285"/>
      <c r="K652" s="285"/>
      <c r="L652" s="262"/>
    </row>
    <row r="653">
      <c r="A653" s="91"/>
      <c r="B653" s="91"/>
      <c r="C653" s="91"/>
      <c r="E653" s="28"/>
      <c r="F653" s="283"/>
      <c r="G653" s="284"/>
      <c r="H653" s="283"/>
      <c r="I653" s="285"/>
      <c r="K653" s="285"/>
      <c r="L653" s="262"/>
    </row>
    <row r="654">
      <c r="A654" s="91"/>
      <c r="B654" s="91"/>
      <c r="C654" s="91"/>
      <c r="E654" s="28"/>
      <c r="F654" s="283"/>
      <c r="G654" s="284"/>
      <c r="H654" s="283"/>
      <c r="I654" s="285"/>
      <c r="K654" s="285"/>
      <c r="L654" s="262"/>
    </row>
    <row r="655">
      <c r="A655" s="91"/>
      <c r="B655" s="91"/>
      <c r="C655" s="91"/>
      <c r="E655" s="28"/>
      <c r="F655" s="283"/>
      <c r="G655" s="284"/>
      <c r="H655" s="283"/>
      <c r="I655" s="285"/>
      <c r="K655" s="285"/>
      <c r="L655" s="262"/>
    </row>
    <row r="656">
      <c r="A656" s="91"/>
      <c r="B656" s="91"/>
      <c r="C656" s="91"/>
      <c r="E656" s="28"/>
      <c r="F656" s="283"/>
      <c r="G656" s="284"/>
      <c r="H656" s="283"/>
      <c r="I656" s="285"/>
      <c r="K656" s="285"/>
      <c r="L656" s="262"/>
    </row>
    <row r="657">
      <c r="A657" s="91"/>
      <c r="B657" s="91"/>
      <c r="C657" s="91"/>
      <c r="E657" s="28"/>
      <c r="F657" s="283"/>
      <c r="G657" s="284"/>
      <c r="H657" s="283"/>
      <c r="I657" s="285"/>
      <c r="K657" s="285"/>
      <c r="L657" s="262"/>
    </row>
    <row r="658">
      <c r="A658" s="91"/>
      <c r="B658" s="91"/>
      <c r="C658" s="91"/>
      <c r="E658" s="28"/>
      <c r="F658" s="283"/>
      <c r="G658" s="284"/>
      <c r="H658" s="283"/>
      <c r="I658" s="285"/>
      <c r="K658" s="285"/>
      <c r="L658" s="262"/>
    </row>
    <row r="659">
      <c r="A659" s="91"/>
      <c r="B659" s="91"/>
      <c r="C659" s="91"/>
      <c r="E659" s="28"/>
      <c r="F659" s="283"/>
      <c r="G659" s="284"/>
      <c r="H659" s="283"/>
      <c r="I659" s="285"/>
      <c r="K659" s="285"/>
      <c r="L659" s="262"/>
    </row>
    <row r="660">
      <c r="A660" s="91"/>
      <c r="B660" s="91"/>
      <c r="C660" s="91"/>
      <c r="E660" s="28"/>
      <c r="F660" s="283"/>
      <c r="G660" s="284"/>
      <c r="H660" s="283"/>
      <c r="I660" s="285"/>
      <c r="K660" s="285"/>
      <c r="L660" s="262"/>
    </row>
    <row r="661">
      <c r="A661" s="91"/>
      <c r="B661" s="91"/>
      <c r="C661" s="91"/>
      <c r="E661" s="28"/>
      <c r="F661" s="283"/>
      <c r="G661" s="284"/>
      <c r="H661" s="283"/>
      <c r="I661" s="285"/>
      <c r="K661" s="285"/>
      <c r="L661" s="262"/>
    </row>
    <row r="662">
      <c r="A662" s="91"/>
      <c r="B662" s="91"/>
      <c r="C662" s="91"/>
      <c r="E662" s="28"/>
      <c r="F662" s="283"/>
      <c r="G662" s="284"/>
      <c r="H662" s="283"/>
      <c r="I662" s="285"/>
      <c r="K662" s="285"/>
      <c r="L662" s="262"/>
    </row>
    <row r="663">
      <c r="A663" s="91"/>
      <c r="B663" s="91"/>
      <c r="C663" s="91"/>
      <c r="E663" s="28"/>
      <c r="F663" s="283"/>
      <c r="G663" s="284"/>
      <c r="H663" s="283"/>
      <c r="I663" s="285"/>
      <c r="K663" s="285"/>
      <c r="L663" s="262"/>
    </row>
    <row r="664">
      <c r="A664" s="91"/>
      <c r="B664" s="91"/>
      <c r="C664" s="91"/>
      <c r="E664" s="28"/>
      <c r="F664" s="283"/>
      <c r="G664" s="284"/>
      <c r="H664" s="283"/>
      <c r="I664" s="285"/>
      <c r="K664" s="285"/>
      <c r="L664" s="262"/>
    </row>
    <row r="665">
      <c r="A665" s="91"/>
      <c r="B665" s="91"/>
      <c r="C665" s="91"/>
      <c r="E665" s="28"/>
      <c r="F665" s="283"/>
      <c r="G665" s="284"/>
      <c r="H665" s="283"/>
      <c r="I665" s="285"/>
      <c r="K665" s="285"/>
      <c r="L665" s="262"/>
    </row>
    <row r="666">
      <c r="A666" s="91"/>
      <c r="B666" s="91"/>
      <c r="C666" s="91"/>
      <c r="E666" s="28"/>
      <c r="F666" s="283"/>
      <c r="G666" s="284"/>
      <c r="H666" s="283"/>
      <c r="I666" s="285"/>
      <c r="K666" s="285"/>
      <c r="L666" s="262"/>
    </row>
    <row r="667">
      <c r="A667" s="91"/>
      <c r="B667" s="91"/>
      <c r="C667" s="91"/>
      <c r="E667" s="28"/>
      <c r="F667" s="283"/>
      <c r="G667" s="284"/>
      <c r="H667" s="283"/>
      <c r="I667" s="285"/>
      <c r="K667" s="285"/>
      <c r="L667" s="262"/>
    </row>
    <row r="668">
      <c r="A668" s="91"/>
      <c r="B668" s="91"/>
      <c r="C668" s="91"/>
      <c r="E668" s="28"/>
      <c r="F668" s="283"/>
      <c r="G668" s="284"/>
      <c r="H668" s="283"/>
      <c r="I668" s="285"/>
      <c r="K668" s="285"/>
      <c r="L668" s="262"/>
    </row>
    <row r="669">
      <c r="A669" s="91"/>
      <c r="B669" s="91"/>
      <c r="C669" s="91"/>
      <c r="E669" s="28"/>
      <c r="F669" s="283"/>
      <c r="G669" s="284"/>
      <c r="H669" s="283"/>
      <c r="I669" s="285"/>
      <c r="K669" s="285"/>
      <c r="L669" s="262"/>
    </row>
    <row r="670">
      <c r="A670" s="91"/>
      <c r="B670" s="91"/>
      <c r="C670" s="91"/>
      <c r="E670" s="28"/>
      <c r="F670" s="283"/>
      <c r="G670" s="284"/>
      <c r="H670" s="283"/>
      <c r="I670" s="285"/>
      <c r="K670" s="285"/>
      <c r="L670" s="262"/>
    </row>
    <row r="671">
      <c r="A671" s="91"/>
      <c r="B671" s="91"/>
      <c r="C671" s="91"/>
      <c r="E671" s="28"/>
      <c r="F671" s="283"/>
      <c r="G671" s="284"/>
      <c r="H671" s="283"/>
      <c r="I671" s="285"/>
      <c r="K671" s="285"/>
      <c r="L671" s="262"/>
    </row>
    <row r="672">
      <c r="A672" s="91"/>
      <c r="B672" s="91"/>
      <c r="C672" s="91"/>
      <c r="E672" s="28"/>
      <c r="F672" s="283"/>
      <c r="G672" s="284"/>
      <c r="H672" s="283"/>
      <c r="I672" s="285"/>
      <c r="K672" s="285"/>
      <c r="L672" s="262"/>
    </row>
    <row r="673">
      <c r="A673" s="91"/>
      <c r="B673" s="91"/>
      <c r="C673" s="91"/>
      <c r="E673" s="28"/>
      <c r="F673" s="283"/>
      <c r="G673" s="284"/>
      <c r="H673" s="283"/>
      <c r="I673" s="285"/>
      <c r="K673" s="285"/>
      <c r="L673" s="262"/>
    </row>
    <row r="674">
      <c r="A674" s="91"/>
      <c r="B674" s="91"/>
      <c r="C674" s="91"/>
      <c r="E674" s="28"/>
      <c r="F674" s="283"/>
      <c r="G674" s="284"/>
      <c r="H674" s="283"/>
      <c r="I674" s="285"/>
      <c r="K674" s="285"/>
      <c r="L674" s="262"/>
    </row>
    <row r="675">
      <c r="A675" s="91"/>
      <c r="B675" s="91"/>
      <c r="C675" s="91"/>
      <c r="E675" s="28"/>
      <c r="F675" s="283"/>
      <c r="G675" s="284"/>
      <c r="H675" s="283"/>
      <c r="I675" s="285"/>
      <c r="K675" s="285"/>
      <c r="L675" s="262"/>
    </row>
    <row r="676">
      <c r="A676" s="91"/>
      <c r="B676" s="91"/>
      <c r="C676" s="91"/>
      <c r="E676" s="28"/>
      <c r="F676" s="283"/>
      <c r="G676" s="284"/>
      <c r="H676" s="283"/>
      <c r="I676" s="285"/>
      <c r="K676" s="285"/>
      <c r="L676" s="262"/>
    </row>
    <row r="677">
      <c r="A677" s="91"/>
      <c r="B677" s="91"/>
      <c r="C677" s="91"/>
      <c r="E677" s="28"/>
      <c r="F677" s="283"/>
      <c r="G677" s="284"/>
      <c r="H677" s="283"/>
      <c r="I677" s="285"/>
      <c r="K677" s="285"/>
      <c r="L677" s="262"/>
    </row>
    <row r="678">
      <c r="A678" s="91"/>
      <c r="B678" s="91"/>
      <c r="C678" s="91"/>
      <c r="E678" s="28"/>
      <c r="F678" s="283"/>
      <c r="G678" s="284"/>
      <c r="H678" s="283"/>
      <c r="I678" s="285"/>
      <c r="K678" s="285"/>
      <c r="L678" s="262"/>
    </row>
    <row r="679">
      <c r="A679" s="91"/>
      <c r="B679" s="91"/>
      <c r="C679" s="91"/>
      <c r="E679" s="28"/>
      <c r="F679" s="283"/>
      <c r="G679" s="284"/>
      <c r="H679" s="283"/>
      <c r="I679" s="285"/>
      <c r="K679" s="285"/>
      <c r="L679" s="262"/>
    </row>
    <row r="680">
      <c r="A680" s="91"/>
      <c r="B680" s="91"/>
      <c r="C680" s="91"/>
      <c r="E680" s="28"/>
      <c r="F680" s="283"/>
      <c r="G680" s="284"/>
      <c r="H680" s="283"/>
      <c r="I680" s="285"/>
      <c r="K680" s="285"/>
      <c r="L680" s="262"/>
    </row>
    <row r="681">
      <c r="A681" s="91"/>
      <c r="B681" s="91"/>
      <c r="C681" s="91"/>
      <c r="E681" s="28"/>
      <c r="F681" s="283"/>
      <c r="G681" s="284"/>
      <c r="H681" s="283"/>
      <c r="I681" s="285"/>
      <c r="K681" s="285"/>
      <c r="L681" s="262"/>
    </row>
    <row r="682">
      <c r="A682" s="91"/>
      <c r="B682" s="91"/>
      <c r="C682" s="91"/>
      <c r="E682" s="28"/>
      <c r="F682" s="283"/>
      <c r="G682" s="284"/>
      <c r="H682" s="283"/>
      <c r="I682" s="285"/>
      <c r="K682" s="285"/>
      <c r="L682" s="262"/>
    </row>
    <row r="683">
      <c r="A683" s="91"/>
      <c r="B683" s="91"/>
      <c r="C683" s="91"/>
      <c r="E683" s="28"/>
      <c r="F683" s="283"/>
      <c r="G683" s="284"/>
      <c r="H683" s="283"/>
      <c r="I683" s="285"/>
      <c r="K683" s="285"/>
      <c r="L683" s="262"/>
    </row>
    <row r="684">
      <c r="A684" s="91"/>
      <c r="B684" s="91"/>
      <c r="C684" s="91"/>
      <c r="E684" s="28"/>
      <c r="F684" s="283"/>
      <c r="G684" s="284"/>
      <c r="H684" s="283"/>
      <c r="I684" s="285"/>
      <c r="K684" s="285"/>
      <c r="L684" s="262"/>
    </row>
    <row r="685">
      <c r="A685" s="91"/>
      <c r="B685" s="91"/>
      <c r="C685" s="91"/>
      <c r="E685" s="28"/>
      <c r="F685" s="283"/>
      <c r="G685" s="284"/>
      <c r="H685" s="283"/>
      <c r="I685" s="285"/>
      <c r="K685" s="285"/>
      <c r="L685" s="262"/>
    </row>
    <row r="686">
      <c r="A686" s="91"/>
      <c r="B686" s="91"/>
      <c r="C686" s="91"/>
      <c r="E686" s="28"/>
      <c r="F686" s="283"/>
      <c r="G686" s="284"/>
      <c r="H686" s="283"/>
      <c r="I686" s="285"/>
      <c r="K686" s="285"/>
      <c r="L686" s="262"/>
    </row>
    <row r="687">
      <c r="A687" s="91"/>
      <c r="B687" s="91"/>
      <c r="C687" s="91"/>
      <c r="E687" s="28"/>
      <c r="F687" s="283"/>
      <c r="G687" s="284"/>
      <c r="H687" s="283"/>
      <c r="I687" s="285"/>
      <c r="K687" s="285"/>
      <c r="L687" s="262"/>
    </row>
    <row r="688">
      <c r="A688" s="91"/>
      <c r="B688" s="91"/>
      <c r="C688" s="91"/>
      <c r="E688" s="28"/>
      <c r="F688" s="283"/>
      <c r="G688" s="284"/>
      <c r="H688" s="283"/>
      <c r="I688" s="285"/>
      <c r="K688" s="285"/>
      <c r="L688" s="262"/>
    </row>
    <row r="689">
      <c r="A689" s="91"/>
      <c r="B689" s="91"/>
      <c r="C689" s="91"/>
      <c r="E689" s="28"/>
      <c r="F689" s="283"/>
      <c r="G689" s="284"/>
      <c r="H689" s="283"/>
      <c r="I689" s="285"/>
      <c r="K689" s="285"/>
      <c r="L689" s="262"/>
    </row>
    <row r="690">
      <c r="A690" s="91"/>
      <c r="B690" s="91"/>
      <c r="C690" s="91"/>
      <c r="E690" s="28"/>
      <c r="F690" s="283"/>
      <c r="G690" s="284"/>
      <c r="H690" s="283"/>
      <c r="I690" s="285"/>
      <c r="K690" s="285"/>
      <c r="L690" s="262"/>
    </row>
    <row r="691">
      <c r="A691" s="91"/>
      <c r="B691" s="91"/>
      <c r="C691" s="91"/>
      <c r="E691" s="28"/>
      <c r="F691" s="283"/>
      <c r="G691" s="284"/>
      <c r="H691" s="283"/>
      <c r="I691" s="285"/>
      <c r="K691" s="285"/>
      <c r="L691" s="262"/>
    </row>
    <row r="692">
      <c r="A692" s="91"/>
      <c r="B692" s="91"/>
      <c r="C692" s="91"/>
      <c r="E692" s="28"/>
      <c r="F692" s="283"/>
      <c r="G692" s="284"/>
      <c r="H692" s="283"/>
      <c r="I692" s="285"/>
      <c r="K692" s="285"/>
      <c r="L692" s="262"/>
    </row>
    <row r="693">
      <c r="A693" s="91"/>
      <c r="B693" s="91"/>
      <c r="C693" s="91"/>
      <c r="E693" s="28"/>
      <c r="F693" s="283"/>
      <c r="G693" s="284"/>
      <c r="H693" s="283"/>
      <c r="I693" s="285"/>
      <c r="K693" s="285"/>
      <c r="L693" s="262"/>
    </row>
    <row r="694">
      <c r="A694" s="91"/>
      <c r="B694" s="91"/>
      <c r="C694" s="91"/>
      <c r="E694" s="28"/>
      <c r="F694" s="283"/>
      <c r="G694" s="284"/>
      <c r="H694" s="283"/>
      <c r="I694" s="285"/>
      <c r="K694" s="285"/>
      <c r="L694" s="262"/>
    </row>
    <row r="695">
      <c r="A695" s="91"/>
      <c r="B695" s="91"/>
      <c r="C695" s="91"/>
      <c r="E695" s="28"/>
      <c r="F695" s="283"/>
      <c r="G695" s="284"/>
      <c r="H695" s="283"/>
      <c r="I695" s="285"/>
      <c r="K695" s="285"/>
      <c r="L695" s="262"/>
    </row>
    <row r="696">
      <c r="A696" s="91"/>
      <c r="B696" s="91"/>
      <c r="C696" s="91"/>
      <c r="E696" s="28"/>
      <c r="F696" s="283"/>
      <c r="G696" s="284"/>
      <c r="H696" s="283"/>
      <c r="I696" s="285"/>
      <c r="K696" s="285"/>
      <c r="L696" s="262"/>
    </row>
    <row r="697">
      <c r="A697" s="91"/>
      <c r="B697" s="91"/>
      <c r="C697" s="91"/>
      <c r="E697" s="28"/>
      <c r="F697" s="283"/>
      <c r="G697" s="284"/>
      <c r="H697" s="283"/>
      <c r="I697" s="285"/>
      <c r="K697" s="285"/>
      <c r="L697" s="262"/>
    </row>
    <row r="698">
      <c r="A698" s="91"/>
      <c r="B698" s="91"/>
      <c r="C698" s="91"/>
      <c r="E698" s="28"/>
      <c r="F698" s="283"/>
      <c r="G698" s="284"/>
      <c r="H698" s="283"/>
      <c r="I698" s="285"/>
      <c r="K698" s="285"/>
      <c r="L698" s="262"/>
    </row>
    <row r="699">
      <c r="A699" s="91"/>
      <c r="B699" s="91"/>
      <c r="C699" s="91"/>
      <c r="E699" s="28"/>
      <c r="F699" s="283"/>
      <c r="G699" s="284"/>
      <c r="H699" s="283"/>
      <c r="I699" s="285"/>
      <c r="K699" s="285"/>
      <c r="L699" s="262"/>
    </row>
    <row r="700">
      <c r="A700" s="91"/>
      <c r="B700" s="91"/>
      <c r="C700" s="91"/>
      <c r="E700" s="28"/>
      <c r="F700" s="283"/>
      <c r="G700" s="284"/>
      <c r="H700" s="283"/>
      <c r="I700" s="285"/>
      <c r="K700" s="285"/>
      <c r="L700" s="262"/>
    </row>
    <row r="701">
      <c r="A701" s="91"/>
      <c r="B701" s="91"/>
      <c r="C701" s="91"/>
      <c r="E701" s="28"/>
      <c r="F701" s="283"/>
      <c r="G701" s="284"/>
      <c r="H701" s="283"/>
      <c r="I701" s="285"/>
      <c r="K701" s="285"/>
      <c r="L701" s="262"/>
    </row>
    <row r="702">
      <c r="A702" s="91"/>
      <c r="B702" s="91"/>
      <c r="C702" s="91"/>
      <c r="E702" s="28"/>
      <c r="F702" s="283"/>
      <c r="G702" s="284"/>
      <c r="H702" s="283"/>
      <c r="I702" s="285"/>
      <c r="K702" s="285"/>
      <c r="L702" s="262"/>
    </row>
    <row r="703">
      <c r="A703" s="91"/>
      <c r="B703" s="91"/>
      <c r="C703" s="91"/>
      <c r="E703" s="28"/>
      <c r="F703" s="283"/>
      <c r="G703" s="284"/>
      <c r="H703" s="283"/>
      <c r="I703" s="285"/>
      <c r="K703" s="285"/>
      <c r="L703" s="262"/>
    </row>
    <row r="704">
      <c r="A704" s="91"/>
      <c r="B704" s="91"/>
      <c r="C704" s="91"/>
      <c r="E704" s="28"/>
      <c r="F704" s="283"/>
      <c r="G704" s="284"/>
      <c r="H704" s="283"/>
      <c r="I704" s="285"/>
      <c r="K704" s="285"/>
      <c r="L704" s="262"/>
    </row>
    <row r="705">
      <c r="A705" s="91"/>
      <c r="B705" s="91"/>
      <c r="C705" s="91"/>
      <c r="E705" s="28"/>
      <c r="F705" s="283"/>
      <c r="G705" s="284"/>
      <c r="H705" s="283"/>
      <c r="I705" s="285"/>
      <c r="K705" s="285"/>
      <c r="L705" s="262"/>
    </row>
    <row r="706">
      <c r="A706" s="91"/>
      <c r="B706" s="91"/>
      <c r="C706" s="91"/>
      <c r="E706" s="28"/>
      <c r="F706" s="283"/>
      <c r="G706" s="284"/>
      <c r="H706" s="283"/>
      <c r="I706" s="285"/>
      <c r="K706" s="285"/>
      <c r="L706" s="262"/>
    </row>
    <row r="707">
      <c r="A707" s="91"/>
      <c r="B707" s="91"/>
      <c r="C707" s="91"/>
      <c r="E707" s="28"/>
      <c r="F707" s="283"/>
      <c r="G707" s="284"/>
      <c r="H707" s="283"/>
      <c r="I707" s="285"/>
      <c r="K707" s="285"/>
      <c r="L707" s="262"/>
    </row>
    <row r="708">
      <c r="A708" s="91"/>
      <c r="B708" s="91"/>
      <c r="C708" s="91"/>
      <c r="E708" s="28"/>
      <c r="F708" s="283"/>
      <c r="G708" s="284"/>
      <c r="H708" s="283"/>
      <c r="I708" s="285"/>
      <c r="K708" s="285"/>
      <c r="L708" s="262"/>
    </row>
    <row r="709">
      <c r="A709" s="91"/>
      <c r="B709" s="91"/>
      <c r="C709" s="91"/>
      <c r="E709" s="28"/>
      <c r="F709" s="283"/>
      <c r="G709" s="284"/>
      <c r="H709" s="283"/>
      <c r="I709" s="285"/>
      <c r="K709" s="285"/>
      <c r="L709" s="262"/>
    </row>
    <row r="710">
      <c r="A710" s="91"/>
      <c r="B710" s="91"/>
      <c r="C710" s="91"/>
      <c r="E710" s="28"/>
      <c r="F710" s="283"/>
      <c r="G710" s="284"/>
      <c r="H710" s="283"/>
      <c r="I710" s="285"/>
      <c r="K710" s="285"/>
      <c r="L710" s="262"/>
    </row>
    <row r="711">
      <c r="A711" s="91"/>
      <c r="B711" s="91"/>
      <c r="C711" s="91"/>
      <c r="E711" s="28"/>
      <c r="F711" s="283"/>
      <c r="G711" s="284"/>
      <c r="H711" s="283"/>
      <c r="I711" s="285"/>
      <c r="K711" s="285"/>
      <c r="L711" s="262"/>
    </row>
    <row r="712">
      <c r="A712" s="91"/>
      <c r="B712" s="91"/>
      <c r="C712" s="91"/>
      <c r="E712" s="28"/>
      <c r="F712" s="283"/>
      <c r="G712" s="284"/>
      <c r="H712" s="283"/>
      <c r="I712" s="285"/>
      <c r="K712" s="285"/>
      <c r="L712" s="262"/>
    </row>
    <row r="713">
      <c r="A713" s="91"/>
      <c r="B713" s="91"/>
      <c r="C713" s="91"/>
      <c r="E713" s="28"/>
      <c r="F713" s="283"/>
      <c r="G713" s="284"/>
      <c r="H713" s="283"/>
      <c r="I713" s="285"/>
      <c r="K713" s="285"/>
      <c r="L713" s="262"/>
    </row>
    <row r="714">
      <c r="A714" s="91"/>
      <c r="B714" s="91"/>
      <c r="C714" s="91"/>
      <c r="E714" s="28"/>
      <c r="F714" s="283"/>
      <c r="G714" s="284"/>
      <c r="H714" s="283"/>
      <c r="I714" s="285"/>
      <c r="K714" s="285"/>
      <c r="L714" s="262"/>
    </row>
    <row r="715">
      <c r="A715" s="91"/>
      <c r="B715" s="91"/>
      <c r="C715" s="91"/>
      <c r="E715" s="28"/>
      <c r="F715" s="283"/>
      <c r="G715" s="284"/>
      <c r="H715" s="283"/>
      <c r="I715" s="285"/>
      <c r="K715" s="285"/>
      <c r="L715" s="262"/>
    </row>
    <row r="716">
      <c r="A716" s="91"/>
      <c r="B716" s="91"/>
      <c r="C716" s="91"/>
      <c r="E716" s="28"/>
      <c r="F716" s="283"/>
      <c r="G716" s="284"/>
      <c r="H716" s="283"/>
      <c r="I716" s="285"/>
      <c r="K716" s="285"/>
      <c r="L716" s="262"/>
    </row>
    <row r="717">
      <c r="A717" s="91"/>
      <c r="B717" s="91"/>
      <c r="C717" s="91"/>
      <c r="E717" s="28"/>
      <c r="F717" s="283"/>
      <c r="G717" s="284"/>
      <c r="H717" s="283"/>
      <c r="I717" s="285"/>
      <c r="K717" s="285"/>
      <c r="L717" s="262"/>
    </row>
    <row r="718">
      <c r="A718" s="91"/>
      <c r="B718" s="91"/>
      <c r="C718" s="91"/>
      <c r="E718" s="28"/>
      <c r="F718" s="283"/>
      <c r="G718" s="284"/>
      <c r="H718" s="283"/>
      <c r="I718" s="285"/>
      <c r="K718" s="285"/>
      <c r="L718" s="262"/>
    </row>
    <row r="719">
      <c r="A719" s="91"/>
      <c r="B719" s="91"/>
      <c r="C719" s="91"/>
      <c r="E719" s="28"/>
      <c r="F719" s="283"/>
      <c r="G719" s="284"/>
      <c r="H719" s="283"/>
      <c r="I719" s="285"/>
      <c r="K719" s="285"/>
      <c r="L719" s="262"/>
    </row>
    <row r="720">
      <c r="A720" s="91"/>
      <c r="B720" s="91"/>
      <c r="C720" s="91"/>
      <c r="E720" s="28"/>
      <c r="F720" s="283"/>
      <c r="G720" s="284"/>
      <c r="H720" s="283"/>
      <c r="I720" s="285"/>
      <c r="K720" s="285"/>
      <c r="L720" s="262"/>
    </row>
    <row r="721">
      <c r="A721" s="91"/>
      <c r="B721" s="91"/>
      <c r="C721" s="91"/>
      <c r="E721" s="28"/>
      <c r="F721" s="283"/>
      <c r="G721" s="284"/>
      <c r="H721" s="283"/>
      <c r="I721" s="285"/>
      <c r="K721" s="285"/>
      <c r="L721" s="262"/>
    </row>
    <row r="722">
      <c r="A722" s="91"/>
      <c r="B722" s="91"/>
      <c r="C722" s="91"/>
      <c r="E722" s="28"/>
      <c r="F722" s="283"/>
      <c r="G722" s="284"/>
      <c r="H722" s="283"/>
      <c r="I722" s="285"/>
      <c r="K722" s="285"/>
      <c r="L722" s="262"/>
    </row>
    <row r="723">
      <c r="A723" s="91"/>
      <c r="B723" s="91"/>
      <c r="C723" s="91"/>
      <c r="E723" s="28"/>
      <c r="F723" s="283"/>
      <c r="G723" s="284"/>
      <c r="H723" s="283"/>
      <c r="I723" s="285"/>
      <c r="K723" s="285"/>
      <c r="L723" s="262"/>
    </row>
    <row r="724">
      <c r="A724" s="91"/>
      <c r="B724" s="91"/>
      <c r="C724" s="91"/>
      <c r="E724" s="28"/>
      <c r="F724" s="283"/>
      <c r="G724" s="284"/>
      <c r="H724" s="283"/>
      <c r="I724" s="285"/>
      <c r="K724" s="285"/>
      <c r="L724" s="262"/>
    </row>
    <row r="725">
      <c r="A725" s="91"/>
      <c r="B725" s="91"/>
      <c r="C725" s="91"/>
      <c r="E725" s="28"/>
      <c r="F725" s="283"/>
      <c r="G725" s="284"/>
      <c r="H725" s="283"/>
      <c r="I725" s="285"/>
      <c r="K725" s="285"/>
      <c r="L725" s="262"/>
    </row>
    <row r="726">
      <c r="A726" s="91"/>
      <c r="B726" s="91"/>
      <c r="C726" s="91"/>
      <c r="E726" s="28"/>
      <c r="F726" s="283"/>
      <c r="G726" s="284"/>
      <c r="H726" s="283"/>
      <c r="I726" s="285"/>
      <c r="K726" s="285"/>
      <c r="L726" s="262"/>
    </row>
    <row r="727">
      <c r="A727" s="91"/>
      <c r="B727" s="91"/>
      <c r="C727" s="91"/>
      <c r="E727" s="28"/>
      <c r="F727" s="283"/>
      <c r="G727" s="284"/>
      <c r="H727" s="283"/>
      <c r="I727" s="285"/>
      <c r="K727" s="285"/>
      <c r="L727" s="262"/>
    </row>
    <row r="728">
      <c r="A728" s="91"/>
      <c r="B728" s="91"/>
      <c r="C728" s="91"/>
      <c r="E728" s="28"/>
      <c r="F728" s="283"/>
      <c r="G728" s="284"/>
      <c r="H728" s="283"/>
      <c r="I728" s="285"/>
      <c r="K728" s="285"/>
      <c r="L728" s="262"/>
    </row>
    <row r="729">
      <c r="A729" s="91"/>
      <c r="B729" s="91"/>
      <c r="C729" s="91"/>
      <c r="E729" s="28"/>
      <c r="F729" s="283"/>
      <c r="G729" s="284"/>
      <c r="H729" s="283"/>
      <c r="I729" s="285"/>
      <c r="K729" s="285"/>
      <c r="L729" s="262"/>
    </row>
    <row r="730">
      <c r="A730" s="91"/>
      <c r="B730" s="91"/>
      <c r="C730" s="91"/>
      <c r="E730" s="28"/>
      <c r="F730" s="283"/>
      <c r="G730" s="284"/>
      <c r="H730" s="283"/>
      <c r="I730" s="285"/>
      <c r="K730" s="285"/>
      <c r="L730" s="262"/>
    </row>
    <row r="731">
      <c r="A731" s="91"/>
      <c r="B731" s="91"/>
      <c r="C731" s="91"/>
      <c r="E731" s="28"/>
      <c r="F731" s="283"/>
      <c r="G731" s="284"/>
      <c r="H731" s="283"/>
      <c r="I731" s="285"/>
      <c r="K731" s="285"/>
      <c r="L731" s="262"/>
    </row>
    <row r="732">
      <c r="A732" s="91"/>
      <c r="B732" s="91"/>
      <c r="C732" s="91"/>
      <c r="E732" s="28"/>
      <c r="F732" s="283"/>
      <c r="G732" s="284"/>
      <c r="H732" s="283"/>
      <c r="I732" s="285"/>
      <c r="K732" s="285"/>
      <c r="L732" s="262"/>
    </row>
    <row r="733">
      <c r="A733" s="91"/>
      <c r="B733" s="91"/>
      <c r="C733" s="91"/>
      <c r="E733" s="28"/>
      <c r="F733" s="283"/>
      <c r="G733" s="284"/>
      <c r="H733" s="283"/>
      <c r="I733" s="285"/>
      <c r="K733" s="285"/>
      <c r="L733" s="262"/>
    </row>
    <row r="734">
      <c r="A734" s="91"/>
      <c r="B734" s="91"/>
      <c r="C734" s="91"/>
      <c r="E734" s="28"/>
      <c r="F734" s="283"/>
      <c r="G734" s="284"/>
      <c r="H734" s="283"/>
      <c r="I734" s="285"/>
      <c r="K734" s="285"/>
      <c r="L734" s="262"/>
    </row>
    <row r="735">
      <c r="A735" s="91"/>
      <c r="B735" s="91"/>
      <c r="C735" s="91"/>
      <c r="E735" s="28"/>
      <c r="F735" s="283"/>
      <c r="G735" s="284"/>
      <c r="H735" s="283"/>
      <c r="I735" s="285"/>
      <c r="K735" s="285"/>
      <c r="L735" s="262"/>
    </row>
    <row r="736">
      <c r="A736" s="91"/>
      <c r="B736" s="91"/>
      <c r="C736" s="91"/>
      <c r="E736" s="28"/>
      <c r="F736" s="283"/>
      <c r="G736" s="284"/>
      <c r="H736" s="283"/>
      <c r="I736" s="285"/>
      <c r="K736" s="285"/>
      <c r="L736" s="262"/>
    </row>
    <row r="737">
      <c r="A737" s="91"/>
      <c r="B737" s="91"/>
      <c r="C737" s="91"/>
      <c r="E737" s="28"/>
      <c r="F737" s="283"/>
      <c r="G737" s="284"/>
      <c r="H737" s="283"/>
      <c r="I737" s="285"/>
      <c r="K737" s="285"/>
      <c r="L737" s="262"/>
    </row>
    <row r="738">
      <c r="A738" s="91"/>
      <c r="B738" s="91"/>
      <c r="C738" s="91"/>
      <c r="E738" s="28"/>
      <c r="F738" s="283"/>
      <c r="G738" s="284"/>
      <c r="H738" s="283"/>
      <c r="I738" s="285"/>
      <c r="K738" s="285"/>
      <c r="L738" s="262"/>
    </row>
    <row r="739">
      <c r="A739" s="91"/>
      <c r="B739" s="91"/>
      <c r="C739" s="91"/>
      <c r="E739" s="28"/>
      <c r="F739" s="283"/>
      <c r="G739" s="284"/>
      <c r="H739" s="283"/>
      <c r="I739" s="285"/>
      <c r="K739" s="285"/>
      <c r="L739" s="262"/>
    </row>
    <row r="740">
      <c r="A740" s="91"/>
      <c r="B740" s="91"/>
      <c r="C740" s="91"/>
      <c r="E740" s="28"/>
      <c r="F740" s="283"/>
      <c r="G740" s="284"/>
      <c r="H740" s="283"/>
      <c r="I740" s="285"/>
      <c r="K740" s="285"/>
      <c r="L740" s="262"/>
    </row>
    <row r="741">
      <c r="A741" s="91"/>
      <c r="B741" s="91"/>
      <c r="C741" s="91"/>
      <c r="E741" s="28"/>
      <c r="F741" s="283"/>
      <c r="G741" s="284"/>
      <c r="H741" s="283"/>
      <c r="I741" s="285"/>
      <c r="K741" s="285"/>
      <c r="L741" s="262"/>
    </row>
    <row r="742">
      <c r="A742" s="91"/>
      <c r="B742" s="91"/>
      <c r="C742" s="91"/>
      <c r="E742" s="28"/>
      <c r="F742" s="283"/>
      <c r="G742" s="284"/>
      <c r="H742" s="283"/>
      <c r="I742" s="285"/>
      <c r="K742" s="285"/>
      <c r="L742" s="262"/>
    </row>
    <row r="743">
      <c r="A743" s="91"/>
      <c r="B743" s="91"/>
      <c r="C743" s="91"/>
      <c r="E743" s="28"/>
      <c r="F743" s="283"/>
      <c r="G743" s="284"/>
      <c r="H743" s="283"/>
      <c r="I743" s="285"/>
      <c r="K743" s="285"/>
      <c r="L743" s="262"/>
    </row>
    <row r="744">
      <c r="A744" s="91"/>
      <c r="B744" s="91"/>
      <c r="C744" s="91"/>
      <c r="E744" s="28"/>
      <c r="F744" s="283"/>
      <c r="G744" s="284"/>
      <c r="H744" s="283"/>
      <c r="I744" s="285"/>
      <c r="K744" s="285"/>
      <c r="L744" s="262"/>
    </row>
    <row r="745">
      <c r="A745" s="91"/>
      <c r="B745" s="91"/>
      <c r="C745" s="91"/>
      <c r="E745" s="28"/>
      <c r="F745" s="283"/>
      <c r="G745" s="284"/>
      <c r="H745" s="283"/>
      <c r="I745" s="285"/>
      <c r="K745" s="285"/>
      <c r="L745" s="262"/>
    </row>
    <row r="746">
      <c r="A746" s="91"/>
      <c r="B746" s="91"/>
      <c r="C746" s="91"/>
      <c r="E746" s="28"/>
      <c r="F746" s="283"/>
      <c r="G746" s="284"/>
      <c r="H746" s="283"/>
      <c r="I746" s="285"/>
      <c r="K746" s="285"/>
      <c r="L746" s="262"/>
    </row>
    <row r="747">
      <c r="A747" s="91"/>
      <c r="B747" s="91"/>
      <c r="C747" s="91"/>
      <c r="E747" s="28"/>
      <c r="F747" s="283"/>
      <c r="G747" s="284"/>
      <c r="H747" s="283"/>
      <c r="I747" s="285"/>
      <c r="K747" s="285"/>
      <c r="L747" s="262"/>
    </row>
    <row r="748">
      <c r="A748" s="91"/>
      <c r="B748" s="91"/>
      <c r="C748" s="91"/>
      <c r="E748" s="28"/>
      <c r="F748" s="283"/>
      <c r="G748" s="284"/>
      <c r="H748" s="283"/>
      <c r="I748" s="285"/>
      <c r="K748" s="285"/>
      <c r="L748" s="262"/>
    </row>
    <row r="749">
      <c r="A749" s="91"/>
      <c r="B749" s="91"/>
      <c r="C749" s="91"/>
      <c r="E749" s="28"/>
      <c r="F749" s="283"/>
      <c r="G749" s="284"/>
      <c r="H749" s="283"/>
      <c r="I749" s="285"/>
      <c r="K749" s="285"/>
      <c r="L749" s="262"/>
    </row>
    <row r="750">
      <c r="A750" s="91"/>
      <c r="B750" s="91"/>
      <c r="C750" s="91"/>
      <c r="E750" s="28"/>
      <c r="F750" s="283"/>
      <c r="G750" s="284"/>
      <c r="H750" s="283"/>
      <c r="I750" s="285"/>
      <c r="K750" s="285"/>
      <c r="L750" s="262"/>
    </row>
    <row r="751">
      <c r="A751" s="91"/>
      <c r="B751" s="91"/>
      <c r="C751" s="91"/>
      <c r="E751" s="28"/>
      <c r="F751" s="283"/>
      <c r="G751" s="284"/>
      <c r="H751" s="283"/>
      <c r="I751" s="285"/>
      <c r="K751" s="285"/>
      <c r="L751" s="262"/>
    </row>
    <row r="752">
      <c r="A752" s="91"/>
      <c r="B752" s="91"/>
      <c r="C752" s="91"/>
      <c r="E752" s="28"/>
      <c r="F752" s="283"/>
      <c r="G752" s="284"/>
      <c r="H752" s="283"/>
      <c r="I752" s="285"/>
      <c r="K752" s="285"/>
      <c r="L752" s="262"/>
    </row>
    <row r="753">
      <c r="A753" s="91"/>
      <c r="B753" s="91"/>
      <c r="C753" s="91"/>
      <c r="E753" s="28"/>
      <c r="F753" s="283"/>
      <c r="G753" s="284"/>
      <c r="H753" s="283"/>
      <c r="I753" s="285"/>
      <c r="K753" s="285"/>
      <c r="L753" s="262"/>
    </row>
    <row r="754">
      <c r="A754" s="91"/>
      <c r="B754" s="91"/>
      <c r="C754" s="91"/>
      <c r="E754" s="28"/>
      <c r="F754" s="283"/>
      <c r="G754" s="284"/>
      <c r="H754" s="283"/>
      <c r="I754" s="285"/>
      <c r="K754" s="285"/>
      <c r="L754" s="262"/>
    </row>
    <row r="755">
      <c r="A755" s="91"/>
      <c r="B755" s="91"/>
      <c r="C755" s="91"/>
      <c r="E755" s="28"/>
      <c r="F755" s="283"/>
      <c r="G755" s="284"/>
      <c r="H755" s="283"/>
      <c r="I755" s="285"/>
      <c r="K755" s="285"/>
      <c r="L755" s="262"/>
    </row>
    <row r="756">
      <c r="A756" s="91"/>
      <c r="B756" s="91"/>
      <c r="C756" s="91"/>
      <c r="E756" s="28"/>
      <c r="F756" s="283"/>
      <c r="G756" s="284"/>
      <c r="H756" s="283"/>
      <c r="I756" s="285"/>
      <c r="K756" s="285"/>
      <c r="L756" s="262"/>
    </row>
    <row r="757">
      <c r="A757" s="91"/>
      <c r="B757" s="91"/>
      <c r="C757" s="91"/>
      <c r="E757" s="28"/>
      <c r="F757" s="283"/>
      <c r="G757" s="284"/>
      <c r="H757" s="283"/>
      <c r="I757" s="285"/>
      <c r="K757" s="285"/>
      <c r="L757" s="262"/>
    </row>
    <row r="758">
      <c r="A758" s="91"/>
      <c r="B758" s="91"/>
      <c r="C758" s="91"/>
      <c r="E758" s="28"/>
      <c r="F758" s="283"/>
      <c r="G758" s="284"/>
      <c r="H758" s="283"/>
      <c r="I758" s="285"/>
      <c r="K758" s="285"/>
      <c r="L758" s="262"/>
    </row>
    <row r="759">
      <c r="A759" s="91"/>
      <c r="B759" s="91"/>
      <c r="C759" s="91"/>
      <c r="E759" s="28"/>
      <c r="F759" s="283"/>
      <c r="G759" s="284"/>
      <c r="H759" s="283"/>
      <c r="I759" s="285"/>
      <c r="K759" s="285"/>
      <c r="L759" s="262"/>
    </row>
    <row r="760">
      <c r="A760" s="91"/>
      <c r="B760" s="91"/>
      <c r="C760" s="91"/>
      <c r="E760" s="28"/>
      <c r="F760" s="283"/>
      <c r="G760" s="284"/>
      <c r="H760" s="283"/>
      <c r="I760" s="285"/>
      <c r="K760" s="285"/>
      <c r="L760" s="262"/>
    </row>
    <row r="761">
      <c r="A761" s="91"/>
      <c r="B761" s="91"/>
      <c r="C761" s="91"/>
      <c r="E761" s="28"/>
      <c r="F761" s="283"/>
      <c r="G761" s="284"/>
      <c r="H761" s="283"/>
      <c r="I761" s="285"/>
      <c r="K761" s="285"/>
      <c r="L761" s="262"/>
    </row>
    <row r="762">
      <c r="A762" s="91"/>
      <c r="B762" s="91"/>
      <c r="C762" s="91"/>
      <c r="E762" s="28"/>
      <c r="F762" s="283"/>
      <c r="G762" s="284"/>
      <c r="H762" s="283"/>
      <c r="I762" s="285"/>
      <c r="K762" s="285"/>
      <c r="L762" s="262"/>
    </row>
    <row r="763">
      <c r="A763" s="91"/>
      <c r="B763" s="91"/>
      <c r="C763" s="91"/>
      <c r="E763" s="28"/>
      <c r="F763" s="283"/>
      <c r="G763" s="284"/>
      <c r="H763" s="283"/>
      <c r="I763" s="285"/>
      <c r="K763" s="285"/>
      <c r="L763" s="262"/>
    </row>
    <row r="764">
      <c r="A764" s="91"/>
      <c r="B764" s="91"/>
      <c r="C764" s="91"/>
      <c r="E764" s="28"/>
      <c r="F764" s="283"/>
      <c r="G764" s="284"/>
      <c r="H764" s="283"/>
      <c r="I764" s="285"/>
      <c r="K764" s="285"/>
      <c r="L764" s="262"/>
    </row>
    <row r="765">
      <c r="A765" s="91"/>
      <c r="B765" s="91"/>
      <c r="C765" s="91"/>
      <c r="E765" s="28"/>
      <c r="F765" s="283"/>
      <c r="G765" s="284"/>
      <c r="H765" s="283"/>
      <c r="I765" s="285"/>
      <c r="K765" s="285"/>
      <c r="L765" s="262"/>
    </row>
    <row r="766">
      <c r="A766" s="91"/>
      <c r="B766" s="91"/>
      <c r="C766" s="91"/>
      <c r="E766" s="28"/>
      <c r="F766" s="283"/>
      <c r="G766" s="284"/>
      <c r="H766" s="283"/>
      <c r="I766" s="285"/>
      <c r="K766" s="285"/>
      <c r="L766" s="262"/>
    </row>
    <row r="767">
      <c r="A767" s="91"/>
      <c r="B767" s="91"/>
      <c r="C767" s="91"/>
      <c r="E767" s="28"/>
      <c r="F767" s="283"/>
      <c r="G767" s="284"/>
      <c r="H767" s="283"/>
      <c r="I767" s="285"/>
      <c r="K767" s="285"/>
      <c r="L767" s="262"/>
    </row>
    <row r="768">
      <c r="A768" s="91"/>
      <c r="B768" s="91"/>
      <c r="C768" s="91"/>
      <c r="E768" s="28"/>
      <c r="F768" s="283"/>
      <c r="G768" s="284"/>
      <c r="H768" s="283"/>
      <c r="I768" s="285"/>
      <c r="K768" s="285"/>
      <c r="L768" s="262"/>
    </row>
    <row r="769">
      <c r="A769" s="91"/>
      <c r="B769" s="91"/>
      <c r="C769" s="91"/>
      <c r="E769" s="28"/>
      <c r="F769" s="283"/>
      <c r="G769" s="284"/>
      <c r="H769" s="283"/>
      <c r="I769" s="285"/>
      <c r="K769" s="285"/>
      <c r="L769" s="262"/>
    </row>
    <row r="770">
      <c r="A770" s="91"/>
      <c r="B770" s="91"/>
      <c r="C770" s="91"/>
      <c r="E770" s="28"/>
      <c r="F770" s="283"/>
      <c r="G770" s="284"/>
      <c r="H770" s="283"/>
      <c r="I770" s="285"/>
      <c r="K770" s="285"/>
      <c r="L770" s="262"/>
    </row>
    <row r="771">
      <c r="A771" s="91"/>
      <c r="B771" s="91"/>
      <c r="C771" s="91"/>
      <c r="E771" s="28"/>
      <c r="F771" s="283"/>
      <c r="G771" s="284"/>
      <c r="H771" s="283"/>
      <c r="I771" s="285"/>
      <c r="K771" s="285"/>
      <c r="L771" s="262"/>
    </row>
    <row r="772">
      <c r="A772" s="91"/>
      <c r="B772" s="91"/>
      <c r="C772" s="91"/>
      <c r="E772" s="28"/>
      <c r="F772" s="283"/>
      <c r="G772" s="284"/>
      <c r="H772" s="283"/>
      <c r="I772" s="285"/>
      <c r="K772" s="285"/>
      <c r="L772" s="262"/>
    </row>
    <row r="773">
      <c r="A773" s="91"/>
      <c r="B773" s="91"/>
      <c r="C773" s="91"/>
      <c r="E773" s="28"/>
      <c r="F773" s="283"/>
      <c r="G773" s="284"/>
      <c r="H773" s="283"/>
      <c r="I773" s="285"/>
      <c r="K773" s="285"/>
      <c r="L773" s="262"/>
    </row>
    <row r="774">
      <c r="A774" s="91"/>
      <c r="B774" s="91"/>
      <c r="C774" s="91"/>
      <c r="E774" s="28"/>
      <c r="F774" s="283"/>
      <c r="G774" s="284"/>
      <c r="H774" s="283"/>
      <c r="I774" s="285"/>
      <c r="K774" s="285"/>
      <c r="L774" s="262"/>
    </row>
    <row r="775">
      <c r="A775" s="91"/>
      <c r="B775" s="91"/>
      <c r="C775" s="91"/>
      <c r="E775" s="28"/>
      <c r="F775" s="283"/>
      <c r="G775" s="284"/>
      <c r="H775" s="283"/>
      <c r="I775" s="285"/>
      <c r="K775" s="285"/>
      <c r="L775" s="262"/>
    </row>
    <row r="776">
      <c r="A776" s="91"/>
      <c r="B776" s="91"/>
      <c r="C776" s="91"/>
      <c r="E776" s="28"/>
      <c r="F776" s="283"/>
      <c r="G776" s="284"/>
      <c r="H776" s="283"/>
      <c r="I776" s="285"/>
      <c r="K776" s="285"/>
      <c r="L776" s="262"/>
    </row>
    <row r="777">
      <c r="A777" s="91"/>
      <c r="B777" s="91"/>
      <c r="C777" s="91"/>
      <c r="E777" s="28"/>
      <c r="F777" s="283"/>
      <c r="G777" s="284"/>
      <c r="H777" s="283"/>
      <c r="I777" s="285"/>
      <c r="K777" s="285"/>
      <c r="L777" s="262"/>
    </row>
    <row r="778">
      <c r="A778" s="91"/>
      <c r="B778" s="91"/>
      <c r="C778" s="91"/>
      <c r="E778" s="28"/>
      <c r="F778" s="283"/>
      <c r="G778" s="284"/>
      <c r="H778" s="283"/>
      <c r="I778" s="285"/>
      <c r="K778" s="285"/>
      <c r="L778" s="262"/>
    </row>
    <row r="779">
      <c r="A779" s="91"/>
      <c r="B779" s="91"/>
      <c r="C779" s="91"/>
      <c r="E779" s="28"/>
      <c r="F779" s="283"/>
      <c r="G779" s="284"/>
      <c r="H779" s="283"/>
      <c r="I779" s="285"/>
      <c r="K779" s="285"/>
      <c r="L779" s="262"/>
    </row>
    <row r="780">
      <c r="A780" s="91"/>
      <c r="B780" s="91"/>
      <c r="C780" s="91"/>
      <c r="E780" s="28"/>
      <c r="F780" s="283"/>
      <c r="G780" s="284"/>
      <c r="H780" s="283"/>
      <c r="I780" s="285"/>
      <c r="K780" s="285"/>
      <c r="L780" s="262"/>
    </row>
    <row r="781">
      <c r="A781" s="91"/>
      <c r="B781" s="91"/>
      <c r="C781" s="91"/>
      <c r="E781" s="28"/>
      <c r="F781" s="283"/>
      <c r="G781" s="284"/>
      <c r="H781" s="283"/>
      <c r="I781" s="285"/>
      <c r="K781" s="285"/>
      <c r="L781" s="262"/>
    </row>
    <row r="782">
      <c r="A782" s="91"/>
      <c r="B782" s="91"/>
      <c r="C782" s="91"/>
      <c r="E782" s="28"/>
      <c r="F782" s="283"/>
      <c r="G782" s="284"/>
      <c r="H782" s="283"/>
      <c r="I782" s="285"/>
      <c r="K782" s="285"/>
      <c r="L782" s="262"/>
    </row>
    <row r="783">
      <c r="A783" s="91"/>
      <c r="B783" s="91"/>
      <c r="C783" s="91"/>
      <c r="E783" s="28"/>
      <c r="F783" s="283"/>
      <c r="G783" s="284"/>
      <c r="H783" s="283"/>
      <c r="I783" s="285"/>
      <c r="K783" s="285"/>
      <c r="L783" s="262"/>
    </row>
    <row r="784">
      <c r="A784" s="91"/>
      <c r="B784" s="91"/>
      <c r="C784" s="91"/>
      <c r="E784" s="28"/>
      <c r="F784" s="283"/>
      <c r="G784" s="284"/>
      <c r="H784" s="283"/>
      <c r="I784" s="285"/>
      <c r="K784" s="285"/>
      <c r="L784" s="262"/>
    </row>
    <row r="785">
      <c r="A785" s="91"/>
      <c r="B785" s="91"/>
      <c r="C785" s="91"/>
      <c r="E785" s="28"/>
      <c r="F785" s="283"/>
      <c r="G785" s="284"/>
      <c r="H785" s="283"/>
      <c r="I785" s="285"/>
      <c r="K785" s="285"/>
      <c r="L785" s="262"/>
    </row>
    <row r="786">
      <c r="A786" s="91"/>
      <c r="B786" s="91"/>
      <c r="C786" s="91"/>
      <c r="E786" s="28"/>
      <c r="F786" s="283"/>
      <c r="G786" s="284"/>
      <c r="H786" s="283"/>
      <c r="I786" s="285"/>
      <c r="K786" s="285"/>
      <c r="L786" s="262"/>
    </row>
    <row r="787">
      <c r="A787" s="91"/>
      <c r="B787" s="91"/>
      <c r="C787" s="91"/>
      <c r="E787" s="28"/>
      <c r="F787" s="283"/>
      <c r="G787" s="284"/>
      <c r="H787" s="283"/>
      <c r="I787" s="285"/>
      <c r="K787" s="285"/>
      <c r="L787" s="262"/>
    </row>
    <row r="788">
      <c r="A788" s="91"/>
      <c r="B788" s="91"/>
      <c r="C788" s="91"/>
      <c r="E788" s="28"/>
      <c r="F788" s="283"/>
      <c r="G788" s="284"/>
      <c r="H788" s="283"/>
      <c r="I788" s="285"/>
      <c r="K788" s="285"/>
      <c r="L788" s="262"/>
    </row>
    <row r="789">
      <c r="A789" s="91"/>
      <c r="B789" s="91"/>
      <c r="C789" s="91"/>
      <c r="E789" s="28"/>
      <c r="F789" s="283"/>
      <c r="G789" s="284"/>
      <c r="H789" s="283"/>
      <c r="I789" s="285"/>
      <c r="K789" s="285"/>
      <c r="L789" s="262"/>
    </row>
    <row r="790">
      <c r="A790" s="91"/>
      <c r="B790" s="91"/>
      <c r="C790" s="91"/>
      <c r="E790" s="28"/>
      <c r="F790" s="283"/>
      <c r="G790" s="284"/>
      <c r="H790" s="283"/>
      <c r="I790" s="285"/>
      <c r="K790" s="285"/>
      <c r="L790" s="262"/>
    </row>
    <row r="791">
      <c r="A791" s="91"/>
      <c r="B791" s="91"/>
      <c r="C791" s="91"/>
      <c r="E791" s="28"/>
      <c r="F791" s="283"/>
      <c r="G791" s="284"/>
      <c r="H791" s="283"/>
      <c r="I791" s="285"/>
      <c r="K791" s="285"/>
      <c r="L791" s="262"/>
    </row>
    <row r="792">
      <c r="A792" s="91"/>
      <c r="B792" s="91"/>
      <c r="C792" s="91"/>
      <c r="E792" s="28"/>
      <c r="F792" s="283"/>
      <c r="G792" s="284"/>
      <c r="H792" s="283"/>
      <c r="I792" s="285"/>
      <c r="K792" s="285"/>
      <c r="L792" s="262"/>
    </row>
    <row r="793">
      <c r="A793" s="91"/>
      <c r="B793" s="91"/>
      <c r="C793" s="91"/>
      <c r="E793" s="28"/>
      <c r="F793" s="283"/>
      <c r="G793" s="284"/>
      <c r="H793" s="283"/>
      <c r="I793" s="285"/>
      <c r="K793" s="285"/>
      <c r="L793" s="262"/>
    </row>
    <row r="794">
      <c r="A794" s="91"/>
      <c r="B794" s="91"/>
      <c r="C794" s="91"/>
      <c r="E794" s="28"/>
      <c r="F794" s="283"/>
      <c r="G794" s="284"/>
      <c r="H794" s="283"/>
      <c r="I794" s="285"/>
      <c r="K794" s="285"/>
      <c r="L794" s="262"/>
    </row>
    <row r="795">
      <c r="A795" s="91"/>
      <c r="B795" s="91"/>
      <c r="C795" s="91"/>
      <c r="E795" s="28"/>
      <c r="F795" s="283"/>
      <c r="G795" s="284"/>
      <c r="H795" s="283"/>
      <c r="I795" s="285"/>
      <c r="K795" s="285"/>
      <c r="L795" s="262"/>
    </row>
    <row r="796">
      <c r="A796" s="91"/>
      <c r="B796" s="91"/>
      <c r="C796" s="91"/>
      <c r="E796" s="28"/>
      <c r="F796" s="283"/>
      <c r="G796" s="284"/>
      <c r="H796" s="283"/>
      <c r="I796" s="285"/>
      <c r="K796" s="285"/>
      <c r="L796" s="262"/>
    </row>
    <row r="797">
      <c r="A797" s="91"/>
      <c r="B797" s="91"/>
      <c r="C797" s="91"/>
      <c r="E797" s="28"/>
      <c r="F797" s="283"/>
      <c r="G797" s="284"/>
      <c r="H797" s="283"/>
      <c r="I797" s="285"/>
      <c r="K797" s="285"/>
      <c r="L797" s="262"/>
    </row>
    <row r="798">
      <c r="A798" s="91"/>
      <c r="B798" s="91"/>
      <c r="C798" s="91"/>
      <c r="E798" s="28"/>
      <c r="F798" s="283"/>
      <c r="G798" s="284"/>
      <c r="H798" s="283"/>
      <c r="I798" s="285"/>
      <c r="K798" s="285"/>
      <c r="L798" s="262"/>
    </row>
    <row r="799">
      <c r="A799" s="91"/>
      <c r="B799" s="91"/>
      <c r="C799" s="91"/>
      <c r="E799" s="28"/>
      <c r="F799" s="283"/>
      <c r="G799" s="284"/>
      <c r="H799" s="283"/>
      <c r="I799" s="285"/>
      <c r="K799" s="285"/>
      <c r="L799" s="262"/>
    </row>
    <row r="800">
      <c r="A800" s="91"/>
      <c r="B800" s="91"/>
      <c r="C800" s="91"/>
      <c r="E800" s="28"/>
      <c r="F800" s="283"/>
      <c r="G800" s="284"/>
      <c r="H800" s="283"/>
      <c r="I800" s="285"/>
      <c r="K800" s="285"/>
      <c r="L800" s="262"/>
    </row>
    <row r="801">
      <c r="A801" s="91"/>
      <c r="B801" s="91"/>
      <c r="C801" s="91"/>
      <c r="E801" s="28"/>
      <c r="F801" s="283"/>
      <c r="G801" s="284"/>
      <c r="H801" s="283"/>
      <c r="I801" s="285"/>
      <c r="K801" s="285"/>
      <c r="L801" s="262"/>
    </row>
    <row r="802">
      <c r="A802" s="91"/>
      <c r="B802" s="91"/>
      <c r="C802" s="91"/>
      <c r="E802" s="28"/>
      <c r="F802" s="283"/>
      <c r="G802" s="284"/>
      <c r="H802" s="283"/>
      <c r="I802" s="285"/>
      <c r="K802" s="285"/>
      <c r="L802" s="262"/>
    </row>
    <row r="803">
      <c r="A803" s="91"/>
      <c r="B803" s="91"/>
      <c r="C803" s="91"/>
      <c r="E803" s="28"/>
      <c r="F803" s="283"/>
      <c r="G803" s="284"/>
      <c r="H803" s="283"/>
      <c r="I803" s="285"/>
      <c r="K803" s="285"/>
      <c r="L803" s="262"/>
    </row>
    <row r="804">
      <c r="A804" s="91"/>
      <c r="B804" s="91"/>
      <c r="C804" s="91"/>
      <c r="E804" s="28"/>
      <c r="F804" s="283"/>
      <c r="G804" s="284"/>
      <c r="H804" s="283"/>
      <c r="I804" s="285"/>
      <c r="K804" s="285"/>
      <c r="L804" s="262"/>
    </row>
    <row r="805">
      <c r="A805" s="91"/>
      <c r="B805" s="91"/>
      <c r="C805" s="91"/>
      <c r="E805" s="28"/>
      <c r="F805" s="283"/>
      <c r="G805" s="284"/>
      <c r="H805" s="283"/>
      <c r="I805" s="285"/>
      <c r="K805" s="285"/>
      <c r="L805" s="262"/>
    </row>
    <row r="806">
      <c r="A806" s="91"/>
      <c r="B806" s="91"/>
      <c r="C806" s="91"/>
      <c r="E806" s="28"/>
      <c r="F806" s="283"/>
      <c r="G806" s="284"/>
      <c r="H806" s="283"/>
      <c r="I806" s="285"/>
      <c r="K806" s="285"/>
      <c r="L806" s="262"/>
    </row>
    <row r="807">
      <c r="A807" s="91"/>
      <c r="B807" s="91"/>
      <c r="C807" s="91"/>
      <c r="E807" s="28"/>
      <c r="F807" s="283"/>
      <c r="G807" s="284"/>
      <c r="H807" s="283"/>
      <c r="I807" s="285"/>
      <c r="K807" s="285"/>
      <c r="L807" s="262"/>
    </row>
    <row r="808">
      <c r="A808" s="91"/>
      <c r="B808" s="91"/>
      <c r="C808" s="91"/>
      <c r="E808" s="28"/>
      <c r="F808" s="283"/>
      <c r="G808" s="284"/>
      <c r="H808" s="283"/>
      <c r="I808" s="285"/>
      <c r="K808" s="285"/>
      <c r="L808" s="262"/>
    </row>
    <row r="809">
      <c r="A809" s="91"/>
      <c r="B809" s="91"/>
      <c r="C809" s="91"/>
      <c r="E809" s="28"/>
      <c r="F809" s="283"/>
      <c r="G809" s="284"/>
      <c r="H809" s="283"/>
      <c r="I809" s="285"/>
      <c r="K809" s="285"/>
      <c r="L809" s="262"/>
    </row>
    <row r="810">
      <c r="A810" s="91"/>
      <c r="B810" s="91"/>
      <c r="C810" s="91"/>
      <c r="E810" s="28"/>
      <c r="F810" s="283"/>
      <c r="G810" s="284"/>
      <c r="H810" s="283"/>
      <c r="I810" s="285"/>
      <c r="K810" s="285"/>
      <c r="L810" s="262"/>
    </row>
    <row r="811">
      <c r="A811" s="91"/>
      <c r="B811" s="91"/>
      <c r="C811" s="91"/>
      <c r="E811" s="28"/>
      <c r="F811" s="283"/>
      <c r="G811" s="284"/>
      <c r="H811" s="283"/>
      <c r="I811" s="285"/>
      <c r="K811" s="285"/>
      <c r="L811" s="262"/>
    </row>
    <row r="812">
      <c r="A812" s="91"/>
      <c r="B812" s="91"/>
      <c r="C812" s="91"/>
      <c r="E812" s="28"/>
      <c r="F812" s="283"/>
      <c r="G812" s="284"/>
      <c r="H812" s="283"/>
      <c r="I812" s="285"/>
      <c r="K812" s="285"/>
      <c r="L812" s="262"/>
    </row>
    <row r="813">
      <c r="A813" s="91"/>
      <c r="B813" s="91"/>
      <c r="C813" s="91"/>
      <c r="E813" s="28"/>
      <c r="F813" s="283"/>
      <c r="G813" s="284"/>
      <c r="H813" s="283"/>
      <c r="I813" s="285"/>
      <c r="K813" s="285"/>
      <c r="L813" s="262"/>
    </row>
    <row r="814">
      <c r="A814" s="91"/>
      <c r="B814" s="91"/>
      <c r="C814" s="91"/>
      <c r="E814" s="28"/>
      <c r="F814" s="283"/>
      <c r="G814" s="284"/>
      <c r="H814" s="283"/>
      <c r="I814" s="285"/>
      <c r="K814" s="285"/>
      <c r="L814" s="262"/>
    </row>
    <row r="815">
      <c r="A815" s="91"/>
      <c r="B815" s="91"/>
      <c r="C815" s="91"/>
      <c r="E815" s="28"/>
      <c r="F815" s="283"/>
      <c r="G815" s="284"/>
      <c r="H815" s="283"/>
      <c r="I815" s="285"/>
      <c r="K815" s="285"/>
      <c r="L815" s="262"/>
    </row>
    <row r="816">
      <c r="A816" s="91"/>
      <c r="B816" s="91"/>
      <c r="C816" s="91"/>
      <c r="E816" s="28"/>
      <c r="F816" s="283"/>
      <c r="G816" s="284"/>
      <c r="H816" s="283"/>
      <c r="I816" s="285"/>
      <c r="K816" s="285"/>
      <c r="L816" s="262"/>
    </row>
    <row r="817">
      <c r="A817" s="91"/>
      <c r="B817" s="91"/>
      <c r="C817" s="91"/>
      <c r="E817" s="28"/>
      <c r="F817" s="283"/>
      <c r="G817" s="284"/>
      <c r="H817" s="283"/>
      <c r="I817" s="285"/>
      <c r="K817" s="285"/>
      <c r="L817" s="262"/>
    </row>
    <row r="818">
      <c r="A818" s="91"/>
      <c r="B818" s="91"/>
      <c r="C818" s="91"/>
      <c r="E818" s="28"/>
      <c r="F818" s="283"/>
      <c r="G818" s="284"/>
      <c r="H818" s="283"/>
      <c r="I818" s="285"/>
      <c r="K818" s="285"/>
      <c r="L818" s="262"/>
    </row>
    <row r="819">
      <c r="A819" s="91"/>
      <c r="B819" s="91"/>
      <c r="C819" s="91"/>
      <c r="E819" s="28"/>
      <c r="F819" s="283"/>
      <c r="G819" s="284"/>
      <c r="H819" s="283"/>
      <c r="I819" s="285"/>
      <c r="K819" s="285"/>
      <c r="L819" s="262"/>
    </row>
    <row r="820">
      <c r="A820" s="91"/>
      <c r="B820" s="91"/>
      <c r="C820" s="91"/>
      <c r="E820" s="28"/>
      <c r="F820" s="283"/>
      <c r="G820" s="284"/>
      <c r="H820" s="283"/>
      <c r="I820" s="285"/>
      <c r="K820" s="285"/>
      <c r="L820" s="262"/>
    </row>
    <row r="821">
      <c r="A821" s="91"/>
      <c r="B821" s="91"/>
      <c r="C821" s="91"/>
      <c r="E821" s="28"/>
      <c r="F821" s="283"/>
      <c r="G821" s="284"/>
      <c r="H821" s="283"/>
      <c r="I821" s="285"/>
      <c r="K821" s="285"/>
      <c r="L821" s="262"/>
    </row>
    <row r="822">
      <c r="A822" s="91"/>
      <c r="B822" s="91"/>
      <c r="C822" s="91"/>
      <c r="E822" s="28"/>
      <c r="F822" s="283"/>
      <c r="G822" s="284"/>
      <c r="H822" s="283"/>
      <c r="I822" s="285"/>
      <c r="K822" s="285"/>
      <c r="L822" s="262"/>
    </row>
    <row r="823">
      <c r="A823" s="91"/>
      <c r="B823" s="91"/>
      <c r="C823" s="91"/>
      <c r="E823" s="28"/>
      <c r="F823" s="283"/>
      <c r="G823" s="284"/>
      <c r="H823" s="283"/>
      <c r="I823" s="285"/>
      <c r="K823" s="285"/>
      <c r="L823" s="262"/>
    </row>
    <row r="824">
      <c r="A824" s="91"/>
      <c r="B824" s="91"/>
      <c r="C824" s="91"/>
      <c r="E824" s="28"/>
      <c r="F824" s="283"/>
      <c r="G824" s="284"/>
      <c r="H824" s="283"/>
      <c r="I824" s="285"/>
      <c r="K824" s="285"/>
      <c r="L824" s="262"/>
    </row>
    <row r="825">
      <c r="A825" s="91"/>
      <c r="B825" s="91"/>
      <c r="C825" s="91"/>
      <c r="E825" s="28"/>
      <c r="F825" s="283"/>
      <c r="G825" s="284"/>
      <c r="H825" s="283"/>
      <c r="I825" s="285"/>
      <c r="K825" s="285"/>
      <c r="L825" s="262"/>
    </row>
    <row r="826">
      <c r="A826" s="91"/>
      <c r="B826" s="91"/>
      <c r="C826" s="91"/>
      <c r="E826" s="28"/>
      <c r="F826" s="283"/>
      <c r="G826" s="284"/>
      <c r="H826" s="283"/>
      <c r="I826" s="285"/>
      <c r="K826" s="285"/>
      <c r="L826" s="262"/>
    </row>
    <row r="827">
      <c r="A827" s="91"/>
      <c r="B827" s="91"/>
      <c r="C827" s="91"/>
      <c r="E827" s="28"/>
      <c r="F827" s="283"/>
      <c r="G827" s="284"/>
      <c r="H827" s="283"/>
      <c r="I827" s="285"/>
      <c r="K827" s="285"/>
      <c r="L827" s="262"/>
    </row>
    <row r="828">
      <c r="A828" s="91"/>
      <c r="B828" s="91"/>
      <c r="C828" s="91"/>
      <c r="E828" s="28"/>
      <c r="F828" s="283"/>
      <c r="G828" s="284"/>
      <c r="H828" s="283"/>
      <c r="I828" s="285"/>
      <c r="K828" s="285"/>
      <c r="L828" s="262"/>
    </row>
    <row r="829">
      <c r="A829" s="91"/>
      <c r="B829" s="91"/>
      <c r="C829" s="91"/>
      <c r="E829" s="28"/>
      <c r="F829" s="283"/>
      <c r="G829" s="284"/>
      <c r="H829" s="283"/>
      <c r="I829" s="285"/>
      <c r="K829" s="285"/>
      <c r="L829" s="262"/>
    </row>
    <row r="830">
      <c r="A830" s="91"/>
      <c r="B830" s="91"/>
      <c r="C830" s="91"/>
      <c r="E830" s="28"/>
      <c r="F830" s="283"/>
      <c r="G830" s="284"/>
      <c r="H830" s="283"/>
      <c r="I830" s="285"/>
      <c r="K830" s="285"/>
      <c r="L830" s="262"/>
    </row>
    <row r="831">
      <c r="A831" s="91"/>
      <c r="B831" s="91"/>
      <c r="C831" s="91"/>
      <c r="E831" s="28"/>
      <c r="F831" s="283"/>
      <c r="G831" s="284"/>
      <c r="H831" s="283"/>
      <c r="I831" s="285"/>
      <c r="K831" s="285"/>
      <c r="L831" s="262"/>
    </row>
    <row r="832">
      <c r="A832" s="91"/>
      <c r="B832" s="91"/>
      <c r="C832" s="91"/>
      <c r="E832" s="28"/>
      <c r="F832" s="283"/>
      <c r="G832" s="284"/>
      <c r="H832" s="283"/>
      <c r="I832" s="285"/>
      <c r="K832" s="285"/>
      <c r="L832" s="262"/>
    </row>
    <row r="833">
      <c r="A833" s="91"/>
      <c r="B833" s="91"/>
      <c r="C833" s="91"/>
      <c r="E833" s="28"/>
      <c r="F833" s="283"/>
      <c r="G833" s="284"/>
      <c r="H833" s="283"/>
      <c r="I833" s="285"/>
      <c r="K833" s="285"/>
      <c r="L833" s="262"/>
    </row>
    <row r="834">
      <c r="A834" s="91"/>
      <c r="B834" s="91"/>
      <c r="C834" s="91"/>
      <c r="E834" s="28"/>
      <c r="F834" s="283"/>
      <c r="G834" s="284"/>
      <c r="H834" s="283"/>
      <c r="I834" s="285"/>
      <c r="K834" s="285"/>
      <c r="L834" s="262"/>
    </row>
    <row r="835">
      <c r="A835" s="91"/>
      <c r="B835" s="91"/>
      <c r="C835" s="91"/>
      <c r="E835" s="28"/>
      <c r="F835" s="283"/>
      <c r="G835" s="284"/>
      <c r="H835" s="283"/>
      <c r="I835" s="285"/>
      <c r="K835" s="285"/>
      <c r="L835" s="262"/>
    </row>
    <row r="836">
      <c r="A836" s="91"/>
      <c r="B836" s="91"/>
      <c r="C836" s="91"/>
      <c r="E836" s="28"/>
      <c r="F836" s="283"/>
      <c r="G836" s="284"/>
      <c r="H836" s="283"/>
      <c r="I836" s="285"/>
      <c r="K836" s="285"/>
      <c r="L836" s="262"/>
    </row>
    <row r="837">
      <c r="A837" s="91"/>
      <c r="B837" s="91"/>
      <c r="C837" s="91"/>
      <c r="E837" s="28"/>
      <c r="F837" s="283"/>
      <c r="G837" s="284"/>
      <c r="H837" s="283"/>
      <c r="I837" s="285"/>
      <c r="K837" s="285"/>
      <c r="L837" s="262"/>
    </row>
    <row r="838">
      <c r="A838" s="91"/>
      <c r="B838" s="91"/>
      <c r="C838" s="91"/>
      <c r="E838" s="28"/>
      <c r="F838" s="283"/>
      <c r="G838" s="284"/>
      <c r="H838" s="283"/>
      <c r="I838" s="285"/>
      <c r="K838" s="285"/>
      <c r="L838" s="262"/>
    </row>
    <row r="839">
      <c r="A839" s="91"/>
      <c r="B839" s="91"/>
      <c r="C839" s="91"/>
      <c r="E839" s="28"/>
      <c r="F839" s="283"/>
      <c r="G839" s="284"/>
      <c r="H839" s="283"/>
      <c r="I839" s="285"/>
      <c r="K839" s="285"/>
      <c r="L839" s="262"/>
    </row>
    <row r="840">
      <c r="A840" s="91"/>
      <c r="B840" s="91"/>
      <c r="C840" s="91"/>
      <c r="E840" s="28"/>
      <c r="F840" s="283"/>
      <c r="G840" s="284"/>
      <c r="H840" s="283"/>
      <c r="I840" s="285"/>
      <c r="K840" s="285"/>
      <c r="L840" s="262"/>
    </row>
    <row r="841">
      <c r="A841" s="91"/>
      <c r="B841" s="91"/>
      <c r="C841" s="91"/>
      <c r="E841" s="28"/>
      <c r="F841" s="283"/>
      <c r="G841" s="284"/>
      <c r="H841" s="283"/>
      <c r="I841" s="285"/>
      <c r="K841" s="285"/>
      <c r="L841" s="262"/>
    </row>
    <row r="842">
      <c r="A842" s="91"/>
      <c r="B842" s="91"/>
      <c r="C842" s="91"/>
      <c r="E842" s="28"/>
      <c r="F842" s="283"/>
      <c r="G842" s="284"/>
      <c r="H842" s="283"/>
      <c r="I842" s="285"/>
      <c r="K842" s="285"/>
      <c r="L842" s="262"/>
    </row>
    <row r="843">
      <c r="A843" s="91"/>
      <c r="B843" s="91"/>
      <c r="C843" s="91"/>
      <c r="E843" s="28"/>
      <c r="F843" s="283"/>
      <c r="G843" s="284"/>
      <c r="H843" s="283"/>
      <c r="I843" s="285"/>
      <c r="K843" s="285"/>
      <c r="L843" s="262"/>
    </row>
    <row r="844">
      <c r="A844" s="91"/>
      <c r="B844" s="91"/>
      <c r="C844" s="91"/>
      <c r="E844" s="28"/>
      <c r="F844" s="283"/>
      <c r="G844" s="284"/>
      <c r="H844" s="283"/>
      <c r="I844" s="285"/>
      <c r="K844" s="285"/>
      <c r="L844" s="262"/>
    </row>
    <row r="845">
      <c r="A845" s="91"/>
      <c r="B845" s="91"/>
      <c r="C845" s="91"/>
      <c r="E845" s="28"/>
      <c r="F845" s="283"/>
      <c r="G845" s="284"/>
      <c r="H845" s="283"/>
      <c r="I845" s="285"/>
      <c r="K845" s="285"/>
      <c r="L845" s="262"/>
    </row>
    <row r="846">
      <c r="A846" s="91"/>
      <c r="B846" s="91"/>
      <c r="C846" s="91"/>
      <c r="E846" s="28"/>
      <c r="F846" s="283"/>
      <c r="G846" s="284"/>
      <c r="H846" s="283"/>
      <c r="I846" s="285"/>
      <c r="K846" s="285"/>
      <c r="L846" s="262"/>
    </row>
    <row r="847">
      <c r="A847" s="91"/>
      <c r="B847" s="91"/>
      <c r="C847" s="91"/>
      <c r="E847" s="28"/>
      <c r="F847" s="283"/>
      <c r="G847" s="284"/>
      <c r="H847" s="283"/>
      <c r="I847" s="285"/>
      <c r="K847" s="285"/>
      <c r="L847" s="262"/>
    </row>
    <row r="848">
      <c r="A848" s="91"/>
      <c r="B848" s="91"/>
      <c r="C848" s="91"/>
      <c r="E848" s="28"/>
      <c r="F848" s="283"/>
      <c r="G848" s="284"/>
      <c r="H848" s="283"/>
      <c r="I848" s="285"/>
      <c r="K848" s="285"/>
      <c r="L848" s="262"/>
    </row>
    <row r="849">
      <c r="A849" s="91"/>
      <c r="B849" s="91"/>
      <c r="C849" s="91"/>
      <c r="E849" s="28"/>
      <c r="F849" s="283"/>
      <c r="G849" s="284"/>
      <c r="H849" s="283"/>
      <c r="I849" s="285"/>
      <c r="K849" s="285"/>
      <c r="L849" s="262"/>
    </row>
    <row r="850">
      <c r="A850" s="91"/>
      <c r="B850" s="91"/>
      <c r="C850" s="91"/>
      <c r="E850" s="28"/>
      <c r="F850" s="283"/>
      <c r="G850" s="284"/>
      <c r="H850" s="283"/>
      <c r="I850" s="285"/>
      <c r="K850" s="285"/>
      <c r="L850" s="262"/>
    </row>
    <row r="851">
      <c r="A851" s="91"/>
      <c r="B851" s="91"/>
      <c r="C851" s="91"/>
      <c r="E851" s="28"/>
      <c r="F851" s="283"/>
      <c r="G851" s="284"/>
      <c r="H851" s="283"/>
      <c r="I851" s="285"/>
      <c r="K851" s="285"/>
      <c r="L851" s="262"/>
    </row>
    <row r="852">
      <c r="A852" s="91"/>
      <c r="B852" s="91"/>
      <c r="C852" s="91"/>
      <c r="E852" s="28"/>
      <c r="F852" s="283"/>
      <c r="G852" s="284"/>
      <c r="H852" s="283"/>
      <c r="I852" s="285"/>
      <c r="K852" s="285"/>
      <c r="L852" s="262"/>
    </row>
    <row r="853">
      <c r="A853" s="91"/>
      <c r="B853" s="91"/>
      <c r="C853" s="91"/>
      <c r="E853" s="28"/>
      <c r="F853" s="283"/>
      <c r="G853" s="284"/>
      <c r="H853" s="283"/>
      <c r="I853" s="285"/>
      <c r="K853" s="285"/>
      <c r="L853" s="262"/>
    </row>
    <row r="854">
      <c r="A854" s="91"/>
      <c r="B854" s="91"/>
      <c r="C854" s="91"/>
      <c r="E854" s="28"/>
      <c r="F854" s="283"/>
      <c r="G854" s="284"/>
      <c r="H854" s="283"/>
      <c r="I854" s="285"/>
      <c r="K854" s="285"/>
      <c r="L854" s="262"/>
    </row>
    <row r="855">
      <c r="A855" s="91"/>
      <c r="B855" s="91"/>
      <c r="C855" s="91"/>
      <c r="E855" s="28"/>
      <c r="F855" s="283"/>
      <c r="G855" s="284"/>
      <c r="H855" s="283"/>
      <c r="I855" s="285"/>
      <c r="K855" s="285"/>
      <c r="L855" s="262"/>
    </row>
    <row r="856">
      <c r="A856" s="91"/>
      <c r="B856" s="91"/>
      <c r="C856" s="91"/>
      <c r="E856" s="28"/>
      <c r="F856" s="283"/>
      <c r="G856" s="284"/>
      <c r="H856" s="283"/>
      <c r="I856" s="285"/>
      <c r="K856" s="285"/>
      <c r="L856" s="262"/>
    </row>
    <row r="857">
      <c r="A857" s="91"/>
      <c r="B857" s="91"/>
      <c r="C857" s="91"/>
      <c r="E857" s="28"/>
      <c r="F857" s="283"/>
      <c r="G857" s="284"/>
      <c r="H857" s="283"/>
      <c r="I857" s="285"/>
      <c r="K857" s="285"/>
      <c r="L857" s="262"/>
    </row>
    <row r="858">
      <c r="A858" s="91"/>
      <c r="B858" s="91"/>
      <c r="C858" s="91"/>
      <c r="E858" s="28"/>
      <c r="F858" s="283"/>
      <c r="G858" s="284"/>
      <c r="H858" s="283"/>
      <c r="I858" s="285"/>
      <c r="K858" s="285"/>
      <c r="L858" s="262"/>
    </row>
    <row r="859">
      <c r="A859" s="91"/>
      <c r="B859" s="91"/>
      <c r="C859" s="91"/>
      <c r="E859" s="28"/>
      <c r="F859" s="283"/>
      <c r="G859" s="284"/>
      <c r="H859" s="283"/>
      <c r="I859" s="285"/>
      <c r="K859" s="285"/>
      <c r="L859" s="262"/>
    </row>
    <row r="860">
      <c r="A860" s="91"/>
      <c r="B860" s="91"/>
      <c r="C860" s="91"/>
      <c r="E860" s="28"/>
      <c r="F860" s="283"/>
      <c r="G860" s="284"/>
      <c r="H860" s="283"/>
      <c r="I860" s="285"/>
      <c r="K860" s="285"/>
      <c r="L860" s="262"/>
    </row>
    <row r="861">
      <c r="A861" s="91"/>
      <c r="B861" s="91"/>
      <c r="C861" s="91"/>
      <c r="E861" s="28"/>
      <c r="F861" s="283"/>
      <c r="G861" s="284"/>
      <c r="H861" s="283"/>
      <c r="I861" s="285"/>
      <c r="K861" s="285"/>
      <c r="L861" s="262"/>
    </row>
    <row r="862">
      <c r="A862" s="91"/>
      <c r="B862" s="91"/>
      <c r="C862" s="91"/>
      <c r="E862" s="28"/>
      <c r="F862" s="283"/>
      <c r="G862" s="284"/>
      <c r="H862" s="283"/>
      <c r="I862" s="285"/>
      <c r="K862" s="285"/>
      <c r="L862" s="262"/>
    </row>
    <row r="863">
      <c r="A863" s="91"/>
      <c r="B863" s="91"/>
      <c r="C863" s="91"/>
      <c r="E863" s="28"/>
      <c r="F863" s="283"/>
      <c r="G863" s="284"/>
      <c r="H863" s="283"/>
      <c r="I863" s="285"/>
      <c r="K863" s="285"/>
      <c r="L863" s="262"/>
    </row>
    <row r="864">
      <c r="A864" s="91"/>
      <c r="B864" s="91"/>
      <c r="C864" s="91"/>
      <c r="E864" s="28"/>
      <c r="F864" s="283"/>
      <c r="G864" s="284"/>
      <c r="H864" s="283"/>
      <c r="I864" s="285"/>
      <c r="K864" s="285"/>
      <c r="L864" s="262"/>
    </row>
    <row r="865">
      <c r="A865" s="91"/>
      <c r="B865" s="91"/>
      <c r="C865" s="91"/>
      <c r="E865" s="28"/>
      <c r="F865" s="283"/>
      <c r="G865" s="284"/>
      <c r="H865" s="283"/>
      <c r="I865" s="285"/>
      <c r="K865" s="285"/>
      <c r="L865" s="262"/>
    </row>
    <row r="866">
      <c r="A866" s="91"/>
      <c r="B866" s="91"/>
      <c r="C866" s="91"/>
      <c r="E866" s="28"/>
      <c r="F866" s="283"/>
      <c r="G866" s="284"/>
      <c r="H866" s="283"/>
      <c r="I866" s="285"/>
      <c r="K866" s="285"/>
      <c r="L866" s="262"/>
    </row>
    <row r="867">
      <c r="A867" s="91"/>
      <c r="B867" s="91"/>
      <c r="C867" s="91"/>
      <c r="E867" s="28"/>
      <c r="F867" s="283"/>
      <c r="G867" s="284"/>
      <c r="H867" s="283"/>
      <c r="I867" s="285"/>
      <c r="K867" s="285"/>
      <c r="L867" s="262"/>
    </row>
    <row r="868">
      <c r="A868" s="91"/>
      <c r="B868" s="91"/>
      <c r="C868" s="91"/>
      <c r="E868" s="28"/>
      <c r="F868" s="283"/>
      <c r="G868" s="284"/>
      <c r="H868" s="283"/>
      <c r="I868" s="285"/>
      <c r="K868" s="285"/>
      <c r="L868" s="262"/>
    </row>
    <row r="869">
      <c r="A869" s="91"/>
      <c r="B869" s="91"/>
      <c r="C869" s="91"/>
      <c r="E869" s="28"/>
      <c r="F869" s="283"/>
      <c r="G869" s="284"/>
      <c r="H869" s="283"/>
      <c r="I869" s="285"/>
      <c r="K869" s="285"/>
      <c r="L869" s="262"/>
    </row>
    <row r="870">
      <c r="A870" s="91"/>
      <c r="B870" s="91"/>
      <c r="C870" s="91"/>
      <c r="E870" s="28"/>
      <c r="F870" s="283"/>
      <c r="G870" s="284"/>
      <c r="H870" s="283"/>
      <c r="I870" s="285"/>
      <c r="K870" s="285"/>
      <c r="L870" s="262"/>
    </row>
    <row r="871">
      <c r="A871" s="91"/>
      <c r="B871" s="91"/>
      <c r="C871" s="91"/>
      <c r="E871" s="28"/>
      <c r="F871" s="283"/>
      <c r="G871" s="284"/>
      <c r="H871" s="283"/>
      <c r="I871" s="285"/>
      <c r="K871" s="285"/>
      <c r="L871" s="262"/>
    </row>
    <row r="872">
      <c r="A872" s="91"/>
      <c r="B872" s="91"/>
      <c r="C872" s="91"/>
      <c r="E872" s="28"/>
      <c r="F872" s="283"/>
      <c r="G872" s="284"/>
      <c r="H872" s="283"/>
      <c r="I872" s="285"/>
      <c r="K872" s="285"/>
      <c r="L872" s="262"/>
    </row>
    <row r="873">
      <c r="A873" s="91"/>
      <c r="B873" s="91"/>
      <c r="C873" s="91"/>
      <c r="E873" s="28"/>
      <c r="F873" s="283"/>
      <c r="G873" s="284"/>
      <c r="H873" s="283"/>
      <c r="I873" s="285"/>
      <c r="K873" s="285"/>
      <c r="L873" s="262"/>
    </row>
    <row r="874">
      <c r="A874" s="91"/>
      <c r="B874" s="91"/>
      <c r="C874" s="91"/>
      <c r="E874" s="28"/>
      <c r="F874" s="283"/>
      <c r="G874" s="284"/>
      <c r="H874" s="283"/>
      <c r="I874" s="285"/>
      <c r="K874" s="285"/>
      <c r="L874" s="262"/>
    </row>
    <row r="875">
      <c r="A875" s="91"/>
      <c r="B875" s="91"/>
      <c r="C875" s="91"/>
      <c r="E875" s="28"/>
      <c r="F875" s="283"/>
      <c r="G875" s="284"/>
      <c r="H875" s="283"/>
      <c r="I875" s="285"/>
      <c r="K875" s="285"/>
      <c r="L875" s="262"/>
    </row>
    <row r="876">
      <c r="A876" s="91"/>
      <c r="B876" s="91"/>
      <c r="C876" s="91"/>
      <c r="E876" s="28"/>
      <c r="F876" s="283"/>
      <c r="G876" s="284"/>
      <c r="H876" s="283"/>
      <c r="I876" s="285"/>
      <c r="K876" s="285"/>
      <c r="L876" s="262"/>
    </row>
    <row r="877">
      <c r="A877" s="91"/>
      <c r="B877" s="91"/>
      <c r="C877" s="91"/>
      <c r="E877" s="28"/>
      <c r="F877" s="283"/>
      <c r="G877" s="284"/>
      <c r="H877" s="283"/>
      <c r="I877" s="285"/>
      <c r="K877" s="285"/>
      <c r="L877" s="262"/>
    </row>
    <row r="878">
      <c r="A878" s="91"/>
      <c r="B878" s="91"/>
      <c r="C878" s="91"/>
      <c r="E878" s="28"/>
      <c r="F878" s="283"/>
      <c r="G878" s="284"/>
      <c r="H878" s="283"/>
      <c r="I878" s="285"/>
      <c r="K878" s="285"/>
      <c r="L878" s="262"/>
    </row>
    <row r="879">
      <c r="A879" s="91"/>
      <c r="B879" s="91"/>
      <c r="C879" s="91"/>
      <c r="E879" s="28"/>
      <c r="F879" s="283"/>
      <c r="G879" s="284"/>
      <c r="H879" s="283"/>
      <c r="I879" s="285"/>
      <c r="K879" s="285"/>
      <c r="L879" s="262"/>
    </row>
    <row r="880">
      <c r="A880" s="91"/>
      <c r="B880" s="91"/>
      <c r="C880" s="91"/>
      <c r="E880" s="28"/>
      <c r="F880" s="283"/>
      <c r="G880" s="284"/>
      <c r="H880" s="283"/>
      <c r="I880" s="285"/>
      <c r="K880" s="285"/>
      <c r="L880" s="262"/>
    </row>
    <row r="881">
      <c r="A881" s="91"/>
      <c r="B881" s="91"/>
      <c r="C881" s="91"/>
      <c r="E881" s="28"/>
      <c r="F881" s="283"/>
      <c r="G881" s="284"/>
      <c r="H881" s="283"/>
      <c r="I881" s="285"/>
      <c r="K881" s="285"/>
      <c r="L881" s="262"/>
    </row>
    <row r="882">
      <c r="A882" s="91"/>
      <c r="B882" s="91"/>
      <c r="C882" s="91"/>
      <c r="E882" s="28"/>
      <c r="F882" s="283"/>
      <c r="G882" s="284"/>
      <c r="H882" s="283"/>
      <c r="I882" s="285"/>
      <c r="K882" s="285"/>
      <c r="L882" s="262"/>
    </row>
    <row r="883">
      <c r="A883" s="91"/>
      <c r="B883" s="91"/>
      <c r="C883" s="91"/>
      <c r="E883" s="28"/>
      <c r="F883" s="283"/>
      <c r="G883" s="284"/>
      <c r="H883" s="283"/>
      <c r="I883" s="285"/>
      <c r="K883" s="285"/>
      <c r="L883" s="262"/>
    </row>
    <row r="884">
      <c r="A884" s="91"/>
      <c r="B884" s="91"/>
      <c r="C884" s="91"/>
      <c r="E884" s="28"/>
      <c r="F884" s="283"/>
      <c r="G884" s="284"/>
      <c r="H884" s="283"/>
      <c r="I884" s="285"/>
      <c r="K884" s="285"/>
      <c r="L884" s="262"/>
    </row>
    <row r="885">
      <c r="A885" s="91"/>
      <c r="B885" s="91"/>
      <c r="C885" s="91"/>
      <c r="E885" s="28"/>
      <c r="F885" s="283"/>
      <c r="G885" s="284"/>
      <c r="H885" s="283"/>
      <c r="I885" s="285"/>
      <c r="K885" s="285"/>
      <c r="L885" s="262"/>
    </row>
    <row r="886">
      <c r="A886" s="91"/>
      <c r="B886" s="91"/>
      <c r="C886" s="91"/>
      <c r="E886" s="28"/>
      <c r="F886" s="283"/>
      <c r="G886" s="284"/>
      <c r="H886" s="283"/>
      <c r="I886" s="285"/>
      <c r="K886" s="285"/>
      <c r="L886" s="262"/>
    </row>
    <row r="887">
      <c r="A887" s="91"/>
      <c r="B887" s="91"/>
      <c r="C887" s="91"/>
      <c r="E887" s="28"/>
      <c r="F887" s="283"/>
      <c r="G887" s="284"/>
      <c r="H887" s="283"/>
      <c r="I887" s="285"/>
      <c r="K887" s="285"/>
      <c r="L887" s="262"/>
    </row>
    <row r="888">
      <c r="A888" s="91"/>
      <c r="B888" s="91"/>
      <c r="C888" s="91"/>
      <c r="E888" s="28"/>
      <c r="F888" s="283"/>
      <c r="G888" s="284"/>
      <c r="H888" s="283"/>
      <c r="I888" s="285"/>
      <c r="K888" s="285"/>
      <c r="L888" s="262"/>
    </row>
    <row r="889">
      <c r="A889" s="91"/>
      <c r="B889" s="91"/>
      <c r="C889" s="91"/>
      <c r="E889" s="28"/>
      <c r="F889" s="283"/>
      <c r="G889" s="284"/>
      <c r="H889" s="283"/>
      <c r="I889" s="285"/>
      <c r="K889" s="285"/>
      <c r="L889" s="262"/>
    </row>
    <row r="890">
      <c r="A890" s="91"/>
      <c r="B890" s="91"/>
      <c r="C890" s="91"/>
      <c r="E890" s="28"/>
      <c r="F890" s="283"/>
      <c r="G890" s="284"/>
      <c r="H890" s="283"/>
      <c r="I890" s="285"/>
      <c r="K890" s="285"/>
      <c r="L890" s="262"/>
    </row>
    <row r="891">
      <c r="A891" s="91"/>
      <c r="B891" s="91"/>
      <c r="C891" s="91"/>
      <c r="E891" s="28"/>
      <c r="F891" s="283"/>
      <c r="G891" s="284"/>
      <c r="H891" s="283"/>
      <c r="I891" s="285"/>
      <c r="K891" s="285"/>
      <c r="L891" s="262"/>
    </row>
    <row r="892">
      <c r="A892" s="91"/>
      <c r="B892" s="91"/>
      <c r="C892" s="91"/>
      <c r="E892" s="28"/>
      <c r="F892" s="283"/>
      <c r="G892" s="284"/>
      <c r="H892" s="283"/>
      <c r="I892" s="285"/>
      <c r="K892" s="285"/>
      <c r="L892" s="262"/>
    </row>
    <row r="893">
      <c r="A893" s="91"/>
      <c r="B893" s="91"/>
      <c r="C893" s="91"/>
      <c r="E893" s="28"/>
      <c r="F893" s="283"/>
      <c r="G893" s="284"/>
      <c r="H893" s="283"/>
      <c r="I893" s="285"/>
      <c r="K893" s="285"/>
      <c r="L893" s="262"/>
    </row>
    <row r="894">
      <c r="A894" s="91"/>
      <c r="B894" s="91"/>
      <c r="C894" s="91"/>
      <c r="E894" s="28"/>
      <c r="F894" s="283"/>
      <c r="G894" s="284"/>
      <c r="H894" s="283"/>
      <c r="I894" s="285"/>
      <c r="K894" s="285"/>
      <c r="L894" s="262"/>
    </row>
    <row r="895">
      <c r="A895" s="91"/>
      <c r="B895" s="91"/>
      <c r="C895" s="91"/>
      <c r="E895" s="28"/>
      <c r="F895" s="283"/>
      <c r="G895" s="284"/>
      <c r="H895" s="283"/>
      <c r="I895" s="285"/>
      <c r="K895" s="285"/>
      <c r="L895" s="262"/>
    </row>
    <row r="896">
      <c r="A896" s="91"/>
      <c r="B896" s="91"/>
      <c r="C896" s="91"/>
      <c r="E896" s="28"/>
      <c r="F896" s="283"/>
      <c r="G896" s="284"/>
      <c r="H896" s="283"/>
      <c r="I896" s="285"/>
      <c r="K896" s="285"/>
      <c r="L896" s="262"/>
    </row>
    <row r="897">
      <c r="A897" s="91"/>
      <c r="B897" s="91"/>
      <c r="C897" s="91"/>
      <c r="E897" s="28"/>
      <c r="F897" s="283"/>
      <c r="G897" s="284"/>
      <c r="H897" s="283"/>
      <c r="I897" s="285"/>
      <c r="K897" s="285"/>
      <c r="L897" s="262"/>
    </row>
    <row r="898">
      <c r="A898" s="91"/>
      <c r="B898" s="91"/>
      <c r="C898" s="91"/>
      <c r="E898" s="28"/>
      <c r="F898" s="283"/>
      <c r="G898" s="284"/>
      <c r="H898" s="283"/>
      <c r="I898" s="285"/>
      <c r="K898" s="285"/>
      <c r="L898" s="262"/>
    </row>
    <row r="899">
      <c r="A899" s="91"/>
      <c r="B899" s="91"/>
      <c r="C899" s="91"/>
      <c r="E899" s="28"/>
      <c r="F899" s="283"/>
      <c r="G899" s="284"/>
      <c r="H899" s="283"/>
      <c r="I899" s="285"/>
      <c r="K899" s="285"/>
      <c r="L899" s="262"/>
    </row>
    <row r="900">
      <c r="A900" s="91"/>
      <c r="B900" s="91"/>
      <c r="C900" s="91"/>
      <c r="E900" s="28"/>
      <c r="F900" s="283"/>
      <c r="G900" s="284"/>
      <c r="H900" s="283"/>
      <c r="I900" s="285"/>
      <c r="K900" s="285"/>
      <c r="L900" s="262"/>
    </row>
    <row r="901">
      <c r="A901" s="91"/>
      <c r="B901" s="91"/>
      <c r="C901" s="91"/>
      <c r="E901" s="28"/>
      <c r="F901" s="283"/>
      <c r="G901" s="284"/>
      <c r="H901" s="283"/>
      <c r="I901" s="285"/>
      <c r="K901" s="285"/>
      <c r="L901" s="262"/>
    </row>
    <row r="902">
      <c r="A902" s="91"/>
      <c r="B902" s="91"/>
      <c r="C902" s="91"/>
      <c r="E902" s="28"/>
      <c r="F902" s="283"/>
      <c r="G902" s="284"/>
      <c r="H902" s="283"/>
      <c r="I902" s="285"/>
      <c r="K902" s="285"/>
      <c r="L902" s="262"/>
    </row>
    <row r="903">
      <c r="A903" s="91"/>
      <c r="B903" s="91"/>
      <c r="C903" s="91"/>
      <c r="E903" s="28"/>
      <c r="F903" s="283"/>
      <c r="G903" s="284"/>
      <c r="H903" s="283"/>
      <c r="I903" s="285"/>
      <c r="K903" s="285"/>
      <c r="L903" s="262"/>
    </row>
    <row r="904">
      <c r="A904" s="91"/>
      <c r="B904" s="91"/>
      <c r="C904" s="91"/>
      <c r="E904" s="28"/>
      <c r="F904" s="283"/>
      <c r="G904" s="284"/>
      <c r="H904" s="283"/>
      <c r="I904" s="285"/>
      <c r="K904" s="285"/>
      <c r="L904" s="262"/>
    </row>
    <row r="905">
      <c r="A905" s="91"/>
      <c r="B905" s="91"/>
      <c r="C905" s="91"/>
      <c r="E905" s="28"/>
      <c r="F905" s="283"/>
      <c r="G905" s="284"/>
      <c r="H905" s="283"/>
      <c r="I905" s="285"/>
      <c r="K905" s="285"/>
      <c r="L905" s="262"/>
    </row>
    <row r="906">
      <c r="A906" s="91"/>
      <c r="B906" s="91"/>
      <c r="C906" s="91"/>
      <c r="E906" s="28"/>
      <c r="F906" s="283"/>
      <c r="G906" s="284"/>
      <c r="H906" s="283"/>
      <c r="I906" s="285"/>
      <c r="K906" s="285"/>
      <c r="L906" s="262"/>
    </row>
    <row r="907">
      <c r="A907" s="91"/>
      <c r="B907" s="91"/>
      <c r="C907" s="91"/>
      <c r="E907" s="28"/>
      <c r="F907" s="283"/>
      <c r="G907" s="284"/>
      <c r="H907" s="283"/>
      <c r="I907" s="285"/>
      <c r="K907" s="285"/>
      <c r="L907" s="262"/>
    </row>
    <row r="908">
      <c r="A908" s="91"/>
      <c r="B908" s="91"/>
      <c r="C908" s="91"/>
      <c r="E908" s="28"/>
      <c r="F908" s="283"/>
      <c r="G908" s="284"/>
      <c r="H908" s="283"/>
      <c r="I908" s="285"/>
      <c r="K908" s="285"/>
      <c r="L908" s="262"/>
    </row>
    <row r="909">
      <c r="A909" s="91"/>
      <c r="B909" s="91"/>
      <c r="C909" s="91"/>
      <c r="E909" s="28"/>
      <c r="F909" s="283"/>
      <c r="G909" s="284"/>
      <c r="H909" s="283"/>
      <c r="I909" s="285"/>
      <c r="K909" s="285"/>
      <c r="L909" s="262"/>
    </row>
    <row r="910">
      <c r="A910" s="91"/>
      <c r="B910" s="91"/>
      <c r="C910" s="91"/>
      <c r="E910" s="28"/>
      <c r="F910" s="283"/>
      <c r="G910" s="284"/>
      <c r="H910" s="283"/>
      <c r="I910" s="285"/>
      <c r="K910" s="285"/>
      <c r="L910" s="262"/>
    </row>
    <row r="911">
      <c r="A911" s="91"/>
      <c r="B911" s="91"/>
      <c r="C911" s="91"/>
      <c r="E911" s="28"/>
      <c r="F911" s="283"/>
      <c r="G911" s="284"/>
      <c r="H911" s="283"/>
      <c r="I911" s="285"/>
      <c r="K911" s="285"/>
      <c r="L911" s="262"/>
    </row>
    <row r="912">
      <c r="A912" s="91"/>
      <c r="B912" s="91"/>
      <c r="C912" s="91"/>
      <c r="E912" s="28"/>
      <c r="F912" s="283"/>
      <c r="G912" s="284"/>
      <c r="H912" s="283"/>
      <c r="I912" s="285"/>
      <c r="K912" s="285"/>
      <c r="L912" s="262"/>
    </row>
    <row r="913">
      <c r="A913" s="91"/>
      <c r="B913" s="91"/>
      <c r="C913" s="91"/>
      <c r="E913" s="28"/>
      <c r="F913" s="283"/>
      <c r="G913" s="284"/>
      <c r="H913" s="283"/>
      <c r="I913" s="285"/>
      <c r="K913" s="285"/>
      <c r="L913" s="262"/>
    </row>
    <row r="914">
      <c r="A914" s="91"/>
      <c r="B914" s="91"/>
      <c r="C914" s="91"/>
      <c r="E914" s="28"/>
      <c r="F914" s="283"/>
      <c r="G914" s="284"/>
      <c r="H914" s="283"/>
      <c r="I914" s="285"/>
      <c r="K914" s="285"/>
      <c r="L914" s="262"/>
    </row>
    <row r="915">
      <c r="A915" s="91"/>
      <c r="B915" s="91"/>
      <c r="C915" s="91"/>
      <c r="E915" s="28"/>
      <c r="F915" s="283"/>
      <c r="G915" s="284"/>
      <c r="H915" s="283"/>
      <c r="I915" s="285"/>
      <c r="K915" s="285"/>
      <c r="L915" s="262"/>
    </row>
    <row r="916">
      <c r="A916" s="91"/>
      <c r="B916" s="91"/>
      <c r="C916" s="91"/>
      <c r="E916" s="28"/>
      <c r="F916" s="283"/>
      <c r="G916" s="284"/>
      <c r="H916" s="283"/>
      <c r="I916" s="285"/>
      <c r="K916" s="285"/>
      <c r="L916" s="262"/>
    </row>
    <row r="917">
      <c r="A917" s="91"/>
      <c r="B917" s="91"/>
      <c r="C917" s="91"/>
      <c r="E917" s="28"/>
      <c r="F917" s="283"/>
      <c r="G917" s="284"/>
      <c r="H917" s="283"/>
      <c r="I917" s="285"/>
      <c r="K917" s="285"/>
      <c r="L917" s="262"/>
    </row>
    <row r="918">
      <c r="A918" s="91"/>
      <c r="B918" s="91"/>
      <c r="C918" s="91"/>
      <c r="E918" s="28"/>
      <c r="F918" s="283"/>
      <c r="G918" s="284"/>
      <c r="H918" s="283"/>
      <c r="I918" s="285"/>
      <c r="K918" s="285"/>
      <c r="L918" s="262"/>
    </row>
    <row r="919">
      <c r="A919" s="91"/>
      <c r="B919" s="91"/>
      <c r="C919" s="91"/>
      <c r="E919" s="28"/>
      <c r="F919" s="283"/>
      <c r="G919" s="284"/>
      <c r="H919" s="283"/>
      <c r="I919" s="285"/>
      <c r="K919" s="285"/>
      <c r="L919" s="262"/>
    </row>
    <row r="920">
      <c r="A920" s="91"/>
      <c r="B920" s="91"/>
      <c r="C920" s="91"/>
      <c r="E920" s="28"/>
      <c r="F920" s="283"/>
      <c r="G920" s="284"/>
      <c r="H920" s="283"/>
      <c r="I920" s="285"/>
      <c r="K920" s="285"/>
      <c r="L920" s="262"/>
    </row>
    <row r="921">
      <c r="A921" s="91"/>
      <c r="B921" s="91"/>
      <c r="C921" s="91"/>
      <c r="E921" s="28"/>
      <c r="F921" s="283"/>
      <c r="G921" s="284"/>
      <c r="H921" s="283"/>
      <c r="I921" s="285"/>
      <c r="K921" s="285"/>
      <c r="L921" s="262"/>
    </row>
    <row r="922">
      <c r="A922" s="91"/>
      <c r="B922" s="91"/>
      <c r="C922" s="91"/>
      <c r="E922" s="28"/>
      <c r="F922" s="283"/>
      <c r="G922" s="284"/>
      <c r="H922" s="283"/>
      <c r="I922" s="285"/>
      <c r="K922" s="285"/>
      <c r="L922" s="262"/>
    </row>
    <row r="923">
      <c r="A923" s="91"/>
      <c r="B923" s="91"/>
      <c r="C923" s="91"/>
      <c r="E923" s="28"/>
      <c r="F923" s="283"/>
      <c r="G923" s="284"/>
      <c r="H923" s="283"/>
      <c r="I923" s="285"/>
      <c r="K923" s="285"/>
      <c r="L923" s="262"/>
    </row>
    <row r="924">
      <c r="A924" s="91"/>
      <c r="B924" s="91"/>
      <c r="C924" s="91"/>
      <c r="E924" s="28"/>
      <c r="F924" s="283"/>
      <c r="G924" s="284"/>
      <c r="H924" s="283"/>
      <c r="I924" s="285"/>
      <c r="K924" s="285"/>
      <c r="L924" s="262"/>
    </row>
    <row r="925">
      <c r="A925" s="91"/>
      <c r="B925" s="91"/>
      <c r="C925" s="91"/>
      <c r="E925" s="28"/>
      <c r="F925" s="283"/>
      <c r="G925" s="284"/>
      <c r="H925" s="283"/>
      <c r="I925" s="285"/>
      <c r="K925" s="285"/>
      <c r="L925" s="262"/>
    </row>
    <row r="926">
      <c r="A926" s="91"/>
      <c r="B926" s="91"/>
      <c r="C926" s="91"/>
      <c r="E926" s="28"/>
      <c r="F926" s="283"/>
      <c r="G926" s="284"/>
      <c r="H926" s="283"/>
      <c r="I926" s="285"/>
      <c r="K926" s="285"/>
      <c r="L926" s="262"/>
    </row>
    <row r="927">
      <c r="A927" s="91"/>
      <c r="B927" s="91"/>
      <c r="C927" s="91"/>
      <c r="E927" s="28"/>
      <c r="F927" s="283"/>
      <c r="G927" s="284"/>
      <c r="H927" s="283"/>
      <c r="I927" s="285"/>
      <c r="K927" s="285"/>
      <c r="L927" s="262"/>
    </row>
    <row r="928">
      <c r="A928" s="91"/>
      <c r="B928" s="91"/>
      <c r="C928" s="91"/>
      <c r="E928" s="28"/>
      <c r="F928" s="283"/>
      <c r="G928" s="284"/>
      <c r="H928" s="283"/>
      <c r="I928" s="285"/>
      <c r="K928" s="285"/>
      <c r="L928" s="262"/>
    </row>
    <row r="929">
      <c r="A929" s="91"/>
      <c r="B929" s="91"/>
      <c r="C929" s="91"/>
      <c r="E929" s="28"/>
      <c r="F929" s="283"/>
      <c r="G929" s="284"/>
      <c r="H929" s="283"/>
      <c r="I929" s="285"/>
      <c r="K929" s="285"/>
      <c r="L929" s="262"/>
    </row>
    <row r="930">
      <c r="A930" s="91"/>
      <c r="B930" s="91"/>
      <c r="C930" s="91"/>
      <c r="E930" s="28"/>
      <c r="F930" s="283"/>
      <c r="G930" s="284"/>
      <c r="H930" s="283"/>
      <c r="I930" s="285"/>
      <c r="K930" s="285"/>
      <c r="L930" s="262"/>
    </row>
    <row r="931">
      <c r="A931" s="91"/>
      <c r="B931" s="91"/>
      <c r="C931" s="91"/>
      <c r="E931" s="28"/>
      <c r="F931" s="283"/>
      <c r="G931" s="284"/>
      <c r="H931" s="283"/>
      <c r="I931" s="285"/>
      <c r="K931" s="285"/>
      <c r="L931" s="262"/>
    </row>
    <row r="932">
      <c r="A932" s="91"/>
      <c r="B932" s="91"/>
      <c r="C932" s="91"/>
      <c r="E932" s="28"/>
      <c r="F932" s="283"/>
      <c r="G932" s="284"/>
      <c r="H932" s="283"/>
      <c r="I932" s="285"/>
      <c r="K932" s="285"/>
      <c r="L932" s="262"/>
    </row>
    <row r="933">
      <c r="A933" s="91"/>
      <c r="B933" s="91"/>
      <c r="C933" s="91"/>
      <c r="E933" s="28"/>
      <c r="F933" s="283"/>
      <c r="G933" s="284"/>
      <c r="H933" s="283"/>
      <c r="I933" s="285"/>
      <c r="K933" s="285"/>
      <c r="L933" s="262"/>
    </row>
    <row r="934">
      <c r="A934" s="91"/>
      <c r="B934" s="91"/>
      <c r="C934" s="91"/>
      <c r="E934" s="28"/>
      <c r="F934" s="283"/>
      <c r="G934" s="284"/>
      <c r="H934" s="283"/>
      <c r="I934" s="285"/>
      <c r="K934" s="285"/>
      <c r="L934" s="262"/>
    </row>
    <row r="935">
      <c r="A935" s="91"/>
      <c r="B935" s="91"/>
      <c r="C935" s="91"/>
      <c r="E935" s="28"/>
      <c r="F935" s="283"/>
      <c r="G935" s="284"/>
      <c r="H935" s="283"/>
      <c r="I935" s="285"/>
      <c r="K935" s="285"/>
      <c r="L935" s="262"/>
    </row>
    <row r="936">
      <c r="A936" s="91"/>
      <c r="B936" s="91"/>
      <c r="C936" s="91"/>
      <c r="E936" s="28"/>
      <c r="F936" s="283"/>
      <c r="G936" s="284"/>
      <c r="H936" s="283"/>
      <c r="I936" s="285"/>
      <c r="K936" s="285"/>
      <c r="L936" s="262"/>
    </row>
    <row r="937">
      <c r="A937" s="91"/>
      <c r="B937" s="91"/>
      <c r="C937" s="91"/>
      <c r="E937" s="28"/>
      <c r="F937" s="283"/>
      <c r="G937" s="284"/>
      <c r="H937" s="283"/>
      <c r="I937" s="285"/>
      <c r="K937" s="285"/>
      <c r="L937" s="262"/>
    </row>
    <row r="938">
      <c r="A938" s="91"/>
      <c r="B938" s="91"/>
      <c r="C938" s="91"/>
      <c r="E938" s="28"/>
      <c r="F938" s="283"/>
      <c r="G938" s="284"/>
      <c r="H938" s="283"/>
      <c r="I938" s="285"/>
      <c r="K938" s="285"/>
      <c r="L938" s="262"/>
    </row>
    <row r="939">
      <c r="A939" s="91"/>
      <c r="B939" s="91"/>
      <c r="C939" s="91"/>
      <c r="E939" s="28"/>
      <c r="F939" s="283"/>
      <c r="G939" s="284"/>
      <c r="H939" s="283"/>
      <c r="I939" s="285"/>
      <c r="K939" s="285"/>
      <c r="L939" s="262"/>
    </row>
    <row r="940">
      <c r="A940" s="91"/>
      <c r="B940" s="91"/>
      <c r="C940" s="91"/>
      <c r="E940" s="28"/>
      <c r="F940" s="283"/>
      <c r="G940" s="284"/>
      <c r="H940" s="283"/>
      <c r="I940" s="285"/>
      <c r="K940" s="285"/>
      <c r="L940" s="262"/>
    </row>
    <row r="941">
      <c r="A941" s="91"/>
      <c r="B941" s="91"/>
      <c r="C941" s="91"/>
      <c r="E941" s="28"/>
      <c r="F941" s="283"/>
      <c r="G941" s="284"/>
      <c r="H941" s="283"/>
      <c r="I941" s="285"/>
      <c r="K941" s="285"/>
      <c r="L941" s="262"/>
    </row>
    <row r="942">
      <c r="A942" s="91"/>
      <c r="B942" s="91"/>
      <c r="C942" s="91"/>
      <c r="E942" s="28"/>
      <c r="F942" s="283"/>
      <c r="G942" s="284"/>
      <c r="H942" s="283"/>
      <c r="I942" s="285"/>
      <c r="K942" s="285"/>
      <c r="L942" s="262"/>
    </row>
    <row r="943">
      <c r="A943" s="91"/>
      <c r="B943" s="91"/>
      <c r="C943" s="91"/>
      <c r="E943" s="28"/>
      <c r="F943" s="283"/>
      <c r="G943" s="284"/>
      <c r="H943" s="283"/>
      <c r="I943" s="285"/>
      <c r="K943" s="285"/>
      <c r="L943" s="262"/>
    </row>
    <row r="944">
      <c r="A944" s="91"/>
      <c r="B944" s="91"/>
      <c r="C944" s="91"/>
      <c r="E944" s="28"/>
      <c r="F944" s="283"/>
      <c r="G944" s="284"/>
      <c r="H944" s="283"/>
      <c r="I944" s="285"/>
      <c r="K944" s="285"/>
      <c r="L944" s="262"/>
    </row>
    <row r="945">
      <c r="A945" s="91"/>
      <c r="B945" s="91"/>
      <c r="C945" s="91"/>
      <c r="E945" s="28"/>
      <c r="F945" s="283"/>
      <c r="G945" s="284"/>
      <c r="H945" s="283"/>
      <c r="I945" s="285"/>
      <c r="K945" s="285"/>
      <c r="L945" s="262"/>
    </row>
    <row r="946">
      <c r="A946" s="91"/>
      <c r="B946" s="91"/>
      <c r="C946" s="91"/>
      <c r="E946" s="28"/>
      <c r="F946" s="283"/>
      <c r="G946" s="284"/>
      <c r="H946" s="283"/>
      <c r="I946" s="285"/>
      <c r="K946" s="285"/>
      <c r="L946" s="262"/>
    </row>
    <row r="947">
      <c r="A947" s="91"/>
      <c r="B947" s="91"/>
      <c r="C947" s="91"/>
      <c r="E947" s="28"/>
      <c r="F947" s="283"/>
      <c r="G947" s="284"/>
      <c r="H947" s="283"/>
      <c r="I947" s="285"/>
      <c r="K947" s="285"/>
      <c r="L947" s="262"/>
    </row>
    <row r="948">
      <c r="A948" s="91"/>
      <c r="B948" s="91"/>
      <c r="C948" s="91"/>
      <c r="E948" s="28"/>
      <c r="F948" s="283"/>
      <c r="G948" s="284"/>
      <c r="H948" s="283"/>
      <c r="I948" s="285"/>
      <c r="K948" s="285"/>
      <c r="L948" s="262"/>
    </row>
    <row r="949">
      <c r="A949" s="91"/>
      <c r="B949" s="91"/>
      <c r="C949" s="91"/>
      <c r="E949" s="28"/>
      <c r="F949" s="283"/>
      <c r="G949" s="284"/>
      <c r="H949" s="283"/>
      <c r="I949" s="285"/>
      <c r="K949" s="285"/>
      <c r="L949" s="262"/>
    </row>
    <row r="950">
      <c r="A950" s="91"/>
      <c r="B950" s="91"/>
      <c r="C950" s="91"/>
      <c r="E950" s="28"/>
      <c r="F950" s="283"/>
      <c r="G950" s="284"/>
      <c r="H950" s="283"/>
      <c r="I950" s="285"/>
      <c r="K950" s="285"/>
      <c r="L950" s="262"/>
    </row>
    <row r="951">
      <c r="A951" s="91"/>
      <c r="B951" s="91"/>
      <c r="C951" s="91"/>
      <c r="E951" s="28"/>
      <c r="F951" s="283"/>
      <c r="G951" s="284"/>
      <c r="H951" s="283"/>
      <c r="I951" s="285"/>
      <c r="K951" s="285"/>
      <c r="L951" s="262"/>
    </row>
    <row r="952">
      <c r="A952" s="91"/>
      <c r="B952" s="91"/>
      <c r="C952" s="91"/>
      <c r="E952" s="28"/>
      <c r="F952" s="283"/>
      <c r="G952" s="284"/>
      <c r="H952" s="283"/>
      <c r="I952" s="285"/>
      <c r="K952" s="285"/>
      <c r="L952" s="262"/>
    </row>
    <row r="953">
      <c r="A953" s="91"/>
      <c r="B953" s="91"/>
      <c r="C953" s="91"/>
      <c r="E953" s="28"/>
      <c r="F953" s="283"/>
      <c r="G953" s="284"/>
      <c r="H953" s="283"/>
      <c r="I953" s="285"/>
      <c r="K953" s="285"/>
      <c r="L953" s="262"/>
    </row>
    <row r="954">
      <c r="A954" s="91"/>
      <c r="B954" s="91"/>
      <c r="C954" s="91"/>
      <c r="E954" s="28"/>
      <c r="F954" s="283"/>
      <c r="G954" s="284"/>
      <c r="H954" s="283"/>
      <c r="I954" s="285"/>
      <c r="K954" s="285"/>
      <c r="L954" s="262"/>
    </row>
    <row r="955">
      <c r="A955" s="91"/>
      <c r="B955" s="91"/>
      <c r="C955" s="91"/>
      <c r="E955" s="28"/>
      <c r="F955" s="283"/>
      <c r="G955" s="284"/>
      <c r="H955" s="283"/>
      <c r="I955" s="285"/>
      <c r="K955" s="285"/>
      <c r="L955" s="262"/>
    </row>
    <row r="956">
      <c r="A956" s="91"/>
      <c r="B956" s="91"/>
      <c r="C956" s="91"/>
      <c r="E956" s="28"/>
      <c r="F956" s="283"/>
      <c r="G956" s="284"/>
      <c r="H956" s="283"/>
      <c r="I956" s="285"/>
      <c r="K956" s="285"/>
      <c r="L956" s="262"/>
    </row>
    <row r="957">
      <c r="A957" s="91"/>
      <c r="B957" s="91"/>
      <c r="C957" s="91"/>
      <c r="E957" s="28"/>
      <c r="F957" s="283"/>
      <c r="G957" s="284"/>
      <c r="H957" s="283"/>
      <c r="I957" s="285"/>
      <c r="K957" s="285"/>
      <c r="L957" s="262"/>
    </row>
    <row r="958">
      <c r="A958" s="91"/>
      <c r="B958" s="91"/>
      <c r="C958" s="91"/>
      <c r="E958" s="28"/>
      <c r="F958" s="283"/>
      <c r="G958" s="284"/>
      <c r="H958" s="283"/>
      <c r="I958" s="285"/>
      <c r="K958" s="285"/>
      <c r="L958" s="262"/>
    </row>
    <row r="959">
      <c r="A959" s="91"/>
      <c r="B959" s="91"/>
      <c r="C959" s="91"/>
      <c r="E959" s="28"/>
      <c r="F959" s="283"/>
      <c r="G959" s="284"/>
      <c r="H959" s="283"/>
      <c r="I959" s="285"/>
      <c r="K959" s="285"/>
      <c r="L959" s="262"/>
    </row>
    <row r="960">
      <c r="A960" s="91"/>
      <c r="B960" s="91"/>
      <c r="C960" s="91"/>
      <c r="E960" s="28"/>
      <c r="F960" s="283"/>
      <c r="G960" s="284"/>
      <c r="H960" s="283"/>
      <c r="I960" s="285"/>
      <c r="K960" s="285"/>
      <c r="L960" s="262"/>
    </row>
    <row r="961">
      <c r="A961" s="91"/>
      <c r="B961" s="91"/>
      <c r="C961" s="91"/>
      <c r="E961" s="28"/>
      <c r="F961" s="283"/>
      <c r="G961" s="284"/>
      <c r="H961" s="283"/>
      <c r="I961" s="285"/>
      <c r="K961" s="285"/>
      <c r="L961" s="262"/>
    </row>
    <row r="962">
      <c r="A962" s="91"/>
      <c r="B962" s="91"/>
      <c r="C962" s="91"/>
      <c r="E962" s="28"/>
      <c r="F962" s="283"/>
      <c r="G962" s="284"/>
      <c r="H962" s="283"/>
      <c r="I962" s="285"/>
      <c r="K962" s="285"/>
      <c r="L962" s="262"/>
    </row>
    <row r="963">
      <c r="A963" s="91"/>
      <c r="B963" s="91"/>
      <c r="C963" s="91"/>
      <c r="E963" s="28"/>
      <c r="F963" s="283"/>
      <c r="G963" s="284"/>
      <c r="H963" s="283"/>
      <c r="I963" s="285"/>
      <c r="K963" s="285"/>
      <c r="L963" s="262"/>
    </row>
    <row r="964">
      <c r="A964" s="91"/>
      <c r="B964" s="91"/>
      <c r="C964" s="91"/>
      <c r="E964" s="28"/>
      <c r="F964" s="283"/>
      <c r="G964" s="284"/>
      <c r="H964" s="283"/>
      <c r="I964" s="285"/>
      <c r="K964" s="285"/>
      <c r="L964" s="262"/>
    </row>
    <row r="965">
      <c r="A965" s="91"/>
      <c r="B965" s="91"/>
      <c r="C965" s="91"/>
      <c r="E965" s="28"/>
      <c r="F965" s="283"/>
      <c r="G965" s="284"/>
      <c r="H965" s="283"/>
      <c r="I965" s="285"/>
      <c r="K965" s="285"/>
      <c r="L965" s="262"/>
    </row>
    <row r="966">
      <c r="A966" s="91"/>
      <c r="B966" s="91"/>
      <c r="C966" s="91"/>
      <c r="E966" s="28"/>
      <c r="F966" s="283"/>
      <c r="G966" s="284"/>
      <c r="H966" s="283"/>
      <c r="I966" s="285"/>
      <c r="K966" s="285"/>
      <c r="L966" s="262"/>
    </row>
    <row r="967">
      <c r="A967" s="91"/>
      <c r="B967" s="91"/>
      <c r="C967" s="91"/>
      <c r="E967" s="28"/>
      <c r="F967" s="283"/>
      <c r="G967" s="284"/>
      <c r="H967" s="283"/>
      <c r="I967" s="285"/>
      <c r="K967" s="285"/>
      <c r="L967" s="262"/>
    </row>
    <row r="968">
      <c r="A968" s="91"/>
      <c r="B968" s="91"/>
      <c r="C968" s="91"/>
      <c r="E968" s="28"/>
      <c r="F968" s="283"/>
      <c r="G968" s="284"/>
      <c r="H968" s="283"/>
      <c r="I968" s="285"/>
      <c r="K968" s="285"/>
      <c r="L968" s="262"/>
    </row>
    <row r="969">
      <c r="A969" s="91"/>
      <c r="B969" s="91"/>
      <c r="C969" s="91"/>
      <c r="E969" s="28"/>
      <c r="F969" s="283"/>
      <c r="G969" s="284"/>
      <c r="H969" s="283"/>
      <c r="I969" s="285"/>
      <c r="K969" s="285"/>
      <c r="L969" s="262"/>
    </row>
    <row r="970">
      <c r="A970" s="91"/>
      <c r="B970" s="91"/>
      <c r="C970" s="91"/>
      <c r="E970" s="28"/>
      <c r="F970" s="283"/>
      <c r="G970" s="284"/>
      <c r="H970" s="283"/>
      <c r="I970" s="285"/>
      <c r="K970" s="285"/>
      <c r="L970" s="262"/>
    </row>
    <row r="971">
      <c r="A971" s="91"/>
      <c r="B971" s="91"/>
      <c r="C971" s="91"/>
      <c r="E971" s="28"/>
      <c r="F971" s="283"/>
      <c r="G971" s="284"/>
      <c r="H971" s="283"/>
      <c r="I971" s="285"/>
      <c r="K971" s="285"/>
      <c r="L971" s="262"/>
    </row>
    <row r="972">
      <c r="A972" s="91"/>
      <c r="B972" s="91"/>
      <c r="C972" s="91"/>
      <c r="E972" s="28"/>
      <c r="F972" s="283"/>
      <c r="G972" s="284"/>
      <c r="H972" s="283"/>
      <c r="I972" s="285"/>
      <c r="K972" s="285"/>
      <c r="L972" s="262"/>
    </row>
    <row r="973">
      <c r="A973" s="91"/>
      <c r="B973" s="91"/>
      <c r="C973" s="91"/>
      <c r="E973" s="28"/>
      <c r="F973" s="283"/>
      <c r="G973" s="284"/>
      <c r="H973" s="283"/>
      <c r="I973" s="285"/>
      <c r="K973" s="285"/>
      <c r="L973" s="262"/>
    </row>
    <row r="974">
      <c r="A974" s="91"/>
      <c r="B974" s="91"/>
      <c r="C974" s="91"/>
      <c r="E974" s="28"/>
      <c r="F974" s="283"/>
      <c r="G974" s="284"/>
      <c r="H974" s="283"/>
      <c r="I974" s="285"/>
      <c r="K974" s="285"/>
      <c r="L974" s="262"/>
    </row>
    <row r="975">
      <c r="A975" s="91"/>
      <c r="B975" s="91"/>
      <c r="C975" s="91"/>
      <c r="E975" s="28"/>
      <c r="F975" s="283"/>
      <c r="G975" s="284"/>
      <c r="H975" s="283"/>
      <c r="I975" s="285"/>
      <c r="K975" s="285"/>
      <c r="L975" s="262"/>
    </row>
    <row r="976">
      <c r="A976" s="91"/>
      <c r="B976" s="91"/>
      <c r="C976" s="91"/>
      <c r="E976" s="28"/>
      <c r="F976" s="283"/>
      <c r="G976" s="284"/>
      <c r="H976" s="283"/>
      <c r="I976" s="285"/>
      <c r="K976" s="285"/>
      <c r="L976" s="262"/>
    </row>
    <row r="977">
      <c r="A977" s="91"/>
      <c r="B977" s="91"/>
      <c r="C977" s="91"/>
      <c r="E977" s="28"/>
      <c r="F977" s="283"/>
      <c r="G977" s="284"/>
      <c r="H977" s="283"/>
      <c r="I977" s="285"/>
      <c r="K977" s="285"/>
      <c r="L977" s="262"/>
    </row>
    <row r="978">
      <c r="A978" s="91"/>
      <c r="B978" s="91"/>
      <c r="C978" s="91"/>
      <c r="E978" s="28"/>
      <c r="F978" s="283"/>
      <c r="G978" s="284"/>
      <c r="H978" s="283"/>
      <c r="I978" s="285"/>
      <c r="K978" s="285"/>
      <c r="L978" s="262"/>
    </row>
    <row r="979">
      <c r="A979" s="91"/>
      <c r="B979" s="91"/>
      <c r="C979" s="91"/>
      <c r="E979" s="28"/>
      <c r="F979" s="283"/>
      <c r="G979" s="284"/>
      <c r="H979" s="283"/>
      <c r="I979" s="285"/>
      <c r="K979" s="285"/>
      <c r="L979" s="262"/>
    </row>
    <row r="980">
      <c r="A980" s="91"/>
      <c r="B980" s="91"/>
      <c r="C980" s="91"/>
      <c r="E980" s="28"/>
      <c r="F980" s="283"/>
      <c r="G980" s="284"/>
      <c r="H980" s="283"/>
      <c r="I980" s="285"/>
      <c r="K980" s="285"/>
      <c r="L980" s="262"/>
    </row>
    <row r="981">
      <c r="A981" s="91"/>
      <c r="B981" s="91"/>
      <c r="C981" s="91"/>
      <c r="E981" s="28"/>
      <c r="F981" s="283"/>
      <c r="G981" s="284"/>
      <c r="H981" s="283"/>
      <c r="I981" s="285"/>
      <c r="K981" s="285"/>
      <c r="L981" s="262"/>
    </row>
    <row r="982">
      <c r="A982" s="91"/>
      <c r="B982" s="91"/>
      <c r="C982" s="91"/>
      <c r="E982" s="28"/>
      <c r="F982" s="283"/>
      <c r="G982" s="284"/>
      <c r="H982" s="283"/>
      <c r="I982" s="285"/>
      <c r="K982" s="285"/>
      <c r="L982" s="262"/>
    </row>
    <row r="983">
      <c r="A983" s="91"/>
      <c r="B983" s="91"/>
      <c r="C983" s="91"/>
      <c r="E983" s="28"/>
      <c r="F983" s="283"/>
      <c r="G983" s="284"/>
      <c r="H983" s="283"/>
      <c r="I983" s="285"/>
      <c r="K983" s="285"/>
      <c r="L983" s="262"/>
    </row>
    <row r="984">
      <c r="A984" s="91"/>
      <c r="B984" s="91"/>
      <c r="C984" s="91"/>
      <c r="E984" s="28"/>
      <c r="F984" s="283"/>
      <c r="G984" s="284"/>
      <c r="H984" s="283"/>
      <c r="I984" s="285"/>
      <c r="K984" s="285"/>
      <c r="L984" s="262"/>
    </row>
    <row r="985">
      <c r="A985" s="91"/>
      <c r="B985" s="91"/>
      <c r="C985" s="91"/>
      <c r="E985" s="28"/>
      <c r="F985" s="283"/>
      <c r="G985" s="284"/>
      <c r="H985" s="283"/>
      <c r="I985" s="285"/>
      <c r="K985" s="285"/>
      <c r="L985" s="262"/>
    </row>
    <row r="986">
      <c r="A986" s="91"/>
      <c r="B986" s="91"/>
      <c r="C986" s="91"/>
      <c r="E986" s="28"/>
      <c r="F986" s="283"/>
      <c r="G986" s="284"/>
      <c r="H986" s="283"/>
      <c r="I986" s="285"/>
      <c r="K986" s="285"/>
      <c r="L986" s="262"/>
    </row>
    <row r="987">
      <c r="A987" s="91"/>
      <c r="B987" s="91"/>
      <c r="C987" s="91"/>
      <c r="E987" s="28"/>
      <c r="F987" s="283"/>
      <c r="G987" s="284"/>
      <c r="H987" s="283"/>
      <c r="I987" s="285"/>
      <c r="K987" s="285"/>
      <c r="L987" s="262"/>
    </row>
    <row r="988">
      <c r="A988" s="91"/>
      <c r="B988" s="91"/>
      <c r="C988" s="91"/>
      <c r="E988" s="28"/>
      <c r="F988" s="283"/>
      <c r="G988" s="284"/>
      <c r="H988" s="283"/>
      <c r="I988" s="285"/>
      <c r="K988" s="285"/>
      <c r="L988" s="262"/>
    </row>
    <row r="989">
      <c r="A989" s="91"/>
      <c r="B989" s="91"/>
      <c r="C989" s="91"/>
      <c r="E989" s="28"/>
      <c r="F989" s="283"/>
      <c r="G989" s="284"/>
      <c r="H989" s="283"/>
      <c r="I989" s="285"/>
      <c r="K989" s="285"/>
      <c r="L989" s="262"/>
    </row>
    <row r="990">
      <c r="A990" s="91"/>
      <c r="B990" s="91"/>
      <c r="C990" s="91"/>
      <c r="E990" s="28"/>
      <c r="F990" s="283"/>
      <c r="G990" s="284"/>
      <c r="H990" s="283"/>
      <c r="I990" s="285"/>
      <c r="K990" s="285"/>
      <c r="L990" s="262"/>
    </row>
    <row r="991">
      <c r="A991" s="91"/>
      <c r="B991" s="91"/>
      <c r="C991" s="91"/>
      <c r="E991" s="28"/>
      <c r="F991" s="283"/>
      <c r="G991" s="284"/>
      <c r="H991" s="283"/>
      <c r="I991" s="285"/>
      <c r="K991" s="285"/>
      <c r="L991" s="262"/>
    </row>
    <row r="992">
      <c r="A992" s="91"/>
      <c r="B992" s="91"/>
      <c r="C992" s="91"/>
      <c r="E992" s="28"/>
      <c r="F992" s="283"/>
      <c r="G992" s="284"/>
      <c r="H992" s="283"/>
      <c r="I992" s="285"/>
      <c r="K992" s="285"/>
      <c r="L992" s="262"/>
    </row>
    <row r="993">
      <c r="A993" s="91"/>
      <c r="B993" s="91"/>
      <c r="C993" s="91"/>
      <c r="E993" s="28"/>
      <c r="F993" s="283"/>
      <c r="G993" s="284"/>
      <c r="H993" s="283"/>
      <c r="I993" s="285"/>
      <c r="K993" s="285"/>
      <c r="L993" s="262"/>
    </row>
    <row r="994">
      <c r="A994" s="91"/>
      <c r="B994" s="91"/>
      <c r="C994" s="91"/>
      <c r="E994" s="28"/>
      <c r="F994" s="283"/>
      <c r="G994" s="284"/>
      <c r="H994" s="283"/>
      <c r="I994" s="285"/>
      <c r="K994" s="285"/>
      <c r="L994" s="262"/>
    </row>
    <row r="995">
      <c r="A995" s="91"/>
      <c r="B995" s="91"/>
      <c r="C995" s="91"/>
      <c r="E995" s="28"/>
      <c r="F995" s="283"/>
      <c r="G995" s="284"/>
      <c r="H995" s="283"/>
      <c r="I995" s="285"/>
      <c r="K995" s="285"/>
      <c r="L995" s="262"/>
    </row>
    <row r="996">
      <c r="A996" s="91"/>
      <c r="B996" s="91"/>
      <c r="C996" s="91"/>
      <c r="E996" s="28"/>
      <c r="F996" s="283"/>
      <c r="G996" s="284"/>
      <c r="H996" s="283"/>
      <c r="I996" s="285"/>
      <c r="K996" s="285"/>
      <c r="L996" s="262"/>
    </row>
    <row r="997">
      <c r="A997" s="91"/>
      <c r="B997" s="91"/>
      <c r="C997" s="91"/>
      <c r="E997" s="28"/>
      <c r="F997" s="283"/>
      <c r="G997" s="284"/>
      <c r="H997" s="283"/>
      <c r="I997" s="285"/>
      <c r="K997" s="285"/>
      <c r="L997" s="262"/>
    </row>
    <row r="998">
      <c r="A998" s="91"/>
      <c r="B998" s="91"/>
      <c r="C998" s="91"/>
      <c r="E998" s="28"/>
      <c r="F998" s="283"/>
      <c r="G998" s="284"/>
      <c r="H998" s="283"/>
      <c r="I998" s="285"/>
      <c r="K998" s="285"/>
      <c r="L998" s="262"/>
    </row>
    <row r="999">
      <c r="A999" s="91"/>
      <c r="B999" s="91"/>
      <c r="C999" s="91"/>
      <c r="E999" s="28"/>
      <c r="F999" s="283"/>
      <c r="G999" s="284"/>
      <c r="H999" s="283"/>
      <c r="I999" s="285"/>
      <c r="K999" s="285"/>
      <c r="L999" s="262"/>
    </row>
    <row r="1000">
      <c r="A1000" s="91"/>
      <c r="B1000" s="91"/>
      <c r="C1000" s="91"/>
      <c r="E1000" s="28"/>
      <c r="F1000" s="283"/>
      <c r="G1000" s="284"/>
      <c r="H1000" s="283"/>
      <c r="I1000" s="285"/>
      <c r="K1000" s="285"/>
      <c r="L1000" s="262"/>
    </row>
    <row r="1001">
      <c r="A1001" s="91"/>
      <c r="B1001" s="91"/>
      <c r="C1001" s="91"/>
      <c r="E1001" s="28"/>
      <c r="F1001" s="283"/>
      <c r="G1001" s="284"/>
      <c r="H1001" s="283"/>
      <c r="I1001" s="285"/>
      <c r="K1001" s="285"/>
      <c r="L1001" s="262"/>
    </row>
    <row r="1002">
      <c r="A1002" s="91"/>
      <c r="B1002" s="91"/>
      <c r="C1002" s="91"/>
      <c r="E1002" s="28"/>
      <c r="F1002" s="283"/>
      <c r="G1002" s="284"/>
      <c r="H1002" s="283"/>
      <c r="I1002" s="285"/>
      <c r="K1002" s="285"/>
      <c r="L1002" s="262"/>
    </row>
    <row r="1003">
      <c r="A1003" s="91"/>
      <c r="B1003" s="91"/>
      <c r="C1003" s="91"/>
      <c r="E1003" s="28"/>
      <c r="F1003" s="283"/>
      <c r="G1003" s="284"/>
      <c r="H1003" s="283"/>
      <c r="I1003" s="285"/>
      <c r="K1003" s="285"/>
      <c r="L1003" s="262"/>
    </row>
    <row r="1004">
      <c r="A1004" s="91"/>
      <c r="B1004" s="91"/>
      <c r="C1004" s="91"/>
      <c r="E1004" s="28"/>
      <c r="F1004" s="283"/>
      <c r="G1004" s="284"/>
      <c r="H1004" s="283"/>
      <c r="I1004" s="285"/>
      <c r="K1004" s="285"/>
      <c r="L1004" s="262"/>
    </row>
    <row r="1005">
      <c r="A1005" s="91"/>
      <c r="B1005" s="91"/>
      <c r="C1005" s="91"/>
      <c r="E1005" s="28"/>
      <c r="F1005" s="283"/>
      <c r="G1005" s="284"/>
      <c r="H1005" s="283"/>
      <c r="I1005" s="285"/>
      <c r="K1005" s="285"/>
      <c r="L1005" s="262"/>
    </row>
    <row r="1006">
      <c r="A1006" s="91"/>
      <c r="B1006" s="91"/>
      <c r="C1006" s="91"/>
      <c r="E1006" s="28"/>
      <c r="F1006" s="283"/>
      <c r="G1006" s="284"/>
      <c r="H1006" s="283"/>
      <c r="I1006" s="285"/>
      <c r="K1006" s="285"/>
      <c r="L1006" s="262"/>
    </row>
    <row r="1007">
      <c r="A1007" s="91"/>
      <c r="B1007" s="91"/>
      <c r="C1007" s="91"/>
      <c r="E1007" s="28"/>
      <c r="F1007" s="283"/>
      <c r="G1007" s="284"/>
      <c r="H1007" s="283"/>
      <c r="I1007" s="285"/>
      <c r="K1007" s="285"/>
      <c r="L1007" s="262"/>
    </row>
    <row r="1008">
      <c r="A1008" s="91"/>
      <c r="B1008" s="91"/>
      <c r="C1008" s="91"/>
      <c r="E1008" s="28"/>
      <c r="F1008" s="283"/>
      <c r="G1008" s="284"/>
      <c r="H1008" s="283"/>
      <c r="I1008" s="285"/>
      <c r="K1008" s="285"/>
      <c r="L1008" s="262"/>
    </row>
    <row r="1009">
      <c r="A1009" s="91"/>
      <c r="B1009" s="91"/>
      <c r="C1009" s="91"/>
      <c r="E1009" s="28"/>
      <c r="F1009" s="283"/>
      <c r="G1009" s="284"/>
      <c r="H1009" s="283"/>
      <c r="I1009" s="285"/>
      <c r="K1009" s="285"/>
      <c r="L1009" s="262"/>
    </row>
    <row r="1010">
      <c r="A1010" s="91"/>
      <c r="B1010" s="91"/>
      <c r="C1010" s="91"/>
      <c r="E1010" s="28"/>
      <c r="F1010" s="283"/>
      <c r="G1010" s="284"/>
      <c r="H1010" s="283"/>
      <c r="I1010" s="285"/>
      <c r="K1010" s="285"/>
      <c r="L1010" s="262"/>
    </row>
    <row r="1011">
      <c r="A1011" s="91"/>
      <c r="B1011" s="91"/>
      <c r="C1011" s="91"/>
      <c r="E1011" s="28"/>
      <c r="F1011" s="283"/>
      <c r="G1011" s="284"/>
      <c r="H1011" s="283"/>
      <c r="I1011" s="285"/>
      <c r="K1011" s="285"/>
      <c r="L1011" s="262"/>
    </row>
    <row r="1012">
      <c r="A1012" s="91"/>
      <c r="B1012" s="91"/>
      <c r="C1012" s="91"/>
      <c r="E1012" s="28"/>
      <c r="F1012" s="283"/>
      <c r="G1012" s="284"/>
      <c r="H1012" s="283"/>
      <c r="I1012" s="285"/>
      <c r="K1012" s="285"/>
      <c r="L1012" s="262"/>
    </row>
    <row r="1013">
      <c r="A1013" s="91"/>
      <c r="B1013" s="91"/>
      <c r="C1013" s="91"/>
      <c r="E1013" s="28"/>
      <c r="F1013" s="283"/>
      <c r="G1013" s="284"/>
      <c r="H1013" s="283"/>
      <c r="I1013" s="285"/>
      <c r="K1013" s="285"/>
      <c r="L1013" s="262"/>
    </row>
    <row r="1014">
      <c r="A1014" s="91"/>
      <c r="B1014" s="91"/>
      <c r="C1014" s="91"/>
      <c r="E1014" s="28"/>
      <c r="F1014" s="283"/>
      <c r="G1014" s="284"/>
      <c r="H1014" s="283"/>
      <c r="I1014" s="285"/>
      <c r="K1014" s="285"/>
      <c r="L1014" s="262"/>
    </row>
    <row r="1015">
      <c r="A1015" s="91"/>
      <c r="B1015" s="91"/>
      <c r="C1015" s="91"/>
      <c r="E1015" s="28"/>
      <c r="F1015" s="283"/>
      <c r="G1015" s="284"/>
      <c r="H1015" s="283"/>
      <c r="I1015" s="285"/>
      <c r="K1015" s="285"/>
      <c r="L1015" s="262"/>
    </row>
    <row r="1016">
      <c r="A1016" s="91"/>
      <c r="B1016" s="91"/>
      <c r="C1016" s="91"/>
      <c r="E1016" s="28"/>
      <c r="F1016" s="283"/>
      <c r="G1016" s="284"/>
      <c r="H1016" s="283"/>
      <c r="I1016" s="285"/>
      <c r="K1016" s="285"/>
      <c r="L1016" s="262"/>
    </row>
    <row r="1017">
      <c r="A1017" s="91"/>
      <c r="B1017" s="91"/>
      <c r="C1017" s="91"/>
      <c r="E1017" s="28"/>
      <c r="F1017" s="283"/>
      <c r="G1017" s="284"/>
      <c r="H1017" s="283"/>
      <c r="I1017" s="285"/>
      <c r="K1017" s="285"/>
      <c r="L1017" s="262"/>
    </row>
    <row r="1018">
      <c r="A1018" s="91"/>
      <c r="B1018" s="91"/>
      <c r="C1018" s="91"/>
      <c r="E1018" s="28"/>
      <c r="F1018" s="283"/>
      <c r="G1018" s="284"/>
      <c r="H1018" s="283"/>
      <c r="I1018" s="285"/>
      <c r="K1018" s="285"/>
      <c r="L1018" s="262"/>
    </row>
    <row r="1019">
      <c r="A1019" s="91"/>
      <c r="B1019" s="91"/>
      <c r="C1019" s="91"/>
      <c r="E1019" s="28"/>
      <c r="F1019" s="283"/>
      <c r="G1019" s="284"/>
      <c r="H1019" s="283"/>
      <c r="I1019" s="285"/>
      <c r="K1019" s="285"/>
      <c r="L1019" s="262"/>
    </row>
    <row r="1020">
      <c r="A1020" s="91"/>
      <c r="B1020" s="91"/>
      <c r="C1020" s="91"/>
      <c r="E1020" s="28"/>
      <c r="F1020" s="283"/>
      <c r="G1020" s="284"/>
      <c r="H1020" s="283"/>
      <c r="I1020" s="285"/>
      <c r="K1020" s="285"/>
      <c r="L1020" s="262"/>
    </row>
    <row r="1021">
      <c r="A1021" s="91"/>
      <c r="B1021" s="91"/>
      <c r="C1021" s="91"/>
      <c r="E1021" s="28"/>
      <c r="F1021" s="283"/>
      <c r="G1021" s="284"/>
      <c r="H1021" s="283"/>
      <c r="I1021" s="285"/>
      <c r="K1021" s="285"/>
      <c r="L1021" s="262"/>
    </row>
    <row r="1022">
      <c r="A1022" s="91"/>
      <c r="B1022" s="91"/>
      <c r="C1022" s="91"/>
      <c r="E1022" s="28"/>
      <c r="F1022" s="283"/>
      <c r="G1022" s="284"/>
      <c r="H1022" s="283"/>
      <c r="I1022" s="285"/>
      <c r="K1022" s="285"/>
      <c r="L1022" s="262"/>
    </row>
    <row r="1023">
      <c r="A1023" s="91"/>
      <c r="B1023" s="91"/>
      <c r="C1023" s="91"/>
      <c r="E1023" s="28"/>
      <c r="F1023" s="283"/>
      <c r="G1023" s="284"/>
      <c r="H1023" s="283"/>
      <c r="I1023" s="285"/>
      <c r="K1023" s="285"/>
      <c r="L1023" s="262"/>
    </row>
    <row r="1024">
      <c r="A1024" s="91"/>
      <c r="B1024" s="91"/>
      <c r="C1024" s="91"/>
      <c r="E1024" s="28"/>
      <c r="F1024" s="283"/>
      <c r="G1024" s="284"/>
      <c r="H1024" s="283"/>
      <c r="I1024" s="285"/>
      <c r="K1024" s="285"/>
      <c r="L1024" s="262"/>
    </row>
    <row r="1025">
      <c r="A1025" s="91"/>
      <c r="B1025" s="91"/>
      <c r="C1025" s="91"/>
      <c r="E1025" s="28"/>
      <c r="F1025" s="283"/>
      <c r="G1025" s="284"/>
      <c r="H1025" s="283"/>
      <c r="I1025" s="285"/>
      <c r="K1025" s="285"/>
      <c r="L1025" s="262"/>
    </row>
    <row r="1026">
      <c r="A1026" s="91"/>
      <c r="B1026" s="91"/>
      <c r="C1026" s="91"/>
      <c r="E1026" s="28"/>
      <c r="F1026" s="283"/>
      <c r="G1026" s="284"/>
      <c r="H1026" s="283"/>
      <c r="I1026" s="285"/>
      <c r="K1026" s="285"/>
      <c r="L1026" s="262"/>
    </row>
    <row r="1027">
      <c r="A1027" s="91"/>
      <c r="B1027" s="91"/>
      <c r="C1027" s="91"/>
      <c r="E1027" s="28"/>
      <c r="F1027" s="283"/>
      <c r="G1027" s="284"/>
      <c r="H1027" s="283"/>
      <c r="I1027" s="285"/>
      <c r="K1027" s="285"/>
      <c r="L1027" s="262"/>
    </row>
    <row r="1028">
      <c r="A1028" s="91"/>
      <c r="B1028" s="91"/>
      <c r="C1028" s="91"/>
      <c r="E1028" s="28"/>
      <c r="F1028" s="283"/>
      <c r="G1028" s="284"/>
      <c r="H1028" s="283"/>
      <c r="I1028" s="285"/>
      <c r="K1028" s="285"/>
      <c r="L1028" s="262"/>
    </row>
    <row r="1029">
      <c r="A1029" s="91"/>
      <c r="B1029" s="91"/>
      <c r="C1029" s="91"/>
      <c r="E1029" s="28"/>
      <c r="F1029" s="283"/>
      <c r="G1029" s="284"/>
      <c r="H1029" s="283"/>
      <c r="I1029" s="285"/>
      <c r="K1029" s="285"/>
      <c r="L1029" s="262"/>
    </row>
    <row r="1030">
      <c r="A1030" s="91"/>
      <c r="B1030" s="91"/>
      <c r="C1030" s="91"/>
      <c r="E1030" s="28"/>
      <c r="F1030" s="283"/>
      <c r="G1030" s="284"/>
      <c r="H1030" s="283"/>
      <c r="I1030" s="285"/>
      <c r="K1030" s="285"/>
      <c r="L1030" s="262"/>
    </row>
    <row r="1031">
      <c r="A1031" s="91"/>
      <c r="B1031" s="91"/>
      <c r="C1031" s="91"/>
      <c r="E1031" s="28"/>
      <c r="F1031" s="283"/>
      <c r="G1031" s="284"/>
      <c r="H1031" s="283"/>
      <c r="I1031" s="285"/>
      <c r="K1031" s="285"/>
      <c r="L1031" s="262"/>
    </row>
    <row r="1032">
      <c r="A1032" s="91"/>
      <c r="B1032" s="91"/>
      <c r="C1032" s="91"/>
      <c r="E1032" s="28"/>
      <c r="F1032" s="283"/>
      <c r="G1032" s="284"/>
      <c r="H1032" s="283"/>
      <c r="I1032" s="285"/>
      <c r="K1032" s="285"/>
      <c r="L1032" s="262"/>
    </row>
    <row r="1033">
      <c r="A1033" s="91"/>
      <c r="B1033" s="91"/>
      <c r="C1033" s="91"/>
      <c r="E1033" s="28"/>
      <c r="F1033" s="283"/>
      <c r="G1033" s="284"/>
      <c r="H1033" s="283"/>
      <c r="I1033" s="285"/>
      <c r="K1033" s="285"/>
      <c r="L1033" s="262"/>
    </row>
    <row r="1034">
      <c r="A1034" s="91"/>
      <c r="B1034" s="91"/>
      <c r="C1034" s="91"/>
      <c r="E1034" s="28"/>
      <c r="F1034" s="283"/>
      <c r="G1034" s="284"/>
      <c r="H1034" s="283"/>
      <c r="I1034" s="285"/>
      <c r="K1034" s="285"/>
      <c r="L1034" s="262"/>
    </row>
    <row r="1035">
      <c r="A1035" s="91"/>
      <c r="B1035" s="91"/>
      <c r="C1035" s="91"/>
      <c r="E1035" s="28"/>
      <c r="F1035" s="283"/>
      <c r="G1035" s="284"/>
      <c r="H1035" s="283"/>
      <c r="I1035" s="285"/>
      <c r="K1035" s="285"/>
      <c r="L1035" s="262"/>
    </row>
    <row r="1036">
      <c r="A1036" s="91"/>
      <c r="B1036" s="91"/>
      <c r="C1036" s="91"/>
      <c r="E1036" s="28"/>
      <c r="F1036" s="283"/>
      <c r="G1036" s="284"/>
      <c r="H1036" s="283"/>
      <c r="I1036" s="285"/>
      <c r="K1036" s="285"/>
      <c r="L1036" s="262"/>
    </row>
    <row r="1037">
      <c r="A1037" s="91"/>
      <c r="B1037" s="91"/>
      <c r="C1037" s="91"/>
      <c r="E1037" s="28"/>
      <c r="F1037" s="283"/>
      <c r="G1037" s="284"/>
      <c r="H1037" s="283"/>
      <c r="I1037" s="285"/>
      <c r="K1037" s="285"/>
      <c r="L1037" s="262"/>
    </row>
    <row r="1038">
      <c r="A1038" s="91"/>
      <c r="B1038" s="91"/>
      <c r="C1038" s="91"/>
      <c r="E1038" s="28"/>
      <c r="F1038" s="283"/>
      <c r="G1038" s="284"/>
      <c r="H1038" s="283"/>
      <c r="I1038" s="285"/>
      <c r="K1038" s="285"/>
      <c r="L1038" s="262"/>
    </row>
    <row r="1039">
      <c r="A1039" s="91"/>
      <c r="B1039" s="91"/>
      <c r="C1039" s="91"/>
      <c r="E1039" s="28"/>
      <c r="F1039" s="283"/>
      <c r="G1039" s="284"/>
      <c r="H1039" s="283"/>
      <c r="I1039" s="285"/>
      <c r="K1039" s="285"/>
      <c r="L1039" s="262"/>
    </row>
    <row r="1040">
      <c r="A1040" s="91"/>
      <c r="B1040" s="91"/>
      <c r="C1040" s="91"/>
      <c r="E1040" s="28"/>
      <c r="F1040" s="283"/>
      <c r="G1040" s="284"/>
      <c r="H1040" s="283"/>
      <c r="I1040" s="285"/>
      <c r="K1040" s="285"/>
      <c r="L1040" s="262"/>
    </row>
    <row r="1041">
      <c r="A1041" s="91"/>
      <c r="B1041" s="91"/>
      <c r="C1041" s="91"/>
      <c r="E1041" s="28"/>
      <c r="F1041" s="283"/>
      <c r="G1041" s="284"/>
      <c r="H1041" s="283"/>
      <c r="I1041" s="285"/>
      <c r="K1041" s="285"/>
      <c r="L1041" s="262"/>
    </row>
    <row r="1042">
      <c r="A1042" s="91"/>
      <c r="B1042" s="91"/>
      <c r="C1042" s="91"/>
      <c r="E1042" s="28"/>
      <c r="F1042" s="283"/>
      <c r="G1042" s="284"/>
      <c r="H1042" s="283"/>
      <c r="I1042" s="285"/>
      <c r="K1042" s="285"/>
      <c r="L1042" s="262"/>
    </row>
    <row r="1043">
      <c r="A1043" s="91"/>
      <c r="B1043" s="91"/>
      <c r="C1043" s="91"/>
      <c r="E1043" s="28"/>
      <c r="F1043" s="283"/>
      <c r="G1043" s="284"/>
      <c r="H1043" s="283"/>
      <c r="I1043" s="285"/>
      <c r="K1043" s="285"/>
      <c r="L1043" s="262"/>
    </row>
    <row r="1044">
      <c r="A1044" s="91"/>
      <c r="B1044" s="91"/>
      <c r="C1044" s="91"/>
      <c r="E1044" s="28"/>
      <c r="F1044" s="283"/>
      <c r="G1044" s="284"/>
      <c r="H1044" s="283"/>
      <c r="I1044" s="285"/>
      <c r="K1044" s="285"/>
      <c r="L1044" s="262"/>
    </row>
    <row r="1045">
      <c r="A1045" s="91"/>
      <c r="B1045" s="91"/>
      <c r="C1045" s="91"/>
      <c r="E1045" s="28"/>
      <c r="F1045" s="283"/>
      <c r="G1045" s="284"/>
      <c r="H1045" s="283"/>
      <c r="I1045" s="285"/>
      <c r="K1045" s="285"/>
      <c r="L1045" s="262"/>
    </row>
    <row r="1046">
      <c r="A1046" s="91"/>
      <c r="B1046" s="91"/>
      <c r="C1046" s="91"/>
      <c r="E1046" s="28"/>
      <c r="F1046" s="283"/>
      <c r="G1046" s="284"/>
      <c r="H1046" s="283"/>
      <c r="I1046" s="285"/>
      <c r="K1046" s="285"/>
      <c r="L1046" s="262"/>
    </row>
    <row r="1047">
      <c r="A1047" s="91"/>
      <c r="B1047" s="91"/>
      <c r="C1047" s="91"/>
      <c r="E1047" s="28"/>
      <c r="F1047" s="283"/>
      <c r="G1047" s="284"/>
      <c r="H1047" s="283"/>
      <c r="I1047" s="285"/>
      <c r="K1047" s="285"/>
      <c r="L1047" s="262"/>
    </row>
    <row r="1048">
      <c r="A1048" s="91"/>
      <c r="B1048" s="91"/>
      <c r="C1048" s="91"/>
      <c r="E1048" s="28"/>
      <c r="F1048" s="283"/>
      <c r="G1048" s="284"/>
      <c r="H1048" s="283"/>
      <c r="I1048" s="285"/>
      <c r="K1048" s="285"/>
      <c r="L1048" s="262"/>
    </row>
    <row r="1049">
      <c r="A1049" s="91"/>
      <c r="B1049" s="91"/>
      <c r="C1049" s="91"/>
      <c r="E1049" s="28"/>
      <c r="F1049" s="283"/>
      <c r="G1049" s="284"/>
      <c r="H1049" s="283"/>
      <c r="I1049" s="285"/>
      <c r="K1049" s="285"/>
      <c r="L1049" s="262"/>
    </row>
    <row r="1050">
      <c r="A1050" s="91"/>
      <c r="B1050" s="91"/>
      <c r="C1050" s="91"/>
      <c r="E1050" s="28"/>
      <c r="F1050" s="283"/>
      <c r="G1050" s="284"/>
      <c r="H1050" s="283"/>
      <c r="I1050" s="285"/>
      <c r="K1050" s="285"/>
      <c r="L1050" s="262"/>
    </row>
    <row r="1051">
      <c r="A1051" s="91"/>
      <c r="B1051" s="91"/>
      <c r="C1051" s="91"/>
      <c r="E1051" s="28"/>
      <c r="F1051" s="283"/>
      <c r="G1051" s="284"/>
      <c r="H1051" s="283"/>
      <c r="I1051" s="285"/>
      <c r="K1051" s="285"/>
      <c r="L1051" s="262"/>
    </row>
    <row r="1052">
      <c r="A1052" s="91"/>
      <c r="B1052" s="91"/>
      <c r="C1052" s="91"/>
      <c r="E1052" s="28"/>
      <c r="F1052" s="283"/>
      <c r="G1052" s="284"/>
      <c r="H1052" s="283"/>
      <c r="I1052" s="285"/>
      <c r="K1052" s="285"/>
      <c r="L1052" s="262"/>
    </row>
    <row r="1053">
      <c r="A1053" s="91"/>
      <c r="B1053" s="91"/>
      <c r="C1053" s="91"/>
      <c r="E1053" s="28"/>
      <c r="F1053" s="283"/>
      <c r="G1053" s="284"/>
      <c r="H1053" s="283"/>
      <c r="I1053" s="285"/>
      <c r="K1053" s="285"/>
      <c r="L1053" s="262"/>
    </row>
    <row r="1054">
      <c r="A1054" s="91"/>
      <c r="B1054" s="91"/>
      <c r="C1054" s="91"/>
      <c r="E1054" s="28"/>
      <c r="F1054" s="283"/>
      <c r="G1054" s="284"/>
      <c r="H1054" s="283"/>
      <c r="I1054" s="285"/>
      <c r="K1054" s="285"/>
      <c r="L1054" s="262"/>
    </row>
    <row r="1055">
      <c r="A1055" s="91"/>
      <c r="B1055" s="91"/>
      <c r="C1055" s="91"/>
      <c r="E1055" s="28"/>
      <c r="F1055" s="283"/>
      <c r="G1055" s="284"/>
      <c r="H1055" s="283"/>
      <c r="I1055" s="285"/>
      <c r="K1055" s="285"/>
      <c r="L1055" s="262"/>
    </row>
    <row r="1056">
      <c r="A1056" s="91"/>
      <c r="B1056" s="91"/>
      <c r="C1056" s="91"/>
      <c r="E1056" s="28"/>
      <c r="F1056" s="283"/>
      <c r="G1056" s="284"/>
      <c r="H1056" s="283"/>
      <c r="I1056" s="285"/>
      <c r="K1056" s="285"/>
      <c r="L1056" s="262"/>
    </row>
    <row r="1057">
      <c r="A1057" s="91"/>
      <c r="B1057" s="91"/>
      <c r="C1057" s="91"/>
      <c r="E1057" s="28"/>
      <c r="F1057" s="283"/>
      <c r="G1057" s="284"/>
      <c r="H1057" s="283"/>
      <c r="I1057" s="285"/>
      <c r="K1057" s="285"/>
      <c r="L1057" s="262"/>
    </row>
    <row r="1058">
      <c r="A1058" s="91"/>
      <c r="B1058" s="91"/>
      <c r="C1058" s="91"/>
      <c r="E1058" s="28"/>
      <c r="F1058" s="283"/>
      <c r="G1058" s="284"/>
      <c r="H1058" s="283"/>
      <c r="I1058" s="285"/>
      <c r="K1058" s="285"/>
      <c r="L1058" s="262"/>
    </row>
    <row r="1059">
      <c r="A1059" s="91"/>
      <c r="B1059" s="91"/>
      <c r="C1059" s="91"/>
      <c r="E1059" s="28"/>
      <c r="F1059" s="283"/>
      <c r="G1059" s="284"/>
      <c r="H1059" s="283"/>
      <c r="I1059" s="285"/>
      <c r="K1059" s="285"/>
      <c r="L1059" s="262"/>
    </row>
    <row r="1060">
      <c r="A1060" s="91"/>
      <c r="B1060" s="91"/>
      <c r="C1060" s="91"/>
      <c r="E1060" s="28"/>
      <c r="F1060" s="283"/>
      <c r="G1060" s="284"/>
      <c r="H1060" s="283"/>
      <c r="I1060" s="285"/>
      <c r="K1060" s="285"/>
      <c r="L1060" s="262"/>
    </row>
    <row r="1061">
      <c r="A1061" s="91"/>
      <c r="B1061" s="91"/>
      <c r="C1061" s="91"/>
      <c r="E1061" s="28"/>
      <c r="F1061" s="283"/>
      <c r="G1061" s="284"/>
      <c r="H1061" s="283"/>
      <c r="I1061" s="285"/>
      <c r="K1061" s="285"/>
      <c r="L1061" s="262"/>
    </row>
    <row r="1062">
      <c r="A1062" s="91"/>
      <c r="B1062" s="91"/>
      <c r="C1062" s="91"/>
      <c r="E1062" s="28"/>
      <c r="F1062" s="283"/>
      <c r="G1062" s="284"/>
      <c r="H1062" s="283"/>
      <c r="I1062" s="285"/>
      <c r="K1062" s="285"/>
      <c r="L1062" s="262"/>
    </row>
    <row r="1063">
      <c r="A1063" s="91"/>
      <c r="B1063" s="91"/>
      <c r="C1063" s="91"/>
      <c r="E1063" s="28"/>
      <c r="F1063" s="283"/>
      <c r="G1063" s="284"/>
      <c r="H1063" s="283"/>
      <c r="I1063" s="285"/>
      <c r="K1063" s="285"/>
      <c r="L1063" s="262"/>
    </row>
    <row r="1064">
      <c r="A1064" s="91"/>
      <c r="B1064" s="91"/>
      <c r="C1064" s="91"/>
      <c r="E1064" s="28"/>
      <c r="F1064" s="283"/>
      <c r="G1064" s="284"/>
      <c r="H1064" s="283"/>
      <c r="I1064" s="285"/>
      <c r="K1064" s="285"/>
      <c r="L1064" s="262"/>
    </row>
    <row r="1065">
      <c r="A1065" s="91"/>
      <c r="B1065" s="91"/>
      <c r="C1065" s="91"/>
      <c r="E1065" s="28"/>
      <c r="F1065" s="283"/>
      <c r="G1065" s="284"/>
      <c r="H1065" s="283"/>
      <c r="I1065" s="285"/>
      <c r="K1065" s="285"/>
      <c r="L1065" s="262"/>
    </row>
    <row r="1066">
      <c r="A1066" s="91"/>
      <c r="B1066" s="91"/>
      <c r="C1066" s="91"/>
      <c r="E1066" s="28"/>
      <c r="F1066" s="283"/>
      <c r="G1066" s="284"/>
      <c r="H1066" s="283"/>
      <c r="I1066" s="285"/>
      <c r="K1066" s="285"/>
      <c r="L1066" s="262"/>
    </row>
    <row r="1067">
      <c r="A1067" s="91"/>
      <c r="B1067" s="91"/>
      <c r="C1067" s="91"/>
      <c r="E1067" s="28"/>
      <c r="F1067" s="283"/>
      <c r="G1067" s="284"/>
      <c r="H1067" s="283"/>
      <c r="I1067" s="285"/>
      <c r="K1067" s="285"/>
      <c r="L1067" s="262"/>
    </row>
    <row r="1068">
      <c r="A1068" s="91"/>
      <c r="B1068" s="91"/>
      <c r="C1068" s="91"/>
      <c r="E1068" s="28"/>
      <c r="F1068" s="283"/>
      <c r="G1068" s="284"/>
      <c r="H1068" s="283"/>
      <c r="I1068" s="285"/>
      <c r="K1068" s="285"/>
      <c r="L1068" s="262"/>
    </row>
    <row r="1069">
      <c r="A1069" s="91"/>
      <c r="B1069" s="91"/>
      <c r="C1069" s="91"/>
      <c r="E1069" s="28"/>
      <c r="F1069" s="283"/>
      <c r="G1069" s="284"/>
      <c r="H1069" s="283"/>
      <c r="I1069" s="285"/>
      <c r="K1069" s="285"/>
      <c r="L1069" s="262"/>
    </row>
    <row r="1070">
      <c r="A1070" s="91"/>
      <c r="B1070" s="91"/>
      <c r="C1070" s="91"/>
      <c r="E1070" s="28"/>
      <c r="F1070" s="283"/>
      <c r="G1070" s="284"/>
      <c r="H1070" s="283"/>
      <c r="I1070" s="285"/>
      <c r="K1070" s="285"/>
      <c r="L1070" s="262"/>
    </row>
    <row r="1071">
      <c r="A1071" s="91"/>
      <c r="B1071" s="91"/>
      <c r="C1071" s="91"/>
      <c r="E1071" s="28"/>
      <c r="F1071" s="283"/>
      <c r="G1071" s="284"/>
      <c r="H1071" s="283"/>
      <c r="I1071" s="285"/>
      <c r="K1071" s="285"/>
      <c r="L1071" s="262"/>
    </row>
    <row r="1072">
      <c r="A1072" s="91"/>
      <c r="B1072" s="91"/>
      <c r="C1072" s="91"/>
      <c r="E1072" s="28"/>
      <c r="F1072" s="283"/>
      <c r="G1072" s="284"/>
      <c r="H1072" s="283"/>
      <c r="I1072" s="285"/>
      <c r="K1072" s="285"/>
      <c r="L1072" s="262"/>
    </row>
    <row r="1073">
      <c r="A1073" s="91"/>
      <c r="B1073" s="91"/>
      <c r="C1073" s="91"/>
      <c r="E1073" s="28"/>
      <c r="F1073" s="283"/>
      <c r="G1073" s="284"/>
      <c r="H1073" s="283"/>
      <c r="I1073" s="285"/>
      <c r="K1073" s="285"/>
      <c r="L1073" s="262"/>
    </row>
    <row r="1074">
      <c r="A1074" s="91"/>
      <c r="B1074" s="91"/>
      <c r="C1074" s="91"/>
      <c r="E1074" s="28"/>
      <c r="F1074" s="283"/>
      <c r="G1074" s="284"/>
      <c r="H1074" s="283"/>
      <c r="I1074" s="285"/>
      <c r="K1074" s="285"/>
      <c r="L1074" s="262"/>
    </row>
    <row r="1075">
      <c r="A1075" s="91"/>
      <c r="B1075" s="91"/>
      <c r="C1075" s="91"/>
      <c r="E1075" s="28"/>
      <c r="F1075" s="283"/>
      <c r="G1075" s="284"/>
      <c r="H1075" s="283"/>
      <c r="I1075" s="285"/>
      <c r="K1075" s="285"/>
      <c r="L1075" s="262"/>
    </row>
    <row r="1076">
      <c r="A1076" s="91"/>
      <c r="B1076" s="91"/>
      <c r="C1076" s="91"/>
      <c r="E1076" s="28"/>
      <c r="F1076" s="283"/>
      <c r="G1076" s="284"/>
      <c r="H1076" s="283"/>
      <c r="I1076" s="285"/>
      <c r="K1076" s="285"/>
      <c r="L1076" s="262"/>
    </row>
    <row r="1077">
      <c r="A1077" s="91"/>
      <c r="B1077" s="91"/>
      <c r="C1077" s="91"/>
      <c r="E1077" s="28"/>
      <c r="F1077" s="283"/>
      <c r="G1077" s="284"/>
      <c r="H1077" s="283"/>
      <c r="I1077" s="285"/>
      <c r="K1077" s="285"/>
      <c r="L1077" s="262"/>
    </row>
    <row r="1078">
      <c r="A1078" s="91"/>
      <c r="B1078" s="91"/>
      <c r="C1078" s="91"/>
      <c r="E1078" s="28"/>
      <c r="F1078" s="283"/>
      <c r="G1078" s="284"/>
      <c r="H1078" s="283"/>
      <c r="I1078" s="285"/>
      <c r="K1078" s="285"/>
      <c r="L1078" s="262"/>
    </row>
    <row r="1079">
      <c r="A1079" s="91"/>
      <c r="B1079" s="91"/>
      <c r="C1079" s="91"/>
      <c r="E1079" s="28"/>
      <c r="F1079" s="283"/>
      <c r="G1079" s="284"/>
      <c r="H1079" s="283"/>
      <c r="I1079" s="285"/>
      <c r="K1079" s="285"/>
      <c r="L1079" s="262"/>
    </row>
    <row r="1080">
      <c r="A1080" s="91"/>
      <c r="B1080" s="91"/>
      <c r="C1080" s="91"/>
      <c r="E1080" s="28"/>
      <c r="F1080" s="283"/>
      <c r="G1080" s="284"/>
      <c r="H1080" s="283"/>
      <c r="I1080" s="285"/>
      <c r="K1080" s="285"/>
      <c r="L1080" s="262"/>
    </row>
    <row r="1081">
      <c r="A1081" s="91"/>
      <c r="B1081" s="91"/>
      <c r="C1081" s="91"/>
      <c r="E1081" s="28"/>
      <c r="F1081" s="283"/>
      <c r="G1081" s="284"/>
      <c r="H1081" s="283"/>
      <c r="I1081" s="285"/>
      <c r="K1081" s="285"/>
      <c r="L1081" s="262"/>
    </row>
    <row r="1082">
      <c r="A1082" s="91"/>
      <c r="B1082" s="91"/>
      <c r="C1082" s="91"/>
      <c r="E1082" s="28"/>
      <c r="F1082" s="283"/>
      <c r="G1082" s="284"/>
      <c r="H1082" s="283"/>
      <c r="I1082" s="285"/>
      <c r="K1082" s="285"/>
      <c r="L1082" s="262"/>
    </row>
    <row r="1083">
      <c r="A1083" s="91"/>
      <c r="B1083" s="91"/>
      <c r="C1083" s="91"/>
      <c r="E1083" s="28"/>
      <c r="F1083" s="283"/>
      <c r="G1083" s="284"/>
      <c r="H1083" s="283"/>
      <c r="I1083" s="285"/>
      <c r="K1083" s="285"/>
      <c r="L1083" s="262"/>
    </row>
    <row r="1084">
      <c r="A1084" s="91"/>
      <c r="B1084" s="91"/>
      <c r="C1084" s="91"/>
      <c r="E1084" s="28"/>
      <c r="F1084" s="283"/>
      <c r="G1084" s="284"/>
      <c r="H1084" s="283"/>
      <c r="I1084" s="285"/>
      <c r="K1084" s="285"/>
      <c r="L1084" s="262"/>
    </row>
    <row r="1085">
      <c r="A1085" s="91"/>
      <c r="B1085" s="91"/>
      <c r="C1085" s="91"/>
      <c r="E1085" s="28"/>
      <c r="F1085" s="283"/>
      <c r="G1085" s="284"/>
      <c r="H1085" s="283"/>
      <c r="I1085" s="285"/>
      <c r="K1085" s="285"/>
      <c r="L1085" s="262"/>
    </row>
    <row r="1086">
      <c r="A1086" s="91"/>
      <c r="B1086" s="91"/>
      <c r="C1086" s="91"/>
      <c r="E1086" s="28"/>
      <c r="F1086" s="283"/>
      <c r="G1086" s="284"/>
      <c r="H1086" s="283"/>
      <c r="I1086" s="285"/>
      <c r="K1086" s="285"/>
      <c r="L1086" s="262"/>
    </row>
    <row r="1087">
      <c r="A1087" s="91"/>
      <c r="B1087" s="91"/>
      <c r="C1087" s="91"/>
      <c r="E1087" s="28"/>
      <c r="F1087" s="283"/>
      <c r="G1087" s="284"/>
      <c r="H1087" s="283"/>
      <c r="I1087" s="285"/>
      <c r="K1087" s="285"/>
      <c r="L1087" s="262"/>
    </row>
    <row r="1088">
      <c r="A1088" s="91"/>
      <c r="B1088" s="91"/>
      <c r="C1088" s="91"/>
      <c r="E1088" s="28"/>
      <c r="F1088" s="283"/>
      <c r="G1088" s="284"/>
      <c r="H1088" s="283"/>
      <c r="I1088" s="285"/>
      <c r="K1088" s="285"/>
      <c r="L1088" s="262"/>
    </row>
    <row r="1089">
      <c r="A1089" s="91"/>
      <c r="B1089" s="91"/>
      <c r="C1089" s="91"/>
      <c r="E1089" s="28"/>
      <c r="F1089" s="283"/>
      <c r="G1089" s="284"/>
      <c r="H1089" s="283"/>
      <c r="I1089" s="285"/>
      <c r="K1089" s="285"/>
      <c r="L1089" s="262"/>
    </row>
    <row r="1090">
      <c r="A1090" s="91"/>
      <c r="B1090" s="91"/>
      <c r="C1090" s="91"/>
      <c r="E1090" s="28"/>
      <c r="F1090" s="283"/>
      <c r="G1090" s="284"/>
      <c r="H1090" s="283"/>
      <c r="I1090" s="285"/>
      <c r="K1090" s="285"/>
      <c r="L1090" s="262"/>
    </row>
    <row r="1091">
      <c r="A1091" s="91"/>
      <c r="B1091" s="91"/>
      <c r="C1091" s="91"/>
      <c r="E1091" s="28"/>
      <c r="F1091" s="283"/>
      <c r="G1091" s="284"/>
      <c r="H1091" s="283"/>
      <c r="I1091" s="285"/>
      <c r="K1091" s="285"/>
      <c r="L1091" s="262"/>
    </row>
    <row r="1092">
      <c r="A1092" s="91"/>
      <c r="B1092" s="91"/>
      <c r="C1092" s="91"/>
      <c r="E1092" s="28"/>
      <c r="F1092" s="283"/>
      <c r="G1092" s="284"/>
      <c r="H1092" s="283"/>
      <c r="I1092" s="285"/>
      <c r="K1092" s="285"/>
      <c r="L1092" s="262"/>
    </row>
    <row r="1093">
      <c r="A1093" s="91"/>
      <c r="B1093" s="91"/>
      <c r="C1093" s="91"/>
      <c r="E1093" s="28"/>
      <c r="F1093" s="283"/>
      <c r="G1093" s="284"/>
      <c r="H1093" s="283"/>
      <c r="I1093" s="285"/>
      <c r="K1093" s="285"/>
      <c r="L1093" s="262"/>
    </row>
    <row r="1094">
      <c r="A1094" s="91"/>
      <c r="B1094" s="91"/>
      <c r="C1094" s="91"/>
      <c r="E1094" s="28"/>
      <c r="F1094" s="283"/>
      <c r="G1094" s="284"/>
      <c r="H1094" s="283"/>
      <c r="I1094" s="285"/>
      <c r="K1094" s="285"/>
      <c r="L1094" s="262"/>
    </row>
    <row r="1095">
      <c r="A1095" s="91"/>
      <c r="B1095" s="91"/>
      <c r="C1095" s="91"/>
      <c r="E1095" s="28"/>
      <c r="F1095" s="283"/>
      <c r="G1095" s="284"/>
      <c r="H1095" s="283"/>
      <c r="I1095" s="285"/>
      <c r="K1095" s="285"/>
      <c r="L1095" s="262"/>
    </row>
    <row r="1096">
      <c r="A1096" s="91"/>
      <c r="B1096" s="91"/>
      <c r="C1096" s="91"/>
      <c r="E1096" s="28"/>
      <c r="F1096" s="283"/>
      <c r="G1096" s="284"/>
      <c r="H1096" s="283"/>
      <c r="I1096" s="285"/>
      <c r="K1096" s="285"/>
      <c r="L1096" s="262"/>
    </row>
    <row r="1097">
      <c r="A1097" s="91"/>
      <c r="B1097" s="91"/>
      <c r="C1097" s="91"/>
      <c r="E1097" s="28"/>
      <c r="F1097" s="283"/>
      <c r="G1097" s="284"/>
      <c r="H1097" s="283"/>
      <c r="I1097" s="285"/>
      <c r="K1097" s="285"/>
      <c r="L1097" s="262"/>
    </row>
    <row r="1098">
      <c r="A1098" s="91"/>
      <c r="B1098" s="91"/>
      <c r="C1098" s="91"/>
      <c r="E1098" s="28"/>
      <c r="F1098" s="283"/>
      <c r="G1098" s="284"/>
      <c r="H1098" s="283"/>
      <c r="I1098" s="285"/>
      <c r="K1098" s="285"/>
      <c r="L1098" s="262"/>
    </row>
    <row r="1099">
      <c r="A1099" s="91"/>
      <c r="B1099" s="91"/>
      <c r="C1099" s="91"/>
      <c r="E1099" s="28"/>
      <c r="F1099" s="283"/>
      <c r="G1099" s="284"/>
      <c r="H1099" s="283"/>
      <c r="I1099" s="285"/>
      <c r="K1099" s="285"/>
      <c r="L1099" s="262"/>
    </row>
    <row r="1100">
      <c r="A1100" s="91"/>
      <c r="B1100" s="91"/>
      <c r="C1100" s="91"/>
      <c r="E1100" s="28"/>
      <c r="F1100" s="283"/>
      <c r="G1100" s="284"/>
      <c r="H1100" s="283"/>
      <c r="I1100" s="285"/>
      <c r="K1100" s="285"/>
      <c r="L1100" s="262"/>
    </row>
    <row r="1101">
      <c r="A1101" s="91"/>
      <c r="B1101" s="91"/>
      <c r="C1101" s="91"/>
      <c r="E1101" s="28"/>
      <c r="F1101" s="283"/>
      <c r="G1101" s="284"/>
      <c r="H1101" s="283"/>
      <c r="I1101" s="285"/>
      <c r="K1101" s="285"/>
      <c r="L1101" s="262"/>
    </row>
    <row r="1102">
      <c r="A1102" s="91"/>
      <c r="B1102" s="91"/>
      <c r="C1102" s="91"/>
      <c r="E1102" s="28"/>
      <c r="F1102" s="283"/>
      <c r="G1102" s="284"/>
      <c r="H1102" s="283"/>
      <c r="I1102" s="285"/>
      <c r="K1102" s="285"/>
      <c r="L1102" s="262"/>
    </row>
    <row r="1103">
      <c r="A1103" s="91"/>
      <c r="B1103" s="91"/>
      <c r="C1103" s="91"/>
      <c r="E1103" s="28"/>
      <c r="F1103" s="283"/>
      <c r="G1103" s="284"/>
      <c r="H1103" s="283"/>
      <c r="I1103" s="285"/>
      <c r="K1103" s="285"/>
      <c r="L1103" s="262"/>
    </row>
    <row r="1104">
      <c r="A1104" s="91"/>
      <c r="B1104" s="91"/>
      <c r="C1104" s="91"/>
      <c r="E1104" s="28"/>
      <c r="F1104" s="283"/>
      <c r="G1104" s="284"/>
      <c r="H1104" s="283"/>
      <c r="I1104" s="285"/>
      <c r="K1104" s="285"/>
      <c r="L1104" s="262"/>
    </row>
    <row r="1105">
      <c r="A1105" s="91"/>
      <c r="B1105" s="91"/>
      <c r="C1105" s="91"/>
      <c r="E1105" s="28"/>
      <c r="F1105" s="283"/>
      <c r="G1105" s="284"/>
      <c r="H1105" s="283"/>
      <c r="I1105" s="285"/>
      <c r="K1105" s="285"/>
      <c r="L1105" s="262"/>
    </row>
    <row r="1106">
      <c r="A1106" s="91"/>
      <c r="B1106" s="91"/>
      <c r="C1106" s="91"/>
      <c r="E1106" s="28"/>
      <c r="F1106" s="283"/>
      <c r="G1106" s="284"/>
      <c r="H1106" s="283"/>
      <c r="I1106" s="285"/>
      <c r="K1106" s="285"/>
      <c r="L1106" s="262"/>
    </row>
    <row r="1107">
      <c r="A1107" s="91"/>
      <c r="B1107" s="91"/>
      <c r="C1107" s="91"/>
      <c r="E1107" s="28"/>
      <c r="F1107" s="283"/>
      <c r="G1107" s="284"/>
      <c r="H1107" s="283"/>
      <c r="I1107" s="285"/>
      <c r="K1107" s="285"/>
      <c r="L1107" s="262"/>
    </row>
    <row r="1108">
      <c r="A1108" s="91"/>
      <c r="B1108" s="91"/>
      <c r="C1108" s="91"/>
      <c r="E1108" s="28"/>
      <c r="F1108" s="283"/>
      <c r="G1108" s="284"/>
      <c r="H1108" s="283"/>
      <c r="I1108" s="285"/>
      <c r="K1108" s="285"/>
      <c r="L1108" s="262"/>
    </row>
    <row r="1109">
      <c r="A1109" s="91"/>
      <c r="B1109" s="91"/>
      <c r="C1109" s="91"/>
      <c r="E1109" s="28"/>
      <c r="F1109" s="283"/>
      <c r="G1109" s="284"/>
      <c r="H1109" s="283"/>
      <c r="I1109" s="285"/>
      <c r="K1109" s="285"/>
      <c r="L1109" s="262"/>
    </row>
    <row r="1110">
      <c r="A1110" s="91"/>
      <c r="B1110" s="91"/>
      <c r="C1110" s="91"/>
      <c r="E1110" s="28"/>
      <c r="F1110" s="283"/>
      <c r="G1110" s="284"/>
      <c r="H1110" s="283"/>
      <c r="I1110" s="285"/>
      <c r="K1110" s="285"/>
      <c r="L1110" s="262"/>
    </row>
    <row r="1111">
      <c r="A1111" s="91"/>
      <c r="B1111" s="91"/>
      <c r="C1111" s="91"/>
      <c r="E1111" s="28"/>
      <c r="F1111" s="283"/>
      <c r="G1111" s="284"/>
      <c r="H1111" s="283"/>
      <c r="I1111" s="285"/>
      <c r="K1111" s="285"/>
      <c r="L1111" s="262"/>
    </row>
    <row r="1112">
      <c r="A1112" s="91"/>
      <c r="B1112" s="91"/>
      <c r="C1112" s="91"/>
      <c r="E1112" s="28"/>
      <c r="F1112" s="283"/>
      <c r="G1112" s="284"/>
      <c r="H1112" s="283"/>
      <c r="I1112" s="285"/>
      <c r="K1112" s="285"/>
      <c r="L1112" s="262"/>
    </row>
    <row r="1113">
      <c r="A1113" s="91"/>
      <c r="B1113" s="91"/>
      <c r="C1113" s="91"/>
      <c r="E1113" s="28"/>
      <c r="F1113" s="283"/>
      <c r="G1113" s="284"/>
      <c r="H1113" s="283"/>
      <c r="I1113" s="285"/>
      <c r="K1113" s="285"/>
      <c r="L1113" s="262"/>
    </row>
    <row r="1114">
      <c r="A1114" s="91"/>
      <c r="B1114" s="91"/>
      <c r="C1114" s="91"/>
      <c r="E1114" s="28"/>
      <c r="F1114" s="283"/>
      <c r="G1114" s="284"/>
      <c r="H1114" s="283"/>
      <c r="I1114" s="285"/>
      <c r="K1114" s="285"/>
      <c r="L1114" s="262"/>
    </row>
    <row r="1115">
      <c r="A1115" s="91"/>
      <c r="B1115" s="91"/>
      <c r="C1115" s="91"/>
      <c r="E1115" s="28"/>
      <c r="F1115" s="283"/>
      <c r="G1115" s="284"/>
      <c r="H1115" s="283"/>
      <c r="I1115" s="285"/>
      <c r="K1115" s="285"/>
      <c r="L1115" s="262"/>
    </row>
    <row r="1116">
      <c r="A1116" s="91"/>
      <c r="B1116" s="91"/>
      <c r="C1116" s="91"/>
      <c r="E1116" s="28"/>
      <c r="F1116" s="283"/>
      <c r="G1116" s="284"/>
      <c r="H1116" s="283"/>
      <c r="I1116" s="285"/>
      <c r="K1116" s="285"/>
      <c r="L1116" s="262"/>
    </row>
    <row r="1117">
      <c r="A1117" s="91"/>
      <c r="B1117" s="91"/>
      <c r="C1117" s="91"/>
      <c r="E1117" s="28"/>
      <c r="F1117" s="283"/>
      <c r="G1117" s="284"/>
      <c r="H1117" s="283"/>
      <c r="I1117" s="285"/>
      <c r="K1117" s="285"/>
      <c r="L1117" s="262"/>
    </row>
    <row r="1118">
      <c r="A1118" s="91"/>
      <c r="B1118" s="91"/>
      <c r="C1118" s="91"/>
      <c r="E1118" s="28"/>
      <c r="F1118" s="283"/>
      <c r="G1118" s="284"/>
      <c r="H1118" s="283"/>
      <c r="I1118" s="285"/>
      <c r="K1118" s="285"/>
      <c r="L1118" s="262"/>
    </row>
    <row r="1119">
      <c r="A1119" s="91"/>
      <c r="B1119" s="91"/>
      <c r="C1119" s="91"/>
      <c r="E1119" s="28"/>
      <c r="F1119" s="283"/>
      <c r="G1119" s="284"/>
      <c r="H1119" s="283"/>
      <c r="I1119" s="285"/>
      <c r="K1119" s="285"/>
      <c r="L1119" s="262"/>
    </row>
    <row r="1120">
      <c r="A1120" s="91"/>
      <c r="B1120" s="91"/>
      <c r="C1120" s="91"/>
      <c r="E1120" s="28"/>
      <c r="F1120" s="283"/>
      <c r="G1120" s="284"/>
      <c r="H1120" s="283"/>
      <c r="I1120" s="285"/>
      <c r="K1120" s="285"/>
      <c r="L1120" s="262"/>
    </row>
    <row r="1121">
      <c r="A1121" s="91"/>
      <c r="B1121" s="91"/>
      <c r="C1121" s="91"/>
      <c r="E1121" s="28"/>
      <c r="F1121" s="283"/>
      <c r="G1121" s="284"/>
      <c r="H1121" s="283"/>
      <c r="I1121" s="285"/>
      <c r="K1121" s="285"/>
      <c r="L1121" s="262"/>
    </row>
    <row r="1122">
      <c r="A1122" s="91"/>
      <c r="B1122" s="91"/>
      <c r="C1122" s="91"/>
      <c r="E1122" s="28"/>
      <c r="F1122" s="283"/>
      <c r="G1122" s="284"/>
      <c r="H1122" s="283"/>
      <c r="I1122" s="285"/>
      <c r="K1122" s="285"/>
      <c r="L1122" s="262"/>
    </row>
    <row r="1123">
      <c r="A1123" s="91"/>
      <c r="B1123" s="91"/>
      <c r="C1123" s="91"/>
      <c r="E1123" s="28"/>
      <c r="F1123" s="283"/>
      <c r="G1123" s="284"/>
      <c r="H1123" s="283"/>
      <c r="I1123" s="285"/>
      <c r="K1123" s="285"/>
      <c r="L1123" s="262"/>
    </row>
    <row r="1124">
      <c r="A1124" s="91"/>
      <c r="B1124" s="91"/>
      <c r="C1124" s="91"/>
      <c r="E1124" s="28"/>
      <c r="F1124" s="283"/>
      <c r="G1124" s="284"/>
      <c r="H1124" s="283"/>
      <c r="I1124" s="285"/>
      <c r="K1124" s="285"/>
      <c r="L1124" s="262"/>
    </row>
    <row r="1125">
      <c r="A1125" s="91"/>
      <c r="B1125" s="91"/>
      <c r="C1125" s="91"/>
      <c r="E1125" s="28"/>
      <c r="F1125" s="283"/>
      <c r="G1125" s="284"/>
      <c r="H1125" s="283"/>
      <c r="I1125" s="285"/>
      <c r="K1125" s="285"/>
      <c r="L1125" s="262"/>
    </row>
    <row r="1126">
      <c r="A1126" s="91"/>
      <c r="B1126" s="91"/>
      <c r="C1126" s="91"/>
      <c r="E1126" s="28"/>
      <c r="F1126" s="283"/>
      <c r="G1126" s="284"/>
      <c r="H1126" s="283"/>
      <c r="I1126" s="285"/>
      <c r="K1126" s="285"/>
      <c r="L1126" s="262"/>
    </row>
    <row r="1127">
      <c r="A1127" s="91"/>
      <c r="B1127" s="91"/>
      <c r="C1127" s="91"/>
      <c r="E1127" s="28"/>
      <c r="F1127" s="283"/>
      <c r="G1127" s="284"/>
      <c r="H1127" s="283"/>
      <c r="I1127" s="285"/>
      <c r="K1127" s="285"/>
      <c r="L1127" s="262"/>
    </row>
    <row r="1128">
      <c r="A1128" s="91"/>
      <c r="B1128" s="91"/>
      <c r="C1128" s="91"/>
      <c r="E1128" s="28"/>
      <c r="F1128" s="283"/>
      <c r="G1128" s="284"/>
      <c r="H1128" s="283"/>
      <c r="I1128" s="285"/>
      <c r="K1128" s="285"/>
      <c r="L1128" s="262"/>
    </row>
    <row r="1129">
      <c r="A1129" s="91"/>
      <c r="B1129" s="91"/>
      <c r="C1129" s="91"/>
      <c r="E1129" s="28"/>
      <c r="F1129" s="283"/>
      <c r="G1129" s="284"/>
      <c r="H1129" s="283"/>
      <c r="I1129" s="285"/>
      <c r="K1129" s="285"/>
      <c r="L1129" s="262"/>
    </row>
    <row r="1130">
      <c r="A1130" s="91"/>
      <c r="B1130" s="91"/>
      <c r="C1130" s="91"/>
      <c r="E1130" s="28"/>
      <c r="F1130" s="283"/>
      <c r="G1130" s="284"/>
      <c r="H1130" s="283"/>
      <c r="I1130" s="285"/>
      <c r="K1130" s="285"/>
      <c r="L1130" s="262"/>
    </row>
    <row r="1131">
      <c r="A1131" s="91"/>
      <c r="B1131" s="91"/>
      <c r="C1131" s="91"/>
      <c r="E1131" s="28"/>
      <c r="F1131" s="283"/>
      <c r="G1131" s="284"/>
      <c r="H1131" s="283"/>
      <c r="I1131" s="285"/>
      <c r="K1131" s="285"/>
      <c r="L1131" s="262"/>
    </row>
    <row r="1132">
      <c r="A1132" s="91"/>
      <c r="B1132" s="91"/>
      <c r="C1132" s="91"/>
      <c r="E1132" s="28"/>
      <c r="F1132" s="283"/>
      <c r="G1132" s="284"/>
      <c r="H1132" s="283"/>
      <c r="I1132" s="285"/>
      <c r="K1132" s="285"/>
      <c r="L1132" s="262"/>
    </row>
    <row r="1133">
      <c r="A1133" s="91"/>
      <c r="B1133" s="91"/>
      <c r="C1133" s="91"/>
      <c r="E1133" s="28"/>
      <c r="F1133" s="283"/>
      <c r="G1133" s="284"/>
      <c r="H1133" s="283"/>
      <c r="I1133" s="285"/>
      <c r="K1133" s="285"/>
      <c r="L1133" s="262"/>
    </row>
    <row r="1134">
      <c r="A1134" s="91"/>
      <c r="B1134" s="91"/>
      <c r="C1134" s="91"/>
      <c r="E1134" s="28"/>
      <c r="F1134" s="283"/>
      <c r="G1134" s="284"/>
      <c r="H1134" s="283"/>
      <c r="I1134" s="285"/>
      <c r="K1134" s="285"/>
      <c r="L1134" s="262"/>
    </row>
    <row r="1135">
      <c r="A1135" s="91"/>
      <c r="B1135" s="91"/>
      <c r="C1135" s="91"/>
      <c r="E1135" s="28"/>
      <c r="F1135" s="283"/>
      <c r="G1135" s="284"/>
      <c r="H1135" s="283"/>
      <c r="I1135" s="285"/>
      <c r="K1135" s="285"/>
      <c r="L1135" s="262"/>
    </row>
    <row r="1136">
      <c r="A1136" s="91"/>
      <c r="B1136" s="91"/>
      <c r="C1136" s="91"/>
      <c r="E1136" s="28"/>
      <c r="F1136" s="283"/>
      <c r="G1136" s="284"/>
      <c r="H1136" s="283"/>
      <c r="I1136" s="285"/>
      <c r="K1136" s="285"/>
      <c r="L1136" s="262"/>
    </row>
    <row r="1137">
      <c r="A1137" s="91"/>
      <c r="B1137" s="91"/>
      <c r="C1137" s="91"/>
      <c r="E1137" s="28"/>
      <c r="F1137" s="283"/>
      <c r="G1137" s="284"/>
      <c r="H1137" s="283"/>
      <c r="I1137" s="285"/>
      <c r="K1137" s="285"/>
      <c r="L1137" s="262"/>
    </row>
    <row r="1138">
      <c r="A1138" s="91"/>
      <c r="B1138" s="91"/>
      <c r="C1138" s="91"/>
      <c r="E1138" s="28"/>
      <c r="F1138" s="283"/>
      <c r="G1138" s="284"/>
      <c r="H1138" s="283"/>
      <c r="I1138" s="285"/>
      <c r="K1138" s="285"/>
      <c r="L1138" s="262"/>
    </row>
    <row r="1139">
      <c r="A1139" s="91"/>
      <c r="B1139" s="91"/>
      <c r="C1139" s="91"/>
      <c r="E1139" s="28"/>
      <c r="F1139" s="283"/>
      <c r="G1139" s="284"/>
      <c r="H1139" s="283"/>
      <c r="I1139" s="285"/>
      <c r="K1139" s="285"/>
      <c r="L1139" s="262"/>
    </row>
    <row r="1140">
      <c r="A1140" s="91"/>
      <c r="B1140" s="91"/>
      <c r="C1140" s="91"/>
      <c r="E1140" s="28"/>
      <c r="F1140" s="283"/>
      <c r="G1140" s="284"/>
      <c r="H1140" s="283"/>
      <c r="I1140" s="285"/>
      <c r="K1140" s="285"/>
      <c r="L1140" s="262"/>
    </row>
    <row r="1141">
      <c r="A1141" s="91"/>
      <c r="B1141" s="91"/>
      <c r="C1141" s="91"/>
      <c r="E1141" s="28"/>
      <c r="F1141" s="283"/>
      <c r="G1141" s="284"/>
      <c r="H1141" s="283"/>
      <c r="I1141" s="285"/>
      <c r="K1141" s="285"/>
      <c r="L1141" s="262"/>
    </row>
    <row r="1142">
      <c r="A1142" s="91"/>
      <c r="B1142" s="91"/>
      <c r="C1142" s="91"/>
      <c r="E1142" s="28"/>
      <c r="F1142" s="283"/>
      <c r="G1142" s="284"/>
      <c r="H1142" s="283"/>
      <c r="I1142" s="285"/>
      <c r="K1142" s="285"/>
      <c r="L1142" s="262"/>
    </row>
    <row r="1143">
      <c r="A1143" s="91"/>
      <c r="B1143" s="91"/>
      <c r="C1143" s="91"/>
      <c r="E1143" s="28"/>
      <c r="F1143" s="283"/>
      <c r="G1143" s="284"/>
      <c r="H1143" s="283"/>
      <c r="I1143" s="285"/>
      <c r="K1143" s="285"/>
      <c r="L1143" s="262"/>
    </row>
    <row r="1144">
      <c r="A1144" s="91"/>
      <c r="B1144" s="91"/>
      <c r="C1144" s="91"/>
      <c r="E1144" s="28"/>
      <c r="F1144" s="283"/>
      <c r="G1144" s="284"/>
      <c r="H1144" s="283"/>
      <c r="I1144" s="285"/>
      <c r="K1144" s="285"/>
      <c r="L1144" s="262"/>
    </row>
    <row r="1145">
      <c r="A1145" s="91"/>
      <c r="B1145" s="91"/>
      <c r="C1145" s="91"/>
      <c r="E1145" s="28"/>
      <c r="F1145" s="283"/>
      <c r="G1145" s="284"/>
      <c r="H1145" s="283"/>
      <c r="I1145" s="285"/>
      <c r="K1145" s="285"/>
      <c r="L1145" s="262"/>
    </row>
    <row r="1146">
      <c r="A1146" s="91"/>
      <c r="B1146" s="91"/>
      <c r="C1146" s="91"/>
      <c r="E1146" s="28"/>
      <c r="F1146" s="283"/>
      <c r="G1146" s="284"/>
      <c r="H1146" s="283"/>
      <c r="I1146" s="285"/>
      <c r="K1146" s="285"/>
      <c r="L1146" s="262"/>
    </row>
    <row r="1147">
      <c r="A1147" s="91"/>
      <c r="B1147" s="91"/>
      <c r="C1147" s="91"/>
      <c r="E1147" s="28"/>
      <c r="F1147" s="283"/>
      <c r="G1147" s="284"/>
      <c r="H1147" s="283"/>
      <c r="I1147" s="285"/>
      <c r="K1147" s="285"/>
      <c r="L1147" s="262"/>
    </row>
    <row r="1148">
      <c r="A1148" s="91"/>
      <c r="B1148" s="91"/>
      <c r="C1148" s="91"/>
      <c r="E1148" s="28"/>
      <c r="F1148" s="283"/>
      <c r="G1148" s="284"/>
      <c r="H1148" s="283"/>
      <c r="I1148" s="285"/>
      <c r="K1148" s="285"/>
      <c r="L1148" s="262"/>
    </row>
    <row r="1149">
      <c r="A1149" s="91"/>
      <c r="B1149" s="91"/>
      <c r="C1149" s="91"/>
      <c r="E1149" s="28"/>
      <c r="F1149" s="283"/>
      <c r="G1149" s="284"/>
      <c r="H1149" s="283"/>
      <c r="I1149" s="285"/>
      <c r="K1149" s="285"/>
      <c r="L1149" s="262"/>
    </row>
    <row r="1150">
      <c r="A1150" s="91"/>
      <c r="B1150" s="91"/>
      <c r="C1150" s="91"/>
      <c r="E1150" s="28"/>
      <c r="F1150" s="283"/>
      <c r="G1150" s="284"/>
      <c r="H1150" s="283"/>
      <c r="I1150" s="285"/>
      <c r="K1150" s="285"/>
      <c r="L1150" s="262"/>
    </row>
    <row r="1151">
      <c r="A1151" s="91"/>
      <c r="B1151" s="91"/>
      <c r="C1151" s="91"/>
      <c r="E1151" s="28"/>
      <c r="F1151" s="283"/>
      <c r="G1151" s="284"/>
      <c r="H1151" s="283"/>
      <c r="I1151" s="285"/>
      <c r="K1151" s="285"/>
      <c r="L1151" s="262"/>
    </row>
    <row r="1152">
      <c r="A1152" s="91"/>
      <c r="B1152" s="91"/>
      <c r="C1152" s="91"/>
      <c r="E1152" s="28"/>
      <c r="F1152" s="283"/>
      <c r="G1152" s="284"/>
      <c r="H1152" s="283"/>
      <c r="I1152" s="285"/>
      <c r="K1152" s="285"/>
      <c r="L1152" s="262"/>
    </row>
    <row r="1153">
      <c r="A1153" s="91"/>
      <c r="B1153" s="91"/>
      <c r="C1153" s="91"/>
      <c r="E1153" s="28"/>
      <c r="F1153" s="283"/>
      <c r="G1153" s="284"/>
      <c r="H1153" s="283"/>
      <c r="I1153" s="285"/>
      <c r="K1153" s="285"/>
      <c r="L1153" s="262"/>
    </row>
    <row r="1154">
      <c r="A1154" s="91"/>
      <c r="B1154" s="91"/>
      <c r="C1154" s="91"/>
      <c r="E1154" s="28"/>
      <c r="F1154" s="283"/>
      <c r="G1154" s="284"/>
      <c r="H1154" s="283"/>
      <c r="I1154" s="285"/>
      <c r="K1154" s="285"/>
      <c r="L1154" s="262"/>
    </row>
    <row r="1155">
      <c r="A1155" s="91"/>
      <c r="B1155" s="91"/>
      <c r="C1155" s="91"/>
      <c r="E1155" s="28"/>
      <c r="F1155" s="283"/>
      <c r="G1155" s="284"/>
      <c r="H1155" s="283"/>
      <c r="I1155" s="285"/>
      <c r="K1155" s="285"/>
      <c r="L1155" s="262"/>
    </row>
    <row r="1156">
      <c r="A1156" s="91"/>
      <c r="B1156" s="91"/>
      <c r="C1156" s="91"/>
      <c r="E1156" s="28"/>
      <c r="F1156" s="283"/>
      <c r="G1156" s="284"/>
      <c r="H1156" s="283"/>
      <c r="I1156" s="285"/>
      <c r="K1156" s="285"/>
      <c r="L1156" s="262"/>
    </row>
    <row r="1157">
      <c r="A1157" s="91"/>
      <c r="B1157" s="91"/>
      <c r="C1157" s="91"/>
      <c r="E1157" s="28"/>
      <c r="F1157" s="283"/>
      <c r="G1157" s="284"/>
      <c r="H1157" s="283"/>
      <c r="I1157" s="285"/>
      <c r="K1157" s="285"/>
      <c r="L1157" s="262"/>
    </row>
    <row r="1158">
      <c r="A1158" s="91"/>
      <c r="B1158" s="91"/>
      <c r="C1158" s="91"/>
      <c r="E1158" s="28"/>
      <c r="F1158" s="283"/>
      <c r="G1158" s="284"/>
      <c r="H1158" s="283"/>
      <c r="I1158" s="285"/>
      <c r="K1158" s="285"/>
      <c r="L1158" s="262"/>
    </row>
    <row r="1159">
      <c r="A1159" s="91"/>
      <c r="B1159" s="91"/>
      <c r="C1159" s="91"/>
      <c r="E1159" s="28"/>
      <c r="F1159" s="283"/>
      <c r="G1159" s="284"/>
      <c r="H1159" s="283"/>
      <c r="I1159" s="285"/>
      <c r="K1159" s="285"/>
      <c r="L1159" s="262"/>
    </row>
    <row r="1160">
      <c r="A1160" s="91"/>
      <c r="B1160" s="91"/>
      <c r="C1160" s="91"/>
      <c r="E1160" s="28"/>
      <c r="F1160" s="283"/>
      <c r="G1160" s="284"/>
      <c r="H1160" s="283"/>
      <c r="I1160" s="285"/>
      <c r="K1160" s="285"/>
      <c r="L1160" s="262"/>
    </row>
    <row r="1161">
      <c r="A1161" s="91"/>
      <c r="B1161" s="91"/>
      <c r="C1161" s="91"/>
      <c r="E1161" s="28"/>
      <c r="F1161" s="283"/>
      <c r="G1161" s="284"/>
      <c r="H1161" s="283"/>
      <c r="I1161" s="285"/>
      <c r="K1161" s="285"/>
      <c r="L1161" s="262"/>
    </row>
    <row r="1162">
      <c r="A1162" s="91"/>
      <c r="B1162" s="91"/>
      <c r="C1162" s="91"/>
      <c r="E1162" s="28"/>
      <c r="F1162" s="283"/>
      <c r="G1162" s="284"/>
      <c r="H1162" s="283"/>
      <c r="I1162" s="285"/>
      <c r="K1162" s="285"/>
      <c r="L1162" s="262"/>
    </row>
    <row r="1163">
      <c r="A1163" s="91"/>
      <c r="B1163" s="91"/>
      <c r="C1163" s="91"/>
      <c r="E1163" s="28"/>
      <c r="F1163" s="283"/>
      <c r="G1163" s="284"/>
      <c r="H1163" s="283"/>
      <c r="I1163" s="285"/>
      <c r="K1163" s="285"/>
      <c r="L1163" s="262"/>
    </row>
    <row r="1164">
      <c r="A1164" s="91"/>
      <c r="B1164" s="91"/>
      <c r="C1164" s="91"/>
      <c r="E1164" s="28"/>
      <c r="F1164" s="283"/>
      <c r="G1164" s="284"/>
      <c r="H1164" s="283"/>
      <c r="I1164" s="285"/>
      <c r="K1164" s="285"/>
      <c r="L1164" s="262"/>
    </row>
    <row r="1165">
      <c r="A1165" s="91"/>
      <c r="B1165" s="91"/>
      <c r="C1165" s="91"/>
      <c r="E1165" s="28"/>
      <c r="F1165" s="283"/>
      <c r="G1165" s="284"/>
      <c r="H1165" s="283"/>
      <c r="I1165" s="285"/>
      <c r="K1165" s="285"/>
      <c r="L1165" s="262"/>
    </row>
    <row r="1166">
      <c r="A1166" s="91"/>
      <c r="B1166" s="91"/>
      <c r="C1166" s="91"/>
      <c r="E1166" s="28"/>
      <c r="F1166" s="283"/>
      <c r="G1166" s="284"/>
      <c r="H1166" s="283"/>
      <c r="I1166" s="285"/>
      <c r="K1166" s="285"/>
      <c r="L1166" s="262"/>
    </row>
    <row r="1167">
      <c r="A1167" s="91"/>
      <c r="B1167" s="91"/>
      <c r="C1167" s="91"/>
      <c r="E1167" s="28"/>
      <c r="F1167" s="283"/>
      <c r="G1167" s="284"/>
      <c r="H1167" s="283"/>
      <c r="I1167" s="285"/>
      <c r="K1167" s="285"/>
      <c r="L1167" s="262"/>
    </row>
    <row r="1168">
      <c r="A1168" s="91"/>
      <c r="B1168" s="91"/>
      <c r="C1168" s="91"/>
      <c r="E1168" s="28"/>
      <c r="F1168" s="283"/>
      <c r="G1168" s="284"/>
      <c r="H1168" s="283"/>
      <c r="I1168" s="285"/>
      <c r="K1168" s="285"/>
      <c r="L1168" s="262"/>
    </row>
    <row r="1169">
      <c r="A1169" s="91"/>
      <c r="B1169" s="91"/>
      <c r="C1169" s="91"/>
      <c r="E1169" s="28"/>
      <c r="F1169" s="283"/>
      <c r="G1169" s="284"/>
      <c r="H1169" s="283"/>
      <c r="I1169" s="285"/>
      <c r="K1169" s="285"/>
      <c r="L1169" s="262"/>
    </row>
    <row r="1170">
      <c r="A1170" s="91"/>
      <c r="B1170" s="91"/>
      <c r="C1170" s="91"/>
      <c r="E1170" s="28"/>
      <c r="F1170" s="283"/>
      <c r="G1170" s="284"/>
      <c r="H1170" s="283"/>
      <c r="I1170" s="285"/>
      <c r="K1170" s="285"/>
      <c r="L1170" s="262"/>
    </row>
    <row r="1171">
      <c r="A1171" s="91"/>
      <c r="B1171" s="91"/>
      <c r="C1171" s="91"/>
      <c r="E1171" s="28"/>
      <c r="F1171" s="283"/>
      <c r="G1171" s="284"/>
      <c r="H1171" s="283"/>
      <c r="I1171" s="285"/>
      <c r="K1171" s="285"/>
      <c r="L1171" s="262"/>
    </row>
    <row r="1172">
      <c r="A1172" s="91"/>
      <c r="B1172" s="91"/>
      <c r="C1172" s="91"/>
      <c r="E1172" s="28"/>
      <c r="F1172" s="283"/>
      <c r="G1172" s="284"/>
      <c r="H1172" s="283"/>
      <c r="I1172" s="285"/>
      <c r="K1172" s="285"/>
      <c r="L1172" s="262"/>
    </row>
    <row r="1173">
      <c r="A1173" s="91"/>
      <c r="B1173" s="91"/>
      <c r="C1173" s="91"/>
      <c r="E1173" s="28"/>
      <c r="F1173" s="283"/>
      <c r="G1173" s="284"/>
      <c r="H1173" s="283"/>
      <c r="I1173" s="285"/>
      <c r="K1173" s="285"/>
      <c r="L1173" s="262"/>
    </row>
    <row r="1174">
      <c r="A1174" s="91"/>
      <c r="B1174" s="91"/>
      <c r="C1174" s="91"/>
      <c r="E1174" s="28"/>
      <c r="F1174" s="283"/>
      <c r="G1174" s="284"/>
      <c r="H1174" s="283"/>
      <c r="I1174" s="285"/>
      <c r="K1174" s="285"/>
      <c r="L1174" s="262"/>
    </row>
    <row r="1175">
      <c r="A1175" s="91"/>
      <c r="B1175" s="91"/>
      <c r="C1175" s="91"/>
      <c r="E1175" s="28"/>
      <c r="F1175" s="283"/>
      <c r="G1175" s="284"/>
      <c r="H1175" s="283"/>
      <c r="I1175" s="285"/>
      <c r="K1175" s="285"/>
      <c r="L1175" s="262"/>
    </row>
    <row r="1176">
      <c r="A1176" s="91"/>
      <c r="B1176" s="91"/>
      <c r="C1176" s="91"/>
      <c r="E1176" s="28"/>
      <c r="F1176" s="283"/>
      <c r="G1176" s="284"/>
      <c r="H1176" s="283"/>
      <c r="I1176" s="285"/>
      <c r="K1176" s="285"/>
      <c r="L1176" s="262"/>
    </row>
    <row r="1177">
      <c r="A1177" s="91"/>
      <c r="B1177" s="91"/>
      <c r="C1177" s="91"/>
      <c r="E1177" s="28"/>
      <c r="F1177" s="283"/>
      <c r="G1177" s="284"/>
      <c r="H1177" s="283"/>
      <c r="I1177" s="285"/>
      <c r="K1177" s="285"/>
      <c r="L1177" s="262"/>
    </row>
    <row r="1178">
      <c r="A1178" s="91"/>
      <c r="B1178" s="91"/>
      <c r="C1178" s="91"/>
      <c r="E1178" s="28"/>
      <c r="F1178" s="283"/>
      <c r="G1178" s="284"/>
      <c r="H1178" s="283"/>
      <c r="I1178" s="285"/>
      <c r="K1178" s="285"/>
      <c r="L1178" s="262"/>
    </row>
    <row r="1179">
      <c r="A1179" s="91"/>
      <c r="B1179" s="91"/>
      <c r="C1179" s="91"/>
      <c r="E1179" s="28"/>
      <c r="F1179" s="283"/>
      <c r="G1179" s="284"/>
      <c r="H1179" s="283"/>
      <c r="I1179" s="285"/>
      <c r="K1179" s="285"/>
      <c r="L1179" s="262"/>
    </row>
    <row r="1180">
      <c r="A1180" s="91"/>
      <c r="B1180" s="91"/>
      <c r="C1180" s="91"/>
      <c r="E1180" s="28"/>
      <c r="F1180" s="283"/>
      <c r="G1180" s="284"/>
      <c r="H1180" s="283"/>
      <c r="I1180" s="285"/>
      <c r="K1180" s="285"/>
      <c r="L1180" s="262"/>
    </row>
    <row r="1181">
      <c r="A1181" s="91"/>
      <c r="B1181" s="91"/>
      <c r="C1181" s="91"/>
      <c r="E1181" s="28"/>
      <c r="F1181" s="283"/>
      <c r="G1181" s="284"/>
      <c r="H1181" s="283"/>
      <c r="I1181" s="285"/>
      <c r="K1181" s="285"/>
      <c r="L1181" s="262"/>
    </row>
    <row r="1182">
      <c r="A1182" s="91"/>
      <c r="B1182" s="91"/>
      <c r="C1182" s="91"/>
      <c r="E1182" s="28"/>
      <c r="F1182" s="283"/>
      <c r="G1182" s="284"/>
      <c r="H1182" s="283"/>
      <c r="I1182" s="285"/>
      <c r="K1182" s="285"/>
      <c r="L1182" s="262"/>
    </row>
    <row r="1183">
      <c r="A1183" s="91"/>
      <c r="B1183" s="91"/>
      <c r="C1183" s="91"/>
      <c r="E1183" s="28"/>
      <c r="F1183" s="283"/>
      <c r="G1183" s="284"/>
      <c r="H1183" s="283"/>
      <c r="I1183" s="285"/>
      <c r="K1183" s="285"/>
      <c r="L1183" s="262"/>
    </row>
    <row r="1184">
      <c r="A1184" s="91"/>
      <c r="B1184" s="91"/>
      <c r="C1184" s="91"/>
      <c r="E1184" s="28"/>
      <c r="F1184" s="283"/>
      <c r="G1184" s="284"/>
      <c r="H1184" s="283"/>
      <c r="I1184" s="285"/>
      <c r="K1184" s="285"/>
      <c r="L1184" s="262"/>
    </row>
    <row r="1185">
      <c r="A1185" s="91"/>
      <c r="B1185" s="91"/>
      <c r="C1185" s="91"/>
      <c r="E1185" s="28"/>
      <c r="F1185" s="283"/>
      <c r="G1185" s="284"/>
      <c r="H1185" s="283"/>
      <c r="I1185" s="285"/>
      <c r="K1185" s="285"/>
      <c r="L1185" s="262"/>
    </row>
    <row r="1186">
      <c r="A1186" s="91"/>
      <c r="B1186" s="91"/>
      <c r="C1186" s="91"/>
      <c r="E1186" s="28"/>
      <c r="F1186" s="283"/>
      <c r="G1186" s="284"/>
      <c r="H1186" s="283"/>
      <c r="I1186" s="285"/>
      <c r="K1186" s="285"/>
      <c r="L1186" s="262"/>
    </row>
    <row r="1187">
      <c r="A1187" s="91"/>
      <c r="B1187" s="91"/>
      <c r="C1187" s="91"/>
      <c r="E1187" s="28"/>
      <c r="F1187" s="283"/>
      <c r="G1187" s="284"/>
      <c r="H1187" s="283"/>
      <c r="I1187" s="285"/>
      <c r="K1187" s="285"/>
      <c r="L1187" s="262"/>
    </row>
    <row r="1188">
      <c r="A1188" s="91"/>
      <c r="B1188" s="91"/>
      <c r="C1188" s="91"/>
      <c r="E1188" s="28"/>
      <c r="F1188" s="283"/>
      <c r="G1188" s="284"/>
      <c r="H1188" s="283"/>
      <c r="I1188" s="285"/>
      <c r="K1188" s="285"/>
      <c r="L1188" s="262"/>
    </row>
    <row r="1189">
      <c r="A1189" s="91"/>
      <c r="B1189" s="91"/>
      <c r="C1189" s="91"/>
      <c r="E1189" s="28"/>
      <c r="F1189" s="283"/>
      <c r="G1189" s="284"/>
      <c r="H1189" s="283"/>
      <c r="I1189" s="285"/>
      <c r="K1189" s="285"/>
      <c r="L1189" s="262"/>
    </row>
    <row r="1190">
      <c r="A1190" s="91"/>
      <c r="B1190" s="91"/>
      <c r="C1190" s="91"/>
      <c r="E1190" s="28"/>
      <c r="F1190" s="283"/>
      <c r="G1190" s="284"/>
      <c r="H1190" s="283"/>
      <c r="I1190" s="285"/>
      <c r="K1190" s="285"/>
      <c r="L1190" s="262"/>
    </row>
    <row r="1191">
      <c r="A1191" s="91"/>
      <c r="B1191" s="91"/>
      <c r="C1191" s="91"/>
      <c r="E1191" s="28"/>
      <c r="F1191" s="283"/>
      <c r="G1191" s="284"/>
      <c r="H1191" s="283"/>
      <c r="I1191" s="285"/>
      <c r="K1191" s="285"/>
      <c r="L1191" s="262"/>
    </row>
    <row r="1192">
      <c r="A1192" s="91"/>
      <c r="B1192" s="91"/>
      <c r="C1192" s="91"/>
      <c r="E1192" s="28"/>
      <c r="F1192" s="283"/>
      <c r="G1192" s="284"/>
      <c r="H1192" s="283"/>
      <c r="I1192" s="285"/>
      <c r="K1192" s="285"/>
      <c r="L1192" s="262"/>
    </row>
    <row r="1193">
      <c r="A1193" s="91"/>
      <c r="B1193" s="91"/>
      <c r="C1193" s="91"/>
      <c r="E1193" s="28"/>
      <c r="F1193" s="283"/>
      <c r="G1193" s="284"/>
      <c r="H1193" s="283"/>
      <c r="I1193" s="285"/>
      <c r="K1193" s="285"/>
      <c r="L1193" s="262"/>
    </row>
    <row r="1194">
      <c r="A1194" s="91"/>
      <c r="B1194" s="91"/>
      <c r="C1194" s="91"/>
      <c r="E1194" s="28"/>
      <c r="F1194" s="283"/>
      <c r="G1194" s="284"/>
      <c r="H1194" s="283"/>
      <c r="I1194" s="285"/>
      <c r="K1194" s="285"/>
      <c r="L1194" s="262"/>
    </row>
    <row r="1195">
      <c r="A1195" s="91"/>
      <c r="B1195" s="91"/>
      <c r="C1195" s="91"/>
      <c r="E1195" s="28"/>
      <c r="F1195" s="283"/>
      <c r="G1195" s="284"/>
      <c r="H1195" s="283"/>
      <c r="I1195" s="285"/>
      <c r="K1195" s="285"/>
      <c r="L1195" s="262"/>
    </row>
    <row r="1196">
      <c r="A1196" s="91"/>
      <c r="B1196" s="91"/>
      <c r="C1196" s="91"/>
      <c r="E1196" s="28"/>
      <c r="F1196" s="283"/>
      <c r="G1196" s="284"/>
      <c r="H1196" s="283"/>
      <c r="I1196" s="285"/>
      <c r="K1196" s="285"/>
      <c r="L1196" s="262"/>
    </row>
    <row r="1197">
      <c r="A1197" s="91"/>
      <c r="B1197" s="91"/>
      <c r="C1197" s="91"/>
      <c r="E1197" s="28"/>
      <c r="F1197" s="283"/>
      <c r="G1197" s="284"/>
      <c r="H1197" s="283"/>
      <c r="I1197" s="285"/>
      <c r="K1197" s="285"/>
      <c r="L1197" s="262"/>
    </row>
    <row r="1198">
      <c r="A1198" s="91"/>
      <c r="B1198" s="91"/>
      <c r="C1198" s="91"/>
      <c r="E1198" s="28"/>
      <c r="F1198" s="283"/>
      <c r="G1198" s="284"/>
      <c r="H1198" s="283"/>
      <c r="I1198" s="285"/>
      <c r="K1198" s="285"/>
      <c r="L1198" s="262"/>
    </row>
    <row r="1199">
      <c r="A1199" s="91"/>
      <c r="B1199" s="91"/>
      <c r="C1199" s="91"/>
      <c r="E1199" s="28"/>
      <c r="F1199" s="283"/>
      <c r="G1199" s="284"/>
      <c r="H1199" s="283"/>
      <c r="I1199" s="285"/>
      <c r="K1199" s="285"/>
      <c r="L1199" s="262"/>
    </row>
    <row r="1200">
      <c r="A1200" s="91"/>
      <c r="B1200" s="91"/>
      <c r="C1200" s="91"/>
      <c r="E1200" s="28"/>
      <c r="F1200" s="283"/>
      <c r="G1200" s="284"/>
      <c r="H1200" s="283"/>
      <c r="I1200" s="285"/>
      <c r="K1200" s="285"/>
      <c r="L1200" s="262"/>
    </row>
    <row r="1201">
      <c r="A1201" s="91"/>
      <c r="B1201" s="91"/>
      <c r="C1201" s="91"/>
      <c r="E1201" s="28"/>
      <c r="F1201" s="283"/>
      <c r="G1201" s="284"/>
      <c r="H1201" s="283"/>
      <c r="I1201" s="285"/>
      <c r="K1201" s="285"/>
      <c r="L1201" s="262"/>
    </row>
    <row r="1202">
      <c r="A1202" s="91"/>
      <c r="B1202" s="91"/>
      <c r="C1202" s="91"/>
      <c r="E1202" s="28"/>
      <c r="F1202" s="283"/>
      <c r="G1202" s="284"/>
      <c r="H1202" s="283"/>
      <c r="I1202" s="285"/>
      <c r="K1202" s="285"/>
      <c r="L1202" s="262"/>
    </row>
    <row r="1203">
      <c r="A1203" s="91"/>
      <c r="B1203" s="91"/>
      <c r="C1203" s="91"/>
      <c r="E1203" s="28"/>
      <c r="F1203" s="283"/>
      <c r="G1203" s="284"/>
      <c r="H1203" s="283"/>
      <c r="I1203" s="285"/>
      <c r="K1203" s="285"/>
      <c r="L1203" s="262"/>
    </row>
    <row r="1204">
      <c r="A1204" s="91"/>
      <c r="B1204" s="91"/>
      <c r="C1204" s="91"/>
      <c r="E1204" s="28"/>
      <c r="F1204" s="283"/>
      <c r="G1204" s="284"/>
      <c r="H1204" s="283"/>
      <c r="I1204" s="285"/>
      <c r="K1204" s="285"/>
      <c r="L1204" s="262"/>
    </row>
    <row r="1205">
      <c r="A1205" s="91"/>
      <c r="B1205" s="91"/>
      <c r="C1205" s="91"/>
      <c r="E1205" s="28"/>
      <c r="F1205" s="283"/>
      <c r="G1205" s="284"/>
      <c r="H1205" s="283"/>
      <c r="I1205" s="285"/>
      <c r="K1205" s="285"/>
      <c r="L1205" s="262"/>
    </row>
    <row r="1206">
      <c r="A1206" s="91"/>
      <c r="B1206" s="91"/>
      <c r="C1206" s="91"/>
      <c r="E1206" s="28"/>
      <c r="F1206" s="283"/>
      <c r="G1206" s="284"/>
      <c r="H1206" s="283"/>
      <c r="I1206" s="285"/>
      <c r="K1206" s="285"/>
      <c r="L1206" s="262"/>
    </row>
    <row r="1207">
      <c r="A1207" s="91"/>
      <c r="B1207" s="91"/>
      <c r="C1207" s="91"/>
      <c r="E1207" s="28"/>
      <c r="F1207" s="283"/>
      <c r="G1207" s="284"/>
      <c r="H1207" s="283"/>
      <c r="I1207" s="285"/>
      <c r="K1207" s="285"/>
      <c r="L1207" s="262"/>
    </row>
    <row r="1208">
      <c r="A1208" s="91"/>
      <c r="B1208" s="91"/>
      <c r="C1208" s="91"/>
      <c r="E1208" s="28"/>
      <c r="F1208" s="283"/>
      <c r="G1208" s="284"/>
      <c r="H1208" s="283"/>
      <c r="I1208" s="285"/>
      <c r="K1208" s="285"/>
      <c r="L1208" s="262"/>
    </row>
    <row r="1209">
      <c r="A1209" s="91"/>
      <c r="B1209" s="91"/>
      <c r="C1209" s="91"/>
      <c r="E1209" s="28"/>
      <c r="F1209" s="283"/>
      <c r="G1209" s="284"/>
      <c r="H1209" s="283"/>
      <c r="I1209" s="285"/>
      <c r="K1209" s="285"/>
      <c r="L1209" s="262"/>
    </row>
    <row r="1210">
      <c r="A1210" s="91"/>
      <c r="B1210" s="91"/>
      <c r="C1210" s="91"/>
      <c r="E1210" s="28"/>
      <c r="F1210" s="283"/>
      <c r="G1210" s="284"/>
      <c r="H1210" s="283"/>
      <c r="I1210" s="285"/>
      <c r="K1210" s="285"/>
      <c r="L1210" s="262"/>
    </row>
    <row r="1211">
      <c r="A1211" s="91"/>
      <c r="B1211" s="91"/>
      <c r="C1211" s="91"/>
      <c r="E1211" s="28"/>
      <c r="F1211" s="283"/>
      <c r="G1211" s="284"/>
      <c r="H1211" s="283"/>
      <c r="I1211" s="285"/>
      <c r="K1211" s="285"/>
      <c r="L1211" s="262"/>
    </row>
    <row r="1212">
      <c r="A1212" s="91"/>
      <c r="B1212" s="91"/>
      <c r="C1212" s="91"/>
      <c r="E1212" s="28"/>
      <c r="F1212" s="283"/>
      <c r="G1212" s="284"/>
      <c r="H1212" s="283"/>
      <c r="I1212" s="285"/>
      <c r="K1212" s="285"/>
      <c r="L1212" s="262"/>
    </row>
    <row r="1213">
      <c r="A1213" s="91"/>
      <c r="B1213" s="91"/>
      <c r="C1213" s="91"/>
      <c r="E1213" s="28"/>
      <c r="F1213" s="283"/>
      <c r="G1213" s="284"/>
      <c r="H1213" s="283"/>
      <c r="I1213" s="285"/>
      <c r="K1213" s="285"/>
      <c r="L1213" s="262"/>
    </row>
    <row r="1214">
      <c r="A1214" s="91"/>
      <c r="B1214" s="91"/>
      <c r="C1214" s="91"/>
      <c r="E1214" s="28"/>
      <c r="F1214" s="283"/>
      <c r="G1214" s="284"/>
      <c r="H1214" s="283"/>
      <c r="I1214" s="285"/>
      <c r="K1214" s="285"/>
      <c r="L1214" s="262"/>
    </row>
    <row r="1215">
      <c r="A1215" s="91"/>
      <c r="B1215" s="91"/>
      <c r="C1215" s="91"/>
      <c r="E1215" s="28"/>
      <c r="F1215" s="283"/>
      <c r="G1215" s="284"/>
      <c r="H1215" s="283"/>
      <c r="I1215" s="285"/>
      <c r="K1215" s="285"/>
      <c r="L1215" s="262"/>
    </row>
    <row r="1216">
      <c r="A1216" s="91"/>
      <c r="B1216" s="91"/>
      <c r="C1216" s="91"/>
      <c r="E1216" s="28"/>
      <c r="F1216" s="283"/>
      <c r="G1216" s="284"/>
      <c r="H1216" s="283"/>
      <c r="I1216" s="285"/>
      <c r="K1216" s="285"/>
      <c r="L1216" s="262"/>
    </row>
    <row r="1217">
      <c r="A1217" s="91"/>
      <c r="B1217" s="91"/>
      <c r="C1217" s="91"/>
      <c r="E1217" s="28"/>
      <c r="F1217" s="283"/>
      <c r="G1217" s="284"/>
      <c r="H1217" s="283"/>
      <c r="I1217" s="285"/>
      <c r="K1217" s="285"/>
      <c r="L1217" s="262"/>
    </row>
    <row r="1218">
      <c r="A1218" s="91"/>
      <c r="B1218" s="91"/>
      <c r="C1218" s="91"/>
      <c r="E1218" s="28"/>
      <c r="F1218" s="283"/>
      <c r="G1218" s="284"/>
      <c r="H1218" s="283"/>
      <c r="I1218" s="285"/>
      <c r="K1218" s="285"/>
      <c r="L1218" s="262"/>
    </row>
    <row r="1219">
      <c r="A1219" s="91"/>
      <c r="B1219" s="91"/>
      <c r="C1219" s="91"/>
      <c r="E1219" s="28"/>
      <c r="F1219" s="283"/>
      <c r="G1219" s="284"/>
      <c r="H1219" s="283"/>
      <c r="I1219" s="285"/>
      <c r="K1219" s="285"/>
      <c r="L1219" s="262"/>
    </row>
    <row r="1220">
      <c r="A1220" s="91"/>
      <c r="B1220" s="91"/>
      <c r="C1220" s="91"/>
      <c r="E1220" s="28"/>
      <c r="F1220" s="283"/>
      <c r="G1220" s="284"/>
      <c r="H1220" s="283"/>
      <c r="I1220" s="285"/>
      <c r="K1220" s="285"/>
      <c r="L1220" s="262"/>
    </row>
    <row r="1221">
      <c r="A1221" s="91"/>
      <c r="B1221" s="91"/>
      <c r="C1221" s="91"/>
      <c r="E1221" s="28"/>
      <c r="F1221" s="283"/>
      <c r="G1221" s="284"/>
      <c r="H1221" s="283"/>
      <c r="I1221" s="285"/>
      <c r="K1221" s="285"/>
      <c r="L1221" s="262"/>
    </row>
    <row r="1222">
      <c r="A1222" s="91"/>
      <c r="B1222" s="91"/>
      <c r="C1222" s="91"/>
      <c r="E1222" s="28"/>
      <c r="F1222" s="283"/>
      <c r="G1222" s="284"/>
      <c r="H1222" s="283"/>
      <c r="I1222" s="285"/>
      <c r="K1222" s="285"/>
      <c r="L1222" s="262"/>
    </row>
    <row r="1223">
      <c r="A1223" s="91"/>
      <c r="B1223" s="91"/>
      <c r="C1223" s="91"/>
      <c r="E1223" s="28"/>
      <c r="F1223" s="283"/>
      <c r="G1223" s="284"/>
      <c r="H1223" s="283"/>
      <c r="I1223" s="285"/>
      <c r="K1223" s="285"/>
      <c r="L1223" s="262"/>
    </row>
    <row r="1224">
      <c r="A1224" s="91"/>
      <c r="B1224" s="91"/>
      <c r="C1224" s="91"/>
      <c r="E1224" s="28"/>
      <c r="F1224" s="283"/>
      <c r="G1224" s="284"/>
      <c r="H1224" s="283"/>
      <c r="I1224" s="285"/>
      <c r="K1224" s="285"/>
      <c r="L1224" s="262"/>
    </row>
    <row r="1225">
      <c r="A1225" s="91"/>
      <c r="B1225" s="91"/>
      <c r="C1225" s="91"/>
      <c r="E1225" s="28"/>
      <c r="F1225" s="283"/>
      <c r="G1225" s="284"/>
      <c r="H1225" s="283"/>
      <c r="I1225" s="285"/>
      <c r="K1225" s="285"/>
      <c r="L1225" s="262"/>
    </row>
    <row r="1226">
      <c r="A1226" s="91"/>
      <c r="B1226" s="91"/>
      <c r="C1226" s="91"/>
      <c r="E1226" s="28"/>
      <c r="F1226" s="283"/>
      <c r="G1226" s="284"/>
      <c r="H1226" s="283"/>
      <c r="I1226" s="285"/>
      <c r="K1226" s="285"/>
      <c r="L1226" s="262"/>
    </row>
    <row r="1227">
      <c r="A1227" s="91"/>
      <c r="B1227" s="91"/>
      <c r="C1227" s="91"/>
      <c r="E1227" s="28"/>
      <c r="F1227" s="283"/>
      <c r="G1227" s="284"/>
      <c r="H1227" s="283"/>
      <c r="I1227" s="285"/>
      <c r="K1227" s="285"/>
      <c r="L1227" s="262"/>
    </row>
    <row r="1228">
      <c r="A1228" s="91"/>
      <c r="B1228" s="91"/>
      <c r="C1228" s="91"/>
      <c r="E1228" s="28"/>
      <c r="F1228" s="283"/>
      <c r="G1228" s="284"/>
      <c r="H1228" s="283"/>
      <c r="I1228" s="285"/>
      <c r="K1228" s="285"/>
      <c r="L1228" s="262"/>
    </row>
    <row r="1229">
      <c r="A1229" s="91"/>
      <c r="B1229" s="91"/>
      <c r="C1229" s="91"/>
      <c r="E1229" s="28"/>
      <c r="F1229" s="283"/>
      <c r="G1229" s="284"/>
      <c r="H1229" s="283"/>
      <c r="I1229" s="285"/>
      <c r="K1229" s="285"/>
      <c r="L1229" s="262"/>
    </row>
    <row r="1230">
      <c r="A1230" s="91"/>
      <c r="B1230" s="91"/>
      <c r="C1230" s="91"/>
      <c r="E1230" s="28"/>
      <c r="F1230" s="283"/>
      <c r="G1230" s="284"/>
      <c r="H1230" s="283"/>
      <c r="I1230" s="285"/>
      <c r="K1230" s="285"/>
      <c r="L1230" s="262"/>
    </row>
    <row r="1231">
      <c r="A1231" s="91"/>
      <c r="B1231" s="91"/>
      <c r="C1231" s="91"/>
      <c r="E1231" s="28"/>
      <c r="F1231" s="283"/>
      <c r="G1231" s="284"/>
      <c r="H1231" s="283"/>
      <c r="I1231" s="285"/>
      <c r="K1231" s="285"/>
      <c r="L1231" s="262"/>
    </row>
    <row r="1232">
      <c r="A1232" s="91"/>
      <c r="B1232" s="91"/>
      <c r="C1232" s="91"/>
      <c r="E1232" s="28"/>
      <c r="F1232" s="283"/>
      <c r="G1232" s="284"/>
      <c r="H1232" s="283"/>
      <c r="I1232" s="285"/>
      <c r="K1232" s="285"/>
      <c r="L1232" s="262"/>
    </row>
    <row r="1233">
      <c r="A1233" s="91"/>
      <c r="B1233" s="91"/>
      <c r="C1233" s="91"/>
      <c r="E1233" s="28"/>
      <c r="F1233" s="283"/>
      <c r="G1233" s="284"/>
      <c r="H1233" s="283"/>
      <c r="I1233" s="285"/>
      <c r="K1233" s="285"/>
      <c r="L1233" s="262"/>
    </row>
    <row r="1234">
      <c r="A1234" s="91"/>
      <c r="B1234" s="91"/>
      <c r="C1234" s="91"/>
      <c r="E1234" s="28"/>
      <c r="F1234" s="283"/>
      <c r="G1234" s="284"/>
      <c r="H1234" s="283"/>
      <c r="I1234" s="285"/>
      <c r="K1234" s="285"/>
      <c r="L1234" s="262"/>
    </row>
    <row r="1235">
      <c r="A1235" s="91"/>
      <c r="B1235" s="91"/>
      <c r="C1235" s="91"/>
      <c r="E1235" s="28"/>
      <c r="F1235" s="283"/>
      <c r="G1235" s="284"/>
      <c r="H1235" s="283"/>
      <c r="I1235" s="285"/>
      <c r="K1235" s="285"/>
      <c r="L1235" s="262"/>
    </row>
    <row r="1236">
      <c r="A1236" s="91"/>
      <c r="B1236" s="91"/>
      <c r="C1236" s="91"/>
      <c r="E1236" s="28"/>
      <c r="F1236" s="283"/>
      <c r="G1236" s="284"/>
      <c r="H1236" s="283"/>
      <c r="I1236" s="285"/>
      <c r="K1236" s="285"/>
      <c r="L1236" s="262"/>
    </row>
    <row r="1237">
      <c r="A1237" s="91"/>
      <c r="B1237" s="91"/>
      <c r="C1237" s="91"/>
      <c r="E1237" s="28"/>
      <c r="F1237" s="283"/>
      <c r="G1237" s="284"/>
      <c r="H1237" s="283"/>
      <c r="I1237" s="285"/>
      <c r="K1237" s="285"/>
      <c r="L1237" s="262"/>
    </row>
    <row r="1238">
      <c r="A1238" s="91"/>
      <c r="B1238" s="91"/>
      <c r="C1238" s="91"/>
      <c r="E1238" s="28"/>
      <c r="F1238" s="283"/>
      <c r="G1238" s="284"/>
      <c r="H1238" s="283"/>
      <c r="I1238" s="285"/>
      <c r="K1238" s="285"/>
      <c r="L1238" s="262"/>
    </row>
    <row r="1239">
      <c r="A1239" s="91"/>
      <c r="B1239" s="91"/>
      <c r="C1239" s="91"/>
      <c r="E1239" s="28"/>
      <c r="F1239" s="283"/>
      <c r="G1239" s="284"/>
      <c r="H1239" s="283"/>
      <c r="I1239" s="285"/>
      <c r="K1239" s="285"/>
      <c r="L1239" s="262"/>
    </row>
    <row r="1240">
      <c r="A1240" s="91"/>
      <c r="B1240" s="91"/>
      <c r="C1240" s="91"/>
      <c r="E1240" s="28"/>
      <c r="F1240" s="283"/>
      <c r="G1240" s="284"/>
      <c r="H1240" s="283"/>
      <c r="I1240" s="285"/>
      <c r="K1240" s="285"/>
      <c r="L1240" s="262"/>
    </row>
    <row r="1241">
      <c r="A1241" s="91"/>
      <c r="B1241" s="91"/>
      <c r="C1241" s="91"/>
      <c r="E1241" s="28"/>
      <c r="F1241" s="283"/>
      <c r="G1241" s="284"/>
      <c r="H1241" s="283"/>
      <c r="I1241" s="285"/>
      <c r="K1241" s="285"/>
      <c r="L1241" s="262"/>
    </row>
    <row r="1242">
      <c r="A1242" s="91"/>
      <c r="B1242" s="91"/>
      <c r="C1242" s="91"/>
      <c r="E1242" s="28"/>
      <c r="F1242" s="283"/>
      <c r="G1242" s="284"/>
      <c r="H1242" s="283"/>
      <c r="I1242" s="285"/>
      <c r="K1242" s="285"/>
      <c r="L1242" s="262"/>
    </row>
    <row r="1243">
      <c r="A1243" s="91"/>
      <c r="B1243" s="91"/>
      <c r="C1243" s="91"/>
      <c r="E1243" s="28"/>
      <c r="F1243" s="283"/>
      <c r="G1243" s="284"/>
      <c r="H1243" s="283"/>
      <c r="I1243" s="285"/>
      <c r="K1243" s="285"/>
      <c r="L1243" s="262"/>
    </row>
    <row r="1244">
      <c r="A1244" s="91"/>
      <c r="B1244" s="91"/>
      <c r="C1244" s="91"/>
      <c r="E1244" s="28"/>
      <c r="F1244" s="283"/>
      <c r="G1244" s="284"/>
      <c r="H1244" s="283"/>
      <c r="I1244" s="285"/>
      <c r="K1244" s="285"/>
      <c r="L1244" s="262"/>
    </row>
    <row r="1245">
      <c r="A1245" s="91"/>
      <c r="B1245" s="91"/>
      <c r="C1245" s="91"/>
      <c r="E1245" s="28"/>
      <c r="F1245" s="283"/>
      <c r="G1245" s="284"/>
      <c r="H1245" s="283"/>
      <c r="I1245" s="285"/>
      <c r="K1245" s="285"/>
      <c r="L1245" s="262"/>
    </row>
    <row r="1246">
      <c r="A1246" s="91"/>
      <c r="B1246" s="91"/>
      <c r="C1246" s="91"/>
      <c r="E1246" s="28"/>
      <c r="F1246" s="283"/>
      <c r="G1246" s="284"/>
      <c r="H1246" s="283"/>
      <c r="I1246" s="285"/>
      <c r="K1246" s="285"/>
      <c r="L1246" s="262"/>
    </row>
    <row r="1247">
      <c r="A1247" s="91"/>
      <c r="B1247" s="91"/>
      <c r="C1247" s="91"/>
      <c r="E1247" s="28"/>
      <c r="F1247" s="283"/>
      <c r="G1247" s="284"/>
      <c r="H1247" s="283"/>
      <c r="I1247" s="285"/>
      <c r="K1247" s="285"/>
      <c r="L1247" s="262"/>
    </row>
    <row r="1248">
      <c r="A1248" s="91"/>
      <c r="B1248" s="91"/>
      <c r="C1248" s="91"/>
      <c r="E1248" s="28"/>
      <c r="F1248" s="283"/>
      <c r="G1248" s="284"/>
      <c r="H1248" s="283"/>
      <c r="I1248" s="285"/>
      <c r="K1248" s="285"/>
      <c r="L1248" s="262"/>
    </row>
    <row r="1249">
      <c r="A1249" s="91"/>
      <c r="B1249" s="91"/>
      <c r="C1249" s="91"/>
      <c r="E1249" s="28"/>
      <c r="F1249" s="283"/>
      <c r="G1249" s="284"/>
      <c r="H1249" s="283"/>
      <c r="I1249" s="285"/>
      <c r="K1249" s="285"/>
      <c r="L1249" s="262"/>
    </row>
    <row r="1250">
      <c r="A1250" s="91"/>
      <c r="B1250" s="91"/>
      <c r="C1250" s="91"/>
      <c r="E1250" s="28"/>
      <c r="F1250" s="283"/>
      <c r="G1250" s="284"/>
      <c r="H1250" s="283"/>
      <c r="I1250" s="285"/>
      <c r="K1250" s="285"/>
      <c r="L1250" s="262"/>
    </row>
    <row r="1251">
      <c r="A1251" s="91"/>
      <c r="B1251" s="91"/>
      <c r="C1251" s="91"/>
      <c r="E1251" s="28"/>
      <c r="F1251" s="283"/>
      <c r="G1251" s="284"/>
      <c r="H1251" s="283"/>
      <c r="I1251" s="285"/>
      <c r="K1251" s="285"/>
      <c r="L1251" s="262"/>
    </row>
    <row r="1252">
      <c r="A1252" s="91"/>
      <c r="B1252" s="91"/>
      <c r="C1252" s="91"/>
      <c r="E1252" s="28"/>
      <c r="F1252" s="283"/>
      <c r="G1252" s="284"/>
      <c r="H1252" s="283"/>
      <c r="I1252" s="285"/>
      <c r="K1252" s="285"/>
      <c r="L1252" s="262"/>
    </row>
    <row r="1253">
      <c r="A1253" s="91"/>
      <c r="B1253" s="91"/>
      <c r="C1253" s="91"/>
      <c r="E1253" s="28"/>
      <c r="F1253" s="283"/>
      <c r="G1253" s="284"/>
      <c r="H1253" s="283"/>
      <c r="I1253" s="285"/>
      <c r="K1253" s="285"/>
      <c r="L1253" s="262"/>
    </row>
    <row r="1254">
      <c r="A1254" s="91"/>
      <c r="B1254" s="91"/>
      <c r="C1254" s="91"/>
      <c r="E1254" s="28"/>
      <c r="F1254" s="283"/>
      <c r="G1254" s="284"/>
      <c r="H1254" s="283"/>
      <c r="I1254" s="285"/>
      <c r="K1254" s="285"/>
      <c r="L1254" s="262"/>
    </row>
    <row r="1255">
      <c r="A1255" s="91"/>
      <c r="B1255" s="91"/>
      <c r="C1255" s="91"/>
      <c r="E1255" s="28"/>
      <c r="F1255" s="283"/>
      <c r="G1255" s="284"/>
      <c r="H1255" s="283"/>
      <c r="I1255" s="285"/>
      <c r="K1255" s="285"/>
      <c r="L1255" s="262"/>
    </row>
    <row r="1256">
      <c r="A1256" s="91"/>
      <c r="B1256" s="91"/>
      <c r="C1256" s="91"/>
      <c r="E1256" s="28"/>
      <c r="F1256" s="283"/>
      <c r="G1256" s="284"/>
      <c r="H1256" s="283"/>
      <c r="I1256" s="285"/>
      <c r="K1256" s="285"/>
      <c r="L1256" s="262"/>
    </row>
    <row r="1257">
      <c r="A1257" s="91"/>
      <c r="B1257" s="91"/>
      <c r="C1257" s="91"/>
      <c r="E1257" s="28"/>
      <c r="F1257" s="283"/>
      <c r="G1257" s="284"/>
      <c r="H1257" s="283"/>
      <c r="I1257" s="285"/>
      <c r="K1257" s="285"/>
      <c r="L1257" s="262"/>
    </row>
    <row r="1258">
      <c r="A1258" s="91"/>
      <c r="B1258" s="91"/>
      <c r="C1258" s="91"/>
      <c r="E1258" s="28"/>
      <c r="F1258" s="283"/>
      <c r="G1258" s="284"/>
      <c r="H1258" s="283"/>
      <c r="I1258" s="285"/>
      <c r="K1258" s="285"/>
      <c r="L1258" s="262"/>
    </row>
    <row r="1259">
      <c r="A1259" s="91"/>
      <c r="B1259" s="91"/>
      <c r="C1259" s="91"/>
      <c r="E1259" s="28"/>
      <c r="F1259" s="283"/>
      <c r="G1259" s="284"/>
      <c r="H1259" s="283"/>
      <c r="I1259" s="285"/>
      <c r="K1259" s="285"/>
      <c r="L1259" s="262"/>
    </row>
    <row r="1260">
      <c r="A1260" s="91"/>
      <c r="B1260" s="91"/>
      <c r="C1260" s="91"/>
      <c r="E1260" s="28"/>
      <c r="F1260" s="283"/>
      <c r="G1260" s="284"/>
      <c r="H1260" s="283"/>
      <c r="I1260" s="285"/>
      <c r="K1260" s="285"/>
      <c r="L1260" s="262"/>
    </row>
    <row r="1261">
      <c r="A1261" s="91"/>
      <c r="B1261" s="91"/>
      <c r="C1261" s="91"/>
      <c r="E1261" s="28"/>
      <c r="F1261" s="283"/>
      <c r="G1261" s="284"/>
      <c r="H1261" s="283"/>
      <c r="I1261" s="285"/>
      <c r="K1261" s="285"/>
      <c r="L1261" s="262"/>
    </row>
    <row r="1262">
      <c r="A1262" s="91"/>
      <c r="B1262" s="91"/>
      <c r="C1262" s="91"/>
      <c r="E1262" s="28"/>
      <c r="F1262" s="283"/>
      <c r="G1262" s="284"/>
      <c r="H1262" s="283"/>
      <c r="I1262" s="285"/>
      <c r="K1262" s="285"/>
      <c r="L1262" s="262"/>
    </row>
    <row r="1263">
      <c r="A1263" s="91"/>
      <c r="B1263" s="91"/>
      <c r="C1263" s="91"/>
      <c r="E1263" s="28"/>
      <c r="F1263" s="283"/>
      <c r="G1263" s="284"/>
      <c r="H1263" s="283"/>
      <c r="I1263" s="285"/>
      <c r="K1263" s="285"/>
      <c r="L1263" s="262"/>
    </row>
    <row r="1264">
      <c r="A1264" s="91"/>
      <c r="B1264" s="91"/>
      <c r="C1264" s="91"/>
      <c r="E1264" s="28"/>
      <c r="F1264" s="283"/>
      <c r="G1264" s="284"/>
      <c r="H1264" s="283"/>
      <c r="I1264" s="285"/>
      <c r="K1264" s="285"/>
      <c r="L1264" s="262"/>
    </row>
    <row r="1265">
      <c r="A1265" s="91"/>
      <c r="B1265" s="91"/>
      <c r="C1265" s="91"/>
      <c r="E1265" s="28"/>
      <c r="F1265" s="283"/>
      <c r="G1265" s="284"/>
      <c r="H1265" s="283"/>
      <c r="I1265" s="285"/>
      <c r="K1265" s="285"/>
      <c r="L1265" s="262"/>
    </row>
    <row r="1266">
      <c r="A1266" s="91"/>
      <c r="B1266" s="91"/>
      <c r="C1266" s="91"/>
      <c r="E1266" s="28"/>
      <c r="F1266" s="283"/>
      <c r="G1266" s="284"/>
      <c r="H1266" s="283"/>
      <c r="I1266" s="285"/>
      <c r="K1266" s="285"/>
      <c r="L1266" s="262"/>
    </row>
    <row r="1267">
      <c r="A1267" s="91"/>
      <c r="B1267" s="91"/>
      <c r="C1267" s="91"/>
      <c r="E1267" s="28"/>
      <c r="F1267" s="283"/>
      <c r="G1267" s="284"/>
      <c r="H1267" s="283"/>
      <c r="I1267" s="285"/>
      <c r="K1267" s="285"/>
      <c r="L1267" s="262"/>
    </row>
    <row r="1268">
      <c r="A1268" s="91"/>
      <c r="B1268" s="91"/>
      <c r="C1268" s="91"/>
      <c r="E1268" s="28"/>
      <c r="F1268" s="283"/>
      <c r="G1268" s="284"/>
      <c r="H1268" s="283"/>
      <c r="I1268" s="285"/>
      <c r="K1268" s="285"/>
      <c r="L1268" s="262"/>
    </row>
    <row r="1269">
      <c r="A1269" s="91"/>
      <c r="B1269" s="91"/>
      <c r="C1269" s="91"/>
      <c r="E1269" s="28"/>
      <c r="F1269" s="283"/>
      <c r="G1269" s="284"/>
      <c r="H1269" s="283"/>
      <c r="I1269" s="285"/>
      <c r="K1269" s="285"/>
      <c r="L1269" s="262"/>
    </row>
    <row r="1270">
      <c r="A1270" s="91"/>
      <c r="B1270" s="91"/>
      <c r="C1270" s="91"/>
      <c r="E1270" s="28"/>
      <c r="F1270" s="283"/>
      <c r="G1270" s="284"/>
      <c r="H1270" s="283"/>
      <c r="I1270" s="285"/>
      <c r="K1270" s="285"/>
      <c r="L1270" s="262"/>
    </row>
    <row r="1271">
      <c r="A1271" s="91"/>
      <c r="B1271" s="91"/>
      <c r="C1271" s="91"/>
      <c r="E1271" s="28"/>
      <c r="F1271" s="283"/>
      <c r="G1271" s="284"/>
      <c r="H1271" s="283"/>
      <c r="I1271" s="285"/>
      <c r="K1271" s="285"/>
      <c r="L1271" s="262"/>
    </row>
    <row r="1272">
      <c r="A1272" s="91"/>
      <c r="B1272" s="91"/>
      <c r="C1272" s="91"/>
      <c r="E1272" s="28"/>
      <c r="F1272" s="283"/>
      <c r="G1272" s="284"/>
      <c r="H1272" s="283"/>
      <c r="I1272" s="285"/>
      <c r="K1272" s="285"/>
      <c r="L1272" s="262"/>
    </row>
    <row r="1273">
      <c r="A1273" s="91"/>
      <c r="B1273" s="91"/>
      <c r="C1273" s="91"/>
      <c r="E1273" s="28"/>
      <c r="F1273" s="283"/>
      <c r="G1273" s="284"/>
      <c r="H1273" s="283"/>
      <c r="I1273" s="285"/>
      <c r="K1273" s="285"/>
      <c r="L1273" s="262"/>
    </row>
    <row r="1274">
      <c r="A1274" s="91"/>
      <c r="B1274" s="91"/>
      <c r="C1274" s="91"/>
      <c r="E1274" s="28"/>
      <c r="F1274" s="283"/>
      <c r="G1274" s="284"/>
      <c r="H1274" s="283"/>
      <c r="I1274" s="285"/>
      <c r="K1274" s="285"/>
      <c r="L1274" s="262"/>
    </row>
    <row r="1275">
      <c r="A1275" s="91"/>
      <c r="B1275" s="91"/>
      <c r="C1275" s="91"/>
      <c r="E1275" s="28"/>
      <c r="F1275" s="283"/>
      <c r="G1275" s="284"/>
      <c r="H1275" s="283"/>
      <c r="I1275" s="285"/>
      <c r="K1275" s="285"/>
      <c r="L1275" s="262"/>
    </row>
    <row r="1276">
      <c r="A1276" s="91"/>
      <c r="B1276" s="91"/>
      <c r="C1276" s="91"/>
      <c r="E1276" s="28"/>
      <c r="F1276" s="283"/>
      <c r="G1276" s="284"/>
      <c r="H1276" s="283"/>
      <c r="I1276" s="285"/>
      <c r="K1276" s="285"/>
      <c r="L1276" s="262"/>
    </row>
    <row r="1277">
      <c r="A1277" s="91"/>
      <c r="B1277" s="91"/>
      <c r="C1277" s="91"/>
      <c r="E1277" s="28"/>
      <c r="F1277" s="283"/>
      <c r="G1277" s="284"/>
      <c r="H1277" s="283"/>
      <c r="I1277" s="285"/>
      <c r="K1277" s="285"/>
      <c r="L1277" s="262"/>
    </row>
    <row r="1278">
      <c r="A1278" s="91"/>
      <c r="B1278" s="91"/>
      <c r="C1278" s="91"/>
      <c r="E1278" s="28"/>
      <c r="F1278" s="283"/>
      <c r="G1278" s="284"/>
      <c r="H1278" s="283"/>
      <c r="I1278" s="285"/>
      <c r="K1278" s="285"/>
      <c r="L1278" s="262"/>
    </row>
    <row r="1279">
      <c r="A1279" s="91"/>
      <c r="B1279" s="91"/>
      <c r="C1279" s="91"/>
      <c r="E1279" s="28"/>
      <c r="F1279" s="283"/>
      <c r="G1279" s="284"/>
      <c r="H1279" s="283"/>
      <c r="I1279" s="285"/>
      <c r="K1279" s="285"/>
      <c r="L1279" s="262"/>
    </row>
    <row r="1280">
      <c r="A1280" s="91"/>
      <c r="B1280" s="91"/>
      <c r="C1280" s="91"/>
      <c r="E1280" s="28"/>
      <c r="F1280" s="283"/>
      <c r="G1280" s="284"/>
      <c r="H1280" s="283"/>
      <c r="I1280" s="285"/>
      <c r="K1280" s="285"/>
      <c r="L1280" s="262"/>
    </row>
    <row r="1281">
      <c r="A1281" s="91"/>
      <c r="B1281" s="91"/>
      <c r="C1281" s="91"/>
      <c r="E1281" s="28"/>
      <c r="F1281" s="283"/>
      <c r="G1281" s="284"/>
      <c r="H1281" s="283"/>
      <c r="I1281" s="285"/>
      <c r="K1281" s="285"/>
      <c r="L1281" s="262"/>
    </row>
    <row r="1282">
      <c r="A1282" s="91"/>
      <c r="B1282" s="91"/>
      <c r="C1282" s="91"/>
      <c r="E1282" s="28"/>
      <c r="F1282" s="283"/>
      <c r="G1282" s="284"/>
      <c r="H1282" s="283"/>
      <c r="I1282" s="285"/>
      <c r="K1282" s="285"/>
      <c r="L1282" s="262"/>
    </row>
    <row r="1283">
      <c r="A1283" s="91"/>
      <c r="B1283" s="91"/>
      <c r="C1283" s="91"/>
      <c r="E1283" s="28"/>
      <c r="F1283" s="283"/>
      <c r="G1283" s="284"/>
      <c r="H1283" s="283"/>
      <c r="I1283" s="285"/>
      <c r="K1283" s="285"/>
      <c r="L1283" s="262"/>
    </row>
    <row r="1284">
      <c r="A1284" s="91"/>
      <c r="B1284" s="91"/>
      <c r="C1284" s="91"/>
      <c r="E1284" s="28"/>
      <c r="F1284" s="283"/>
      <c r="G1284" s="284"/>
      <c r="H1284" s="283"/>
      <c r="I1284" s="285"/>
      <c r="K1284" s="285"/>
      <c r="L1284" s="262"/>
    </row>
    <row r="1285">
      <c r="A1285" s="91"/>
      <c r="B1285" s="91"/>
      <c r="C1285" s="91"/>
      <c r="E1285" s="28"/>
      <c r="F1285" s="283"/>
      <c r="G1285" s="284"/>
      <c r="H1285" s="283"/>
      <c r="I1285" s="285"/>
      <c r="K1285" s="285"/>
      <c r="L1285" s="262"/>
    </row>
    <row r="1286">
      <c r="A1286" s="91"/>
      <c r="B1286" s="91"/>
      <c r="C1286" s="91"/>
      <c r="E1286" s="28"/>
      <c r="F1286" s="283"/>
      <c r="G1286" s="284"/>
      <c r="H1286" s="283"/>
      <c r="I1286" s="285"/>
      <c r="K1286" s="285"/>
      <c r="L1286" s="262"/>
    </row>
    <row r="1287">
      <c r="A1287" s="91"/>
      <c r="B1287" s="91"/>
      <c r="C1287" s="91"/>
      <c r="E1287" s="28"/>
      <c r="F1287" s="283"/>
      <c r="G1287" s="284"/>
      <c r="H1287" s="283"/>
      <c r="I1287" s="285"/>
      <c r="K1287" s="285"/>
      <c r="L1287" s="262"/>
    </row>
    <row r="1288">
      <c r="A1288" s="91"/>
      <c r="B1288" s="91"/>
      <c r="C1288" s="91"/>
      <c r="E1288" s="28"/>
      <c r="F1288" s="283"/>
      <c r="G1288" s="284"/>
      <c r="H1288" s="283"/>
      <c r="I1288" s="285"/>
      <c r="K1288" s="285"/>
      <c r="L1288" s="262"/>
    </row>
    <row r="1289">
      <c r="A1289" s="91"/>
      <c r="B1289" s="91"/>
      <c r="C1289" s="91"/>
      <c r="E1289" s="28"/>
      <c r="F1289" s="283"/>
      <c r="G1289" s="284"/>
      <c r="H1289" s="283"/>
      <c r="I1289" s="285"/>
      <c r="K1289" s="285"/>
      <c r="L1289" s="262"/>
    </row>
    <row r="1290">
      <c r="A1290" s="91"/>
      <c r="B1290" s="91"/>
      <c r="C1290" s="91"/>
      <c r="E1290" s="28"/>
      <c r="F1290" s="283"/>
      <c r="G1290" s="284"/>
      <c r="H1290" s="283"/>
      <c r="I1290" s="285"/>
      <c r="K1290" s="285"/>
      <c r="L1290" s="262"/>
    </row>
    <row r="1291">
      <c r="A1291" s="91"/>
      <c r="B1291" s="91"/>
      <c r="C1291" s="91"/>
      <c r="E1291" s="28"/>
      <c r="F1291" s="283"/>
      <c r="G1291" s="284"/>
      <c r="H1291" s="283"/>
      <c r="I1291" s="285"/>
      <c r="K1291" s="285"/>
      <c r="L1291" s="262"/>
    </row>
    <row r="1292">
      <c r="A1292" s="91"/>
      <c r="B1292" s="91"/>
      <c r="C1292" s="91"/>
      <c r="E1292" s="28"/>
      <c r="F1292" s="283"/>
      <c r="G1292" s="284"/>
      <c r="H1292" s="283"/>
      <c r="I1292" s="285"/>
      <c r="K1292" s="285"/>
      <c r="L1292" s="262"/>
    </row>
    <row r="1293">
      <c r="A1293" s="91"/>
      <c r="B1293" s="91"/>
      <c r="C1293" s="91"/>
      <c r="E1293" s="28"/>
      <c r="F1293" s="283"/>
      <c r="G1293" s="284"/>
      <c r="H1293" s="283"/>
      <c r="I1293" s="285"/>
      <c r="K1293" s="285"/>
      <c r="L1293" s="262"/>
    </row>
    <row r="1294">
      <c r="A1294" s="91"/>
      <c r="B1294" s="91"/>
      <c r="C1294" s="91"/>
      <c r="E1294" s="28"/>
      <c r="F1294" s="283"/>
      <c r="G1294" s="284"/>
      <c r="H1294" s="283"/>
      <c r="I1294" s="285"/>
      <c r="K1294" s="285"/>
      <c r="L1294" s="262"/>
    </row>
    <row r="1295">
      <c r="A1295" s="91"/>
      <c r="B1295" s="91"/>
      <c r="C1295" s="91"/>
      <c r="E1295" s="28"/>
      <c r="F1295" s="283"/>
      <c r="G1295" s="284"/>
      <c r="H1295" s="283"/>
      <c r="I1295" s="285"/>
      <c r="K1295" s="285"/>
      <c r="L1295" s="262"/>
    </row>
    <row r="1296">
      <c r="A1296" s="91"/>
      <c r="B1296" s="91"/>
      <c r="C1296" s="91"/>
      <c r="E1296" s="28"/>
      <c r="F1296" s="283"/>
      <c r="G1296" s="284"/>
      <c r="H1296" s="283"/>
      <c r="I1296" s="285"/>
      <c r="K1296" s="285"/>
      <c r="L1296" s="262"/>
    </row>
    <row r="1297">
      <c r="A1297" s="91"/>
      <c r="B1297" s="91"/>
      <c r="C1297" s="91"/>
      <c r="E1297" s="28"/>
      <c r="F1297" s="283"/>
      <c r="G1297" s="284"/>
      <c r="H1297" s="283"/>
      <c r="I1297" s="285"/>
      <c r="K1297" s="285"/>
      <c r="L1297" s="262"/>
    </row>
    <row r="1298">
      <c r="A1298" s="91"/>
      <c r="B1298" s="91"/>
      <c r="C1298" s="91"/>
      <c r="E1298" s="28"/>
      <c r="F1298" s="283"/>
      <c r="G1298" s="284"/>
      <c r="H1298" s="283"/>
      <c r="I1298" s="285"/>
      <c r="K1298" s="285"/>
      <c r="L1298" s="262"/>
    </row>
    <row r="1299">
      <c r="A1299" s="91"/>
      <c r="B1299" s="91"/>
      <c r="C1299" s="91"/>
      <c r="E1299" s="28"/>
      <c r="F1299" s="283"/>
      <c r="G1299" s="284"/>
      <c r="H1299" s="283"/>
      <c r="I1299" s="285"/>
      <c r="K1299" s="285"/>
      <c r="L1299" s="262"/>
    </row>
    <row r="1300">
      <c r="A1300" s="91"/>
      <c r="B1300" s="91"/>
      <c r="C1300" s="91"/>
      <c r="E1300" s="28"/>
      <c r="F1300" s="283"/>
      <c r="G1300" s="284"/>
      <c r="H1300" s="283"/>
      <c r="I1300" s="285"/>
      <c r="K1300" s="285"/>
      <c r="L1300" s="262"/>
    </row>
    <row r="1301">
      <c r="A1301" s="91"/>
      <c r="B1301" s="91"/>
      <c r="C1301" s="91"/>
      <c r="E1301" s="28"/>
      <c r="F1301" s="283"/>
      <c r="G1301" s="284"/>
      <c r="H1301" s="283"/>
      <c r="I1301" s="285"/>
      <c r="K1301" s="285"/>
      <c r="L1301" s="262"/>
    </row>
    <row r="1302">
      <c r="A1302" s="91"/>
      <c r="B1302" s="91"/>
      <c r="C1302" s="91"/>
      <c r="E1302" s="28"/>
      <c r="F1302" s="283"/>
      <c r="G1302" s="284"/>
      <c r="H1302" s="283"/>
      <c r="I1302" s="285"/>
      <c r="K1302" s="285"/>
      <c r="L1302" s="262"/>
    </row>
    <row r="1303">
      <c r="A1303" s="91"/>
      <c r="B1303" s="91"/>
      <c r="C1303" s="91"/>
      <c r="E1303" s="28"/>
      <c r="F1303" s="283"/>
      <c r="G1303" s="284"/>
      <c r="H1303" s="283"/>
      <c r="I1303" s="285"/>
      <c r="K1303" s="285"/>
      <c r="L1303" s="262"/>
    </row>
    <row r="1304">
      <c r="A1304" s="91"/>
      <c r="B1304" s="91"/>
      <c r="C1304" s="91"/>
      <c r="E1304" s="28"/>
      <c r="F1304" s="283"/>
      <c r="G1304" s="284"/>
      <c r="H1304" s="283"/>
      <c r="I1304" s="285"/>
      <c r="K1304" s="285"/>
      <c r="L1304" s="262"/>
    </row>
    <row r="1305">
      <c r="A1305" s="91"/>
      <c r="B1305" s="91"/>
      <c r="C1305" s="91"/>
      <c r="E1305" s="28"/>
      <c r="F1305" s="283"/>
      <c r="G1305" s="284"/>
      <c r="H1305" s="283"/>
      <c r="I1305" s="285"/>
      <c r="K1305" s="285"/>
      <c r="L1305" s="262"/>
    </row>
    <row r="1306">
      <c r="A1306" s="91"/>
      <c r="B1306" s="91"/>
      <c r="C1306" s="91"/>
      <c r="E1306" s="28"/>
      <c r="F1306" s="283"/>
      <c r="G1306" s="284"/>
      <c r="H1306" s="283"/>
      <c r="I1306" s="285"/>
      <c r="K1306" s="285"/>
      <c r="L1306" s="262"/>
    </row>
    <row r="1307">
      <c r="A1307" s="91"/>
      <c r="B1307" s="91"/>
      <c r="C1307" s="91"/>
      <c r="E1307" s="28"/>
      <c r="F1307" s="283"/>
      <c r="G1307" s="284"/>
      <c r="H1307" s="283"/>
      <c r="I1307" s="285"/>
      <c r="K1307" s="285"/>
      <c r="L1307" s="262"/>
    </row>
    <row r="1308">
      <c r="A1308" s="91"/>
      <c r="B1308" s="91"/>
      <c r="C1308" s="91"/>
      <c r="E1308" s="28"/>
      <c r="F1308" s="283"/>
      <c r="G1308" s="284"/>
      <c r="H1308" s="283"/>
      <c r="I1308" s="285"/>
      <c r="K1308" s="285"/>
      <c r="L1308" s="262"/>
    </row>
    <row r="1309">
      <c r="A1309" s="91"/>
      <c r="B1309" s="91"/>
      <c r="C1309" s="91"/>
      <c r="E1309" s="28"/>
      <c r="F1309" s="283"/>
      <c r="G1309" s="284"/>
      <c r="H1309" s="283"/>
      <c r="I1309" s="285"/>
      <c r="K1309" s="285"/>
      <c r="L1309" s="262"/>
    </row>
    <row r="1310">
      <c r="A1310" s="91"/>
      <c r="B1310" s="91"/>
      <c r="C1310" s="91"/>
      <c r="E1310" s="28"/>
      <c r="F1310" s="283"/>
      <c r="G1310" s="284"/>
      <c r="H1310" s="283"/>
      <c r="I1310" s="285"/>
      <c r="K1310" s="285"/>
      <c r="L1310" s="262"/>
    </row>
    <row r="1311">
      <c r="A1311" s="91"/>
      <c r="B1311" s="91"/>
      <c r="C1311" s="91"/>
      <c r="E1311" s="28"/>
      <c r="F1311" s="283"/>
      <c r="G1311" s="284"/>
      <c r="H1311" s="283"/>
      <c r="I1311" s="285"/>
      <c r="K1311" s="285"/>
      <c r="L1311" s="262"/>
    </row>
    <row r="1312">
      <c r="A1312" s="91"/>
      <c r="B1312" s="91"/>
      <c r="C1312" s="91"/>
      <c r="E1312" s="28"/>
      <c r="F1312" s="283"/>
      <c r="G1312" s="284"/>
      <c r="H1312" s="283"/>
      <c r="I1312" s="285"/>
      <c r="K1312" s="285"/>
      <c r="L1312" s="262"/>
    </row>
    <row r="1313">
      <c r="A1313" s="91"/>
      <c r="B1313" s="91"/>
      <c r="C1313" s="91"/>
      <c r="E1313" s="28"/>
      <c r="F1313" s="283"/>
      <c r="G1313" s="284"/>
      <c r="H1313" s="283"/>
      <c r="I1313" s="285"/>
      <c r="K1313" s="285"/>
      <c r="L1313" s="262"/>
    </row>
    <row r="1314">
      <c r="A1314" s="91"/>
      <c r="B1314" s="91"/>
      <c r="C1314" s="91"/>
      <c r="E1314" s="28"/>
      <c r="F1314" s="283"/>
      <c r="G1314" s="284"/>
      <c r="H1314" s="283"/>
      <c r="I1314" s="285"/>
      <c r="K1314" s="285"/>
      <c r="L1314" s="262"/>
    </row>
    <row r="1315">
      <c r="A1315" s="91"/>
      <c r="B1315" s="91"/>
      <c r="C1315" s="91"/>
      <c r="E1315" s="28"/>
      <c r="F1315" s="283"/>
      <c r="G1315" s="284"/>
      <c r="H1315" s="283"/>
      <c r="I1315" s="285"/>
      <c r="K1315" s="285"/>
      <c r="L1315" s="262"/>
    </row>
    <row r="1316">
      <c r="A1316" s="91"/>
      <c r="B1316" s="91"/>
      <c r="C1316" s="91"/>
      <c r="E1316" s="28"/>
      <c r="F1316" s="283"/>
      <c r="G1316" s="284"/>
      <c r="H1316" s="283"/>
      <c r="I1316" s="285"/>
      <c r="K1316" s="285"/>
      <c r="L1316" s="262"/>
    </row>
    <row r="1317">
      <c r="A1317" s="91"/>
      <c r="B1317" s="91"/>
      <c r="C1317" s="91"/>
      <c r="E1317" s="28"/>
      <c r="F1317" s="283"/>
      <c r="G1317" s="284"/>
      <c r="H1317" s="283"/>
      <c r="I1317" s="285"/>
      <c r="K1317" s="285"/>
      <c r="L1317" s="262"/>
    </row>
    <row r="1318">
      <c r="A1318" s="91"/>
      <c r="B1318" s="91"/>
      <c r="C1318" s="91"/>
      <c r="E1318" s="28"/>
      <c r="F1318" s="283"/>
      <c r="G1318" s="284"/>
      <c r="H1318" s="283"/>
      <c r="I1318" s="285"/>
      <c r="K1318" s="285"/>
      <c r="L1318" s="262"/>
    </row>
    <row r="1319">
      <c r="A1319" s="91"/>
      <c r="B1319" s="91"/>
      <c r="C1319" s="91"/>
      <c r="E1319" s="28"/>
      <c r="F1319" s="283"/>
      <c r="G1319" s="284"/>
      <c r="H1319" s="283"/>
      <c r="I1319" s="285"/>
      <c r="K1319" s="285"/>
      <c r="L1319" s="262"/>
    </row>
    <row r="1320">
      <c r="A1320" s="91"/>
      <c r="B1320" s="91"/>
      <c r="C1320" s="91"/>
      <c r="E1320" s="28"/>
      <c r="F1320" s="283"/>
      <c r="G1320" s="284"/>
      <c r="H1320" s="283"/>
      <c r="I1320" s="285"/>
      <c r="K1320" s="285"/>
      <c r="L1320" s="262"/>
    </row>
    <row r="1321">
      <c r="A1321" s="91"/>
      <c r="B1321" s="91"/>
      <c r="C1321" s="91"/>
      <c r="E1321" s="28"/>
      <c r="F1321" s="283"/>
      <c r="G1321" s="284"/>
      <c r="H1321" s="283"/>
      <c r="I1321" s="285"/>
      <c r="K1321" s="285"/>
      <c r="L1321" s="262"/>
    </row>
    <row r="1322">
      <c r="A1322" s="91"/>
      <c r="B1322" s="91"/>
      <c r="C1322" s="91"/>
      <c r="E1322" s="28"/>
      <c r="F1322" s="283"/>
      <c r="G1322" s="284"/>
      <c r="H1322" s="283"/>
      <c r="I1322" s="285"/>
      <c r="K1322" s="285"/>
      <c r="L1322" s="262"/>
    </row>
    <row r="1323">
      <c r="A1323" s="91"/>
      <c r="B1323" s="91"/>
      <c r="C1323" s="91"/>
      <c r="E1323" s="28"/>
      <c r="F1323" s="283"/>
      <c r="G1323" s="284"/>
      <c r="H1323" s="283"/>
      <c r="I1323" s="285"/>
      <c r="K1323" s="285"/>
      <c r="L1323" s="262"/>
    </row>
    <row r="1324">
      <c r="A1324" s="91"/>
      <c r="B1324" s="91"/>
      <c r="C1324" s="91"/>
      <c r="E1324" s="28"/>
      <c r="F1324" s="283"/>
      <c r="G1324" s="284"/>
      <c r="H1324" s="283"/>
      <c r="I1324" s="285"/>
      <c r="K1324" s="285"/>
      <c r="L1324" s="262"/>
    </row>
    <row r="1325">
      <c r="A1325" s="91"/>
      <c r="B1325" s="91"/>
      <c r="C1325" s="91"/>
      <c r="E1325" s="28"/>
      <c r="F1325" s="283"/>
      <c r="G1325" s="284"/>
      <c r="H1325" s="283"/>
      <c r="I1325" s="285"/>
      <c r="K1325" s="285"/>
      <c r="L1325" s="262"/>
    </row>
    <row r="1326">
      <c r="A1326" s="91"/>
      <c r="B1326" s="91"/>
      <c r="C1326" s="91"/>
      <c r="E1326" s="28"/>
      <c r="F1326" s="283"/>
      <c r="G1326" s="284"/>
      <c r="H1326" s="283"/>
      <c r="I1326" s="285"/>
      <c r="K1326" s="285"/>
      <c r="L1326" s="262"/>
    </row>
    <row r="1327">
      <c r="A1327" s="91"/>
      <c r="B1327" s="91"/>
      <c r="C1327" s="91"/>
      <c r="E1327" s="28"/>
      <c r="F1327" s="283"/>
      <c r="G1327" s="284"/>
      <c r="H1327" s="283"/>
      <c r="I1327" s="285"/>
      <c r="K1327" s="285"/>
      <c r="L1327" s="262"/>
    </row>
    <row r="1328">
      <c r="A1328" s="91"/>
      <c r="B1328" s="91"/>
      <c r="C1328" s="91"/>
      <c r="E1328" s="28"/>
      <c r="F1328" s="283"/>
      <c r="G1328" s="284"/>
      <c r="H1328" s="283"/>
      <c r="I1328" s="285"/>
      <c r="K1328" s="285"/>
      <c r="L1328" s="262"/>
    </row>
    <row r="1329">
      <c r="A1329" s="91"/>
      <c r="B1329" s="91"/>
      <c r="C1329" s="91"/>
      <c r="E1329" s="28"/>
      <c r="F1329" s="283"/>
      <c r="G1329" s="284"/>
      <c r="H1329" s="283"/>
      <c r="I1329" s="285"/>
      <c r="K1329" s="285"/>
      <c r="L1329" s="262"/>
    </row>
    <row r="1330">
      <c r="A1330" s="91"/>
      <c r="B1330" s="91"/>
      <c r="C1330" s="91"/>
      <c r="E1330" s="28"/>
      <c r="F1330" s="283"/>
      <c r="G1330" s="284"/>
      <c r="H1330" s="283"/>
      <c r="I1330" s="285"/>
      <c r="K1330" s="285"/>
      <c r="L1330" s="262"/>
    </row>
    <row r="1331">
      <c r="A1331" s="91"/>
      <c r="B1331" s="91"/>
      <c r="C1331" s="91"/>
      <c r="E1331" s="28"/>
      <c r="F1331" s="283"/>
      <c r="G1331" s="284"/>
      <c r="H1331" s="283"/>
      <c r="I1331" s="285"/>
      <c r="K1331" s="285"/>
      <c r="L1331" s="262"/>
    </row>
    <row r="1332">
      <c r="A1332" s="91"/>
      <c r="B1332" s="91"/>
      <c r="C1332" s="91"/>
      <c r="E1332" s="28"/>
      <c r="F1332" s="283"/>
      <c r="G1332" s="284"/>
      <c r="H1332" s="283"/>
      <c r="I1332" s="285"/>
      <c r="K1332" s="285"/>
      <c r="L1332" s="262"/>
    </row>
    <row r="1333">
      <c r="A1333" s="91"/>
      <c r="B1333" s="91"/>
      <c r="C1333" s="91"/>
      <c r="E1333" s="28"/>
      <c r="F1333" s="283"/>
      <c r="G1333" s="284"/>
      <c r="H1333" s="283"/>
      <c r="I1333" s="285"/>
      <c r="K1333" s="285"/>
      <c r="L1333" s="262"/>
    </row>
    <row r="1334">
      <c r="A1334" s="91"/>
      <c r="B1334" s="91"/>
      <c r="C1334" s="91"/>
      <c r="E1334" s="28"/>
      <c r="F1334" s="283"/>
      <c r="G1334" s="284"/>
      <c r="H1334" s="283"/>
      <c r="I1334" s="285"/>
      <c r="K1334" s="285"/>
      <c r="L1334" s="262"/>
    </row>
    <row r="1335">
      <c r="A1335" s="91"/>
      <c r="B1335" s="91"/>
      <c r="C1335" s="91"/>
      <c r="E1335" s="28"/>
      <c r="F1335" s="283"/>
      <c r="G1335" s="284"/>
      <c r="H1335" s="283"/>
      <c r="I1335" s="285"/>
      <c r="K1335" s="285"/>
      <c r="L1335" s="262"/>
    </row>
    <row r="1336">
      <c r="A1336" s="91"/>
      <c r="B1336" s="91"/>
      <c r="C1336" s="91"/>
      <c r="E1336" s="28"/>
      <c r="F1336" s="283"/>
      <c r="G1336" s="284"/>
      <c r="H1336" s="283"/>
      <c r="I1336" s="285"/>
      <c r="K1336" s="285"/>
      <c r="L1336" s="262"/>
    </row>
    <row r="1337">
      <c r="A1337" s="91"/>
      <c r="B1337" s="91"/>
      <c r="C1337" s="91"/>
      <c r="E1337" s="28"/>
      <c r="F1337" s="283"/>
      <c r="G1337" s="284"/>
      <c r="H1337" s="283"/>
      <c r="I1337" s="285"/>
      <c r="K1337" s="285"/>
      <c r="L1337" s="262"/>
    </row>
    <row r="1338">
      <c r="A1338" s="91"/>
      <c r="B1338" s="91"/>
      <c r="C1338" s="91"/>
      <c r="E1338" s="28"/>
      <c r="F1338" s="283"/>
      <c r="G1338" s="284"/>
      <c r="H1338" s="283"/>
      <c r="I1338" s="285"/>
      <c r="K1338" s="285"/>
      <c r="L1338" s="262"/>
    </row>
    <row r="1339">
      <c r="A1339" s="91"/>
      <c r="B1339" s="91"/>
      <c r="C1339" s="91"/>
      <c r="E1339" s="28"/>
      <c r="F1339" s="283"/>
      <c r="G1339" s="284"/>
      <c r="H1339" s="283"/>
      <c r="I1339" s="285"/>
      <c r="K1339" s="285"/>
      <c r="L1339" s="262"/>
    </row>
    <row r="1340">
      <c r="A1340" s="91"/>
      <c r="B1340" s="91"/>
      <c r="C1340" s="91"/>
      <c r="E1340" s="28"/>
      <c r="F1340" s="283"/>
      <c r="G1340" s="284"/>
      <c r="H1340" s="283"/>
      <c r="I1340" s="285"/>
      <c r="K1340" s="285"/>
      <c r="L1340" s="262"/>
    </row>
    <row r="1341">
      <c r="A1341" s="91"/>
      <c r="B1341" s="91"/>
      <c r="C1341" s="91"/>
      <c r="E1341" s="28"/>
      <c r="F1341" s="283"/>
      <c r="G1341" s="284"/>
      <c r="H1341" s="283"/>
      <c r="I1341" s="285"/>
      <c r="K1341" s="285"/>
      <c r="L1341" s="262"/>
    </row>
    <row r="1342">
      <c r="A1342" s="91"/>
      <c r="B1342" s="91"/>
      <c r="C1342" s="91"/>
      <c r="E1342" s="28"/>
      <c r="F1342" s="283"/>
      <c r="G1342" s="284"/>
      <c r="H1342" s="283"/>
      <c r="I1342" s="285"/>
      <c r="K1342" s="285"/>
      <c r="L1342" s="262"/>
    </row>
    <row r="1343">
      <c r="A1343" s="91"/>
      <c r="B1343" s="91"/>
      <c r="C1343" s="91"/>
      <c r="E1343" s="28"/>
      <c r="F1343" s="283"/>
      <c r="G1343" s="284"/>
      <c r="H1343" s="283"/>
      <c r="I1343" s="285"/>
      <c r="K1343" s="285"/>
      <c r="L1343" s="262"/>
    </row>
    <row r="1344">
      <c r="A1344" s="91"/>
      <c r="B1344" s="91"/>
      <c r="C1344" s="91"/>
      <c r="E1344" s="28"/>
      <c r="F1344" s="283"/>
      <c r="G1344" s="284"/>
      <c r="H1344" s="283"/>
      <c r="I1344" s="285"/>
      <c r="K1344" s="285"/>
      <c r="L1344" s="262"/>
    </row>
    <row r="1345">
      <c r="A1345" s="91"/>
      <c r="B1345" s="91"/>
      <c r="C1345" s="91"/>
      <c r="E1345" s="28"/>
      <c r="F1345" s="283"/>
      <c r="G1345" s="284"/>
      <c r="H1345" s="283"/>
      <c r="I1345" s="285"/>
      <c r="K1345" s="285"/>
      <c r="L1345" s="262"/>
    </row>
    <row r="1346">
      <c r="A1346" s="91"/>
      <c r="B1346" s="91"/>
      <c r="C1346" s="91"/>
      <c r="E1346" s="28"/>
      <c r="F1346" s="283"/>
      <c r="G1346" s="284"/>
      <c r="H1346" s="283"/>
      <c r="I1346" s="285"/>
      <c r="K1346" s="285"/>
      <c r="L1346" s="262"/>
    </row>
    <row r="1347">
      <c r="A1347" s="91"/>
      <c r="B1347" s="91"/>
      <c r="C1347" s="91"/>
      <c r="E1347" s="28"/>
      <c r="F1347" s="283"/>
      <c r="G1347" s="284"/>
      <c r="H1347" s="283"/>
      <c r="I1347" s="285"/>
      <c r="K1347" s="285"/>
      <c r="L1347" s="262"/>
    </row>
    <row r="1348">
      <c r="A1348" s="91"/>
      <c r="B1348" s="91"/>
      <c r="C1348" s="91"/>
      <c r="E1348" s="28"/>
      <c r="F1348" s="283"/>
      <c r="G1348" s="284"/>
      <c r="H1348" s="283"/>
      <c r="I1348" s="285"/>
      <c r="K1348" s="285"/>
      <c r="L1348" s="262"/>
    </row>
    <row r="1349">
      <c r="A1349" s="91"/>
      <c r="B1349" s="91"/>
      <c r="C1349" s="91"/>
      <c r="E1349" s="28"/>
      <c r="F1349" s="283"/>
      <c r="G1349" s="284"/>
      <c r="H1349" s="283"/>
      <c r="I1349" s="285"/>
      <c r="K1349" s="285"/>
      <c r="L1349" s="262"/>
    </row>
    <row r="1350">
      <c r="A1350" s="91"/>
      <c r="B1350" s="91"/>
      <c r="C1350" s="91"/>
      <c r="E1350" s="28"/>
      <c r="F1350" s="283"/>
      <c r="G1350" s="284"/>
      <c r="H1350" s="283"/>
      <c r="I1350" s="285"/>
      <c r="K1350" s="285"/>
      <c r="L1350" s="262"/>
    </row>
    <row r="1351">
      <c r="A1351" s="91"/>
      <c r="B1351" s="91"/>
      <c r="C1351" s="91"/>
      <c r="E1351" s="28"/>
      <c r="F1351" s="283"/>
      <c r="G1351" s="284"/>
      <c r="H1351" s="283"/>
      <c r="I1351" s="285"/>
      <c r="K1351" s="285"/>
      <c r="L1351" s="262"/>
    </row>
    <row r="1352">
      <c r="A1352" s="91"/>
      <c r="B1352" s="91"/>
      <c r="C1352" s="91"/>
      <c r="E1352" s="28"/>
      <c r="F1352" s="283"/>
      <c r="G1352" s="284"/>
      <c r="H1352" s="283"/>
      <c r="I1352" s="285"/>
      <c r="K1352" s="285"/>
      <c r="L1352" s="262"/>
    </row>
    <row r="1353">
      <c r="A1353" s="91"/>
      <c r="B1353" s="91"/>
      <c r="C1353" s="91"/>
      <c r="E1353" s="28"/>
      <c r="F1353" s="283"/>
      <c r="G1353" s="284"/>
      <c r="H1353" s="283"/>
      <c r="I1353" s="285"/>
      <c r="K1353" s="285"/>
      <c r="L1353" s="262"/>
    </row>
    <row r="1354">
      <c r="A1354" s="91"/>
      <c r="B1354" s="91"/>
      <c r="C1354" s="91"/>
      <c r="E1354" s="28"/>
      <c r="F1354" s="283"/>
      <c r="G1354" s="284"/>
      <c r="H1354" s="283"/>
      <c r="I1354" s="285"/>
      <c r="K1354" s="285"/>
      <c r="L1354" s="262"/>
    </row>
    <row r="1355">
      <c r="A1355" s="91"/>
      <c r="B1355" s="91"/>
      <c r="C1355" s="91"/>
      <c r="E1355" s="28"/>
      <c r="F1355" s="283"/>
      <c r="G1355" s="284"/>
      <c r="H1355" s="283"/>
      <c r="I1355" s="285"/>
      <c r="K1355" s="285"/>
      <c r="L1355" s="262"/>
    </row>
    <row r="1356">
      <c r="A1356" s="91"/>
      <c r="B1356" s="91"/>
      <c r="C1356" s="91"/>
      <c r="E1356" s="28"/>
      <c r="F1356" s="283"/>
      <c r="G1356" s="284"/>
      <c r="H1356" s="283"/>
      <c r="I1356" s="285"/>
      <c r="K1356" s="285"/>
      <c r="L1356" s="262"/>
    </row>
    <row r="1357">
      <c r="A1357" s="91"/>
      <c r="B1357" s="91"/>
      <c r="C1357" s="91"/>
      <c r="E1357" s="28"/>
      <c r="F1357" s="283"/>
      <c r="G1357" s="284"/>
      <c r="H1357" s="283"/>
      <c r="I1357" s="285"/>
      <c r="K1357" s="285"/>
      <c r="L1357" s="262"/>
    </row>
    <row r="1358">
      <c r="A1358" s="91"/>
      <c r="B1358" s="91"/>
      <c r="C1358" s="91"/>
      <c r="E1358" s="28"/>
      <c r="F1358" s="283"/>
      <c r="G1358" s="284"/>
      <c r="H1358" s="283"/>
      <c r="I1358" s="285"/>
      <c r="K1358" s="285"/>
      <c r="L1358" s="262"/>
    </row>
    <row r="1359">
      <c r="A1359" s="91"/>
      <c r="B1359" s="91"/>
      <c r="C1359" s="91"/>
      <c r="E1359" s="28"/>
      <c r="F1359" s="283"/>
      <c r="G1359" s="284"/>
      <c r="H1359" s="283"/>
      <c r="I1359" s="285"/>
      <c r="K1359" s="285"/>
      <c r="L1359" s="262"/>
    </row>
    <row r="1360">
      <c r="A1360" s="91"/>
      <c r="B1360" s="91"/>
      <c r="C1360" s="91"/>
      <c r="E1360" s="28"/>
      <c r="F1360" s="283"/>
      <c r="G1360" s="284"/>
      <c r="H1360" s="283"/>
      <c r="I1360" s="285"/>
      <c r="K1360" s="285"/>
      <c r="L1360" s="262"/>
    </row>
    <row r="1361">
      <c r="A1361" s="91"/>
      <c r="B1361" s="91"/>
      <c r="C1361" s="91"/>
      <c r="E1361" s="28"/>
      <c r="F1361" s="283"/>
      <c r="G1361" s="284"/>
      <c r="H1361" s="283"/>
      <c r="I1361" s="285"/>
      <c r="K1361" s="285"/>
      <c r="L1361" s="262"/>
    </row>
    <row r="1362">
      <c r="A1362" s="91"/>
      <c r="B1362" s="91"/>
      <c r="C1362" s="91"/>
      <c r="E1362" s="28"/>
      <c r="F1362" s="283"/>
      <c r="G1362" s="284"/>
      <c r="H1362" s="283"/>
      <c r="I1362" s="285"/>
      <c r="K1362" s="285"/>
      <c r="L1362" s="262"/>
    </row>
    <row r="1363">
      <c r="A1363" s="91"/>
      <c r="B1363" s="91"/>
      <c r="C1363" s="91"/>
      <c r="E1363" s="28"/>
      <c r="F1363" s="283"/>
      <c r="G1363" s="284"/>
      <c r="H1363" s="283"/>
      <c r="I1363" s="285"/>
      <c r="K1363" s="285"/>
      <c r="L1363" s="262"/>
    </row>
    <row r="1364">
      <c r="A1364" s="91"/>
      <c r="B1364" s="91"/>
      <c r="C1364" s="91"/>
      <c r="E1364" s="28"/>
      <c r="F1364" s="283"/>
      <c r="G1364" s="284"/>
      <c r="H1364" s="283"/>
      <c r="I1364" s="285"/>
      <c r="K1364" s="285"/>
      <c r="L1364" s="262"/>
    </row>
    <row r="1365">
      <c r="A1365" s="91"/>
      <c r="B1365" s="91"/>
      <c r="C1365" s="91"/>
      <c r="E1365" s="28"/>
      <c r="F1365" s="283"/>
      <c r="G1365" s="284"/>
      <c r="H1365" s="283"/>
      <c r="I1365" s="285"/>
      <c r="K1365" s="285"/>
      <c r="L1365" s="262"/>
    </row>
    <row r="1366">
      <c r="A1366" s="91"/>
      <c r="B1366" s="91"/>
      <c r="C1366" s="91"/>
      <c r="E1366" s="28"/>
      <c r="F1366" s="283"/>
      <c r="G1366" s="284"/>
      <c r="H1366" s="283"/>
      <c r="I1366" s="285"/>
      <c r="K1366" s="285"/>
      <c r="L1366" s="262"/>
    </row>
    <row r="1367">
      <c r="A1367" s="91"/>
      <c r="B1367" s="91"/>
      <c r="C1367" s="91"/>
      <c r="E1367" s="28"/>
      <c r="F1367" s="283"/>
      <c r="G1367" s="284"/>
      <c r="H1367" s="283"/>
      <c r="I1367" s="285"/>
      <c r="K1367" s="285"/>
      <c r="L1367" s="262"/>
    </row>
    <row r="1368">
      <c r="A1368" s="91"/>
      <c r="B1368" s="91"/>
      <c r="C1368" s="91"/>
      <c r="E1368" s="28"/>
      <c r="F1368" s="283"/>
      <c r="G1368" s="284"/>
      <c r="H1368" s="283"/>
      <c r="I1368" s="285"/>
      <c r="K1368" s="285"/>
      <c r="L1368" s="262"/>
    </row>
    <row r="1369">
      <c r="A1369" s="91"/>
      <c r="B1369" s="91"/>
      <c r="C1369" s="91"/>
      <c r="E1369" s="28"/>
      <c r="F1369" s="283"/>
      <c r="G1369" s="284"/>
      <c r="H1369" s="283"/>
      <c r="I1369" s="285"/>
      <c r="K1369" s="285"/>
      <c r="L1369" s="262"/>
    </row>
    <row r="1370">
      <c r="A1370" s="91"/>
      <c r="B1370" s="91"/>
      <c r="C1370" s="91"/>
      <c r="E1370" s="28"/>
      <c r="F1370" s="283"/>
      <c r="G1370" s="284"/>
      <c r="H1370" s="283"/>
      <c r="I1370" s="285"/>
      <c r="K1370" s="285"/>
      <c r="L1370" s="262"/>
    </row>
    <row r="1371">
      <c r="A1371" s="91"/>
      <c r="B1371" s="91"/>
      <c r="C1371" s="91"/>
      <c r="E1371" s="28"/>
      <c r="F1371" s="283"/>
      <c r="G1371" s="284"/>
      <c r="H1371" s="283"/>
      <c r="I1371" s="285"/>
      <c r="K1371" s="285"/>
      <c r="L1371" s="262"/>
    </row>
    <row r="1372">
      <c r="A1372" s="91"/>
      <c r="B1372" s="91"/>
      <c r="C1372" s="91"/>
      <c r="E1372" s="28"/>
      <c r="F1372" s="283"/>
      <c r="G1372" s="284"/>
      <c r="H1372" s="283"/>
      <c r="I1372" s="285"/>
      <c r="K1372" s="285"/>
      <c r="L1372" s="262"/>
    </row>
    <row r="1373">
      <c r="A1373" s="91"/>
      <c r="B1373" s="91"/>
      <c r="C1373" s="91"/>
      <c r="E1373" s="28"/>
      <c r="F1373" s="283"/>
      <c r="G1373" s="284"/>
      <c r="H1373" s="283"/>
      <c r="I1373" s="285"/>
      <c r="K1373" s="285"/>
      <c r="L1373" s="262"/>
    </row>
    <row r="1374">
      <c r="A1374" s="91"/>
      <c r="B1374" s="91"/>
      <c r="C1374" s="91"/>
      <c r="E1374" s="28"/>
      <c r="F1374" s="283"/>
      <c r="G1374" s="284"/>
      <c r="H1374" s="283"/>
      <c r="I1374" s="285"/>
      <c r="K1374" s="285"/>
      <c r="L1374" s="262"/>
    </row>
    <row r="1375">
      <c r="A1375" s="91"/>
      <c r="B1375" s="91"/>
      <c r="C1375" s="91"/>
      <c r="E1375" s="28"/>
      <c r="F1375" s="283"/>
      <c r="G1375" s="284"/>
      <c r="H1375" s="283"/>
      <c r="I1375" s="285"/>
      <c r="K1375" s="285"/>
      <c r="L1375" s="262"/>
    </row>
    <row r="1376">
      <c r="A1376" s="91"/>
      <c r="B1376" s="91"/>
      <c r="C1376" s="91"/>
      <c r="E1376" s="28"/>
      <c r="F1376" s="283"/>
      <c r="G1376" s="284"/>
      <c r="H1376" s="283"/>
      <c r="I1376" s="285"/>
      <c r="K1376" s="285"/>
      <c r="L1376" s="262"/>
    </row>
    <row r="1377">
      <c r="A1377" s="91"/>
      <c r="B1377" s="91"/>
      <c r="C1377" s="91"/>
      <c r="E1377" s="28"/>
      <c r="F1377" s="283"/>
      <c r="G1377" s="284"/>
      <c r="H1377" s="283"/>
      <c r="I1377" s="285"/>
      <c r="K1377" s="285"/>
      <c r="L1377" s="262"/>
    </row>
    <row r="1378">
      <c r="A1378" s="91"/>
      <c r="B1378" s="91"/>
      <c r="C1378" s="91"/>
      <c r="E1378" s="28"/>
      <c r="F1378" s="283"/>
      <c r="G1378" s="284"/>
      <c r="H1378" s="283"/>
      <c r="I1378" s="285"/>
      <c r="K1378" s="285"/>
      <c r="L1378" s="262"/>
    </row>
    <row r="1379">
      <c r="A1379" s="91"/>
      <c r="B1379" s="91"/>
      <c r="C1379" s="91"/>
      <c r="E1379" s="28"/>
      <c r="F1379" s="283"/>
      <c r="G1379" s="284"/>
      <c r="H1379" s="283"/>
      <c r="I1379" s="285"/>
      <c r="K1379" s="285"/>
      <c r="L1379" s="262"/>
    </row>
    <row r="1380">
      <c r="A1380" s="91"/>
      <c r="B1380" s="91"/>
      <c r="C1380" s="91"/>
      <c r="E1380" s="28"/>
      <c r="F1380" s="283"/>
      <c r="G1380" s="284"/>
      <c r="H1380" s="283"/>
      <c r="I1380" s="285"/>
      <c r="K1380" s="285"/>
      <c r="L1380" s="262"/>
    </row>
    <row r="1381">
      <c r="A1381" s="91"/>
      <c r="B1381" s="91"/>
      <c r="C1381" s="91"/>
      <c r="E1381" s="28"/>
      <c r="F1381" s="283"/>
      <c r="G1381" s="284"/>
      <c r="H1381" s="283"/>
      <c r="I1381" s="285"/>
      <c r="K1381" s="285"/>
      <c r="L1381" s="262"/>
    </row>
    <row r="1382">
      <c r="A1382" s="91"/>
      <c r="B1382" s="91"/>
      <c r="C1382" s="91"/>
      <c r="E1382" s="28"/>
      <c r="F1382" s="283"/>
      <c r="G1382" s="284"/>
      <c r="H1382" s="283"/>
      <c r="I1382" s="285"/>
      <c r="K1382" s="285"/>
      <c r="L1382" s="262"/>
    </row>
    <row r="1383">
      <c r="A1383" s="91"/>
      <c r="B1383" s="91"/>
      <c r="C1383" s="91"/>
      <c r="E1383" s="28"/>
      <c r="F1383" s="283"/>
      <c r="G1383" s="284"/>
      <c r="H1383" s="283"/>
      <c r="I1383" s="285"/>
      <c r="K1383" s="285"/>
      <c r="L1383" s="262"/>
    </row>
    <row r="1384">
      <c r="A1384" s="91"/>
      <c r="B1384" s="91"/>
      <c r="C1384" s="91"/>
      <c r="E1384" s="28"/>
      <c r="F1384" s="283"/>
      <c r="G1384" s="284"/>
      <c r="H1384" s="283"/>
      <c r="I1384" s="285"/>
      <c r="K1384" s="285"/>
      <c r="L1384" s="262"/>
    </row>
    <row r="1385">
      <c r="A1385" s="91"/>
      <c r="B1385" s="91"/>
      <c r="C1385" s="91"/>
      <c r="E1385" s="28"/>
      <c r="F1385" s="283"/>
      <c r="G1385" s="284"/>
      <c r="H1385" s="283"/>
      <c r="I1385" s="285"/>
      <c r="K1385" s="285"/>
      <c r="L1385" s="262"/>
    </row>
    <row r="1386">
      <c r="A1386" s="91"/>
      <c r="B1386" s="91"/>
      <c r="C1386" s="91"/>
      <c r="E1386" s="28"/>
      <c r="F1386" s="283"/>
      <c r="G1386" s="284"/>
      <c r="H1386" s="283"/>
      <c r="I1386" s="285"/>
      <c r="K1386" s="285"/>
      <c r="L1386" s="262"/>
    </row>
    <row r="1387">
      <c r="A1387" s="91"/>
      <c r="B1387" s="91"/>
      <c r="C1387" s="91"/>
      <c r="E1387" s="28"/>
      <c r="F1387" s="283"/>
      <c r="G1387" s="284"/>
      <c r="H1387" s="283"/>
      <c r="I1387" s="285"/>
      <c r="K1387" s="285"/>
      <c r="L1387" s="262"/>
    </row>
    <row r="1388">
      <c r="A1388" s="91"/>
      <c r="B1388" s="91"/>
      <c r="C1388" s="91"/>
      <c r="E1388" s="28"/>
      <c r="F1388" s="283"/>
      <c r="G1388" s="284"/>
      <c r="H1388" s="283"/>
      <c r="I1388" s="285"/>
      <c r="K1388" s="285"/>
      <c r="L1388" s="262"/>
    </row>
    <row r="1389">
      <c r="A1389" s="91"/>
      <c r="B1389" s="91"/>
      <c r="C1389" s="91"/>
      <c r="E1389" s="28"/>
      <c r="F1389" s="283"/>
      <c r="G1389" s="284"/>
      <c r="H1389" s="283"/>
      <c r="I1389" s="285"/>
      <c r="K1389" s="285"/>
      <c r="L1389" s="262"/>
    </row>
    <row r="1390">
      <c r="A1390" s="91"/>
      <c r="B1390" s="91"/>
      <c r="C1390" s="91"/>
      <c r="E1390" s="28"/>
      <c r="F1390" s="283"/>
      <c r="G1390" s="284"/>
      <c r="H1390" s="283"/>
      <c r="I1390" s="285"/>
      <c r="K1390" s="285"/>
      <c r="L1390" s="262"/>
    </row>
    <row r="1391">
      <c r="A1391" s="91"/>
      <c r="B1391" s="91"/>
      <c r="C1391" s="91"/>
      <c r="E1391" s="28"/>
      <c r="F1391" s="283"/>
      <c r="G1391" s="284"/>
      <c r="H1391" s="283"/>
      <c r="I1391" s="285"/>
      <c r="K1391" s="285"/>
      <c r="L1391" s="262"/>
    </row>
    <row r="1392">
      <c r="A1392" s="91"/>
      <c r="B1392" s="91"/>
      <c r="C1392" s="91"/>
      <c r="E1392" s="28"/>
      <c r="F1392" s="283"/>
      <c r="G1392" s="284"/>
      <c r="H1392" s="283"/>
      <c r="I1392" s="285"/>
      <c r="K1392" s="285"/>
      <c r="L1392" s="262"/>
    </row>
    <row r="1393">
      <c r="A1393" s="91"/>
      <c r="B1393" s="91"/>
      <c r="C1393" s="91"/>
      <c r="E1393" s="28"/>
      <c r="F1393" s="283"/>
      <c r="G1393" s="284"/>
      <c r="H1393" s="283"/>
      <c r="I1393" s="285"/>
      <c r="K1393" s="285"/>
      <c r="L1393" s="262"/>
    </row>
    <row r="1394">
      <c r="A1394" s="91"/>
      <c r="B1394" s="91"/>
      <c r="C1394" s="91"/>
      <c r="E1394" s="28"/>
      <c r="F1394" s="283"/>
      <c r="G1394" s="284"/>
      <c r="H1394" s="283"/>
      <c r="I1394" s="285"/>
      <c r="K1394" s="285"/>
      <c r="L1394" s="262"/>
    </row>
    <row r="1395">
      <c r="A1395" s="91"/>
      <c r="B1395" s="91"/>
      <c r="C1395" s="91"/>
      <c r="E1395" s="28"/>
      <c r="F1395" s="283"/>
      <c r="G1395" s="284"/>
      <c r="H1395" s="283"/>
      <c r="I1395" s="285"/>
      <c r="K1395" s="285"/>
      <c r="L1395" s="262"/>
    </row>
    <row r="1396">
      <c r="A1396" s="91"/>
      <c r="B1396" s="91"/>
      <c r="C1396" s="91"/>
      <c r="E1396" s="28"/>
      <c r="F1396" s="283"/>
      <c r="G1396" s="284"/>
      <c r="H1396" s="283"/>
      <c r="I1396" s="285"/>
      <c r="K1396" s="285"/>
      <c r="L1396" s="262"/>
    </row>
    <row r="1397">
      <c r="A1397" s="91"/>
      <c r="B1397" s="91"/>
      <c r="C1397" s="91"/>
      <c r="E1397" s="28"/>
      <c r="F1397" s="283"/>
      <c r="G1397" s="284"/>
      <c r="H1397" s="283"/>
      <c r="I1397" s="285"/>
      <c r="K1397" s="285"/>
      <c r="L1397" s="262"/>
    </row>
    <row r="1398">
      <c r="A1398" s="91"/>
      <c r="B1398" s="91"/>
      <c r="C1398" s="91"/>
      <c r="E1398" s="28"/>
      <c r="F1398" s="283"/>
      <c r="G1398" s="284"/>
      <c r="H1398" s="283"/>
      <c r="I1398" s="285"/>
      <c r="K1398" s="285"/>
      <c r="L1398" s="262"/>
    </row>
    <row r="1399">
      <c r="A1399" s="91"/>
      <c r="B1399" s="91"/>
      <c r="C1399" s="91"/>
      <c r="E1399" s="28"/>
      <c r="F1399" s="283"/>
      <c r="G1399" s="284"/>
      <c r="H1399" s="283"/>
      <c r="I1399" s="285"/>
      <c r="K1399" s="285"/>
      <c r="L1399" s="262"/>
    </row>
    <row r="1400">
      <c r="A1400" s="91"/>
      <c r="B1400" s="91"/>
      <c r="C1400" s="91"/>
      <c r="E1400" s="28"/>
      <c r="F1400" s="283"/>
      <c r="G1400" s="284"/>
      <c r="H1400" s="283"/>
      <c r="I1400" s="285"/>
      <c r="K1400" s="285"/>
      <c r="L1400" s="262"/>
    </row>
    <row r="1401">
      <c r="A1401" s="91"/>
      <c r="B1401" s="91"/>
      <c r="C1401" s="91"/>
      <c r="E1401" s="28"/>
      <c r="F1401" s="283"/>
      <c r="G1401" s="284"/>
      <c r="H1401" s="283"/>
      <c r="I1401" s="285"/>
      <c r="K1401" s="285"/>
      <c r="L1401" s="262"/>
    </row>
    <row r="1402">
      <c r="A1402" s="91"/>
      <c r="B1402" s="91"/>
      <c r="C1402" s="91"/>
      <c r="E1402" s="28"/>
      <c r="F1402" s="283"/>
      <c r="G1402" s="284"/>
      <c r="H1402" s="283"/>
      <c r="I1402" s="285"/>
      <c r="K1402" s="285"/>
      <c r="L1402" s="262"/>
    </row>
    <row r="1403">
      <c r="A1403" s="91"/>
      <c r="B1403" s="91"/>
      <c r="C1403" s="91"/>
      <c r="E1403" s="28"/>
      <c r="F1403" s="283"/>
      <c r="G1403" s="284"/>
      <c r="H1403" s="283"/>
      <c r="I1403" s="285"/>
      <c r="K1403" s="285"/>
      <c r="L1403" s="262"/>
    </row>
    <row r="1404">
      <c r="A1404" s="91"/>
      <c r="B1404" s="91"/>
      <c r="C1404" s="91"/>
      <c r="E1404" s="28"/>
      <c r="F1404" s="283"/>
      <c r="G1404" s="284"/>
      <c r="H1404" s="283"/>
      <c r="I1404" s="285"/>
      <c r="K1404" s="285"/>
      <c r="L1404" s="262"/>
    </row>
    <row r="1405">
      <c r="A1405" s="91"/>
      <c r="B1405" s="91"/>
      <c r="C1405" s="91"/>
      <c r="E1405" s="28"/>
      <c r="F1405" s="283"/>
      <c r="G1405" s="284"/>
      <c r="H1405" s="283"/>
      <c r="I1405" s="285"/>
      <c r="K1405" s="285"/>
      <c r="L1405" s="262"/>
    </row>
    <row r="1406">
      <c r="A1406" s="91"/>
      <c r="B1406" s="91"/>
      <c r="C1406" s="91"/>
      <c r="E1406" s="28"/>
      <c r="F1406" s="283"/>
      <c r="G1406" s="284"/>
      <c r="H1406" s="283"/>
      <c r="I1406" s="285"/>
      <c r="K1406" s="285"/>
      <c r="L1406" s="262"/>
    </row>
    <row r="1407">
      <c r="A1407" s="91"/>
      <c r="B1407" s="91"/>
      <c r="C1407" s="91"/>
      <c r="E1407" s="28"/>
      <c r="F1407" s="283"/>
      <c r="G1407" s="284"/>
      <c r="H1407" s="283"/>
      <c r="I1407" s="285"/>
      <c r="K1407" s="285"/>
      <c r="L1407" s="262"/>
    </row>
    <row r="1408">
      <c r="A1408" s="91"/>
      <c r="B1408" s="91"/>
      <c r="C1408" s="91"/>
      <c r="E1408" s="28"/>
      <c r="F1408" s="283"/>
      <c r="G1408" s="284"/>
      <c r="H1408" s="283"/>
      <c r="I1408" s="285"/>
      <c r="K1408" s="285"/>
      <c r="L1408" s="262"/>
    </row>
    <row r="1409">
      <c r="A1409" s="91"/>
      <c r="B1409" s="91"/>
      <c r="C1409" s="91"/>
      <c r="E1409" s="28"/>
      <c r="F1409" s="283"/>
      <c r="G1409" s="284"/>
      <c r="H1409" s="283"/>
      <c r="I1409" s="285"/>
      <c r="K1409" s="285"/>
      <c r="L1409" s="262"/>
    </row>
    <row r="1410">
      <c r="A1410" s="91"/>
      <c r="B1410" s="91"/>
      <c r="C1410" s="91"/>
      <c r="E1410" s="28"/>
      <c r="F1410" s="283"/>
      <c r="G1410" s="284"/>
      <c r="H1410" s="283"/>
      <c r="I1410" s="285"/>
      <c r="K1410" s="285"/>
      <c r="L1410" s="262"/>
    </row>
    <row r="1411">
      <c r="A1411" s="91"/>
      <c r="B1411" s="91"/>
      <c r="C1411" s="91"/>
      <c r="E1411" s="28"/>
      <c r="F1411" s="283"/>
      <c r="G1411" s="284"/>
      <c r="H1411" s="283"/>
      <c r="I1411" s="285"/>
      <c r="K1411" s="285"/>
      <c r="L1411" s="262"/>
    </row>
    <row r="1412">
      <c r="A1412" s="91"/>
      <c r="B1412" s="91"/>
      <c r="C1412" s="91"/>
      <c r="E1412" s="28"/>
      <c r="F1412" s="283"/>
      <c r="G1412" s="284"/>
      <c r="H1412" s="283"/>
      <c r="I1412" s="285"/>
      <c r="K1412" s="285"/>
      <c r="L1412" s="262"/>
    </row>
    <row r="1413">
      <c r="A1413" s="91"/>
      <c r="B1413" s="91"/>
      <c r="C1413" s="91"/>
      <c r="E1413" s="28"/>
      <c r="F1413" s="283"/>
      <c r="G1413" s="284"/>
      <c r="H1413" s="283"/>
      <c r="I1413" s="285"/>
      <c r="K1413" s="285"/>
      <c r="L1413" s="262"/>
    </row>
    <row r="1414">
      <c r="A1414" s="91"/>
      <c r="B1414" s="91"/>
      <c r="C1414" s="91"/>
      <c r="E1414" s="28"/>
      <c r="F1414" s="283"/>
      <c r="G1414" s="284"/>
      <c r="H1414" s="283"/>
      <c r="I1414" s="285"/>
      <c r="K1414" s="285"/>
      <c r="L1414" s="262"/>
    </row>
    <row r="1415">
      <c r="A1415" s="91"/>
      <c r="B1415" s="91"/>
      <c r="C1415" s="91"/>
      <c r="E1415" s="28"/>
      <c r="F1415" s="283"/>
      <c r="G1415" s="284"/>
      <c r="H1415" s="283"/>
      <c r="I1415" s="285"/>
      <c r="K1415" s="285"/>
      <c r="L1415" s="262"/>
    </row>
    <row r="1416">
      <c r="A1416" s="91"/>
      <c r="B1416" s="91"/>
      <c r="C1416" s="91"/>
      <c r="E1416" s="28"/>
      <c r="F1416" s="283"/>
      <c r="G1416" s="284"/>
      <c r="H1416" s="283"/>
      <c r="I1416" s="285"/>
      <c r="K1416" s="285"/>
      <c r="L1416" s="262"/>
    </row>
    <row r="1417">
      <c r="A1417" s="91"/>
      <c r="B1417" s="91"/>
      <c r="C1417" s="91"/>
      <c r="E1417" s="28"/>
      <c r="F1417" s="283"/>
      <c r="G1417" s="284"/>
      <c r="H1417" s="283"/>
      <c r="I1417" s="285"/>
      <c r="K1417" s="285"/>
      <c r="L1417" s="262"/>
    </row>
    <row r="1418">
      <c r="A1418" s="91"/>
      <c r="B1418" s="91"/>
      <c r="C1418" s="91"/>
      <c r="E1418" s="28"/>
      <c r="F1418" s="283"/>
      <c r="G1418" s="284"/>
      <c r="H1418" s="283"/>
      <c r="I1418" s="285"/>
      <c r="K1418" s="285"/>
      <c r="L1418" s="262"/>
    </row>
    <row r="1419">
      <c r="A1419" s="91"/>
      <c r="B1419" s="91"/>
      <c r="C1419" s="91"/>
      <c r="E1419" s="28"/>
      <c r="F1419" s="283"/>
      <c r="G1419" s="284"/>
      <c r="H1419" s="283"/>
      <c r="I1419" s="285"/>
      <c r="K1419" s="285"/>
      <c r="L1419" s="262"/>
    </row>
    <row r="1420">
      <c r="A1420" s="91"/>
      <c r="B1420" s="91"/>
      <c r="C1420" s="91"/>
      <c r="E1420" s="28"/>
      <c r="F1420" s="283"/>
      <c r="G1420" s="284"/>
      <c r="H1420" s="283"/>
      <c r="I1420" s="285"/>
      <c r="K1420" s="285"/>
      <c r="L1420" s="262"/>
    </row>
    <row r="1421">
      <c r="A1421" s="91"/>
      <c r="B1421" s="91"/>
      <c r="C1421" s="91"/>
      <c r="E1421" s="28"/>
      <c r="F1421" s="283"/>
      <c r="G1421" s="284"/>
      <c r="H1421" s="283"/>
      <c r="I1421" s="285"/>
      <c r="K1421" s="285"/>
      <c r="L1421" s="262"/>
    </row>
    <row r="1422">
      <c r="A1422" s="91"/>
      <c r="B1422" s="91"/>
      <c r="C1422" s="91"/>
      <c r="E1422" s="28"/>
      <c r="F1422" s="283"/>
      <c r="G1422" s="284"/>
      <c r="H1422" s="283"/>
      <c r="I1422" s="285"/>
      <c r="K1422" s="285"/>
      <c r="L1422" s="262"/>
    </row>
    <row r="1423">
      <c r="A1423" s="91"/>
      <c r="B1423" s="91"/>
      <c r="C1423" s="91"/>
      <c r="E1423" s="28"/>
      <c r="F1423" s="283"/>
      <c r="G1423" s="284"/>
      <c r="H1423" s="283"/>
      <c r="I1423" s="285"/>
      <c r="K1423" s="285"/>
      <c r="L1423" s="262"/>
    </row>
    <row r="1424">
      <c r="A1424" s="91"/>
      <c r="B1424" s="91"/>
      <c r="C1424" s="91"/>
      <c r="E1424" s="28"/>
      <c r="F1424" s="283"/>
      <c r="G1424" s="284"/>
      <c r="H1424" s="283"/>
      <c r="I1424" s="285"/>
      <c r="K1424" s="285"/>
      <c r="L1424" s="262"/>
    </row>
    <row r="1425">
      <c r="A1425" s="91"/>
      <c r="B1425" s="91"/>
      <c r="C1425" s="91"/>
      <c r="E1425" s="28"/>
      <c r="F1425" s="283"/>
      <c r="G1425" s="284"/>
      <c r="H1425" s="283"/>
      <c r="I1425" s="285"/>
      <c r="K1425" s="285"/>
      <c r="L1425" s="262"/>
    </row>
    <row r="1426">
      <c r="A1426" s="91"/>
      <c r="B1426" s="91"/>
      <c r="C1426" s="91"/>
      <c r="E1426" s="28"/>
      <c r="F1426" s="283"/>
      <c r="G1426" s="284"/>
      <c r="H1426" s="283"/>
      <c r="I1426" s="285"/>
      <c r="K1426" s="285"/>
      <c r="L1426" s="262"/>
    </row>
    <row r="1427">
      <c r="A1427" s="91"/>
      <c r="B1427" s="91"/>
      <c r="C1427" s="91"/>
      <c r="E1427" s="28"/>
      <c r="F1427" s="283"/>
      <c r="G1427" s="284"/>
      <c r="H1427" s="283"/>
      <c r="I1427" s="285"/>
      <c r="K1427" s="285"/>
      <c r="L1427" s="262"/>
    </row>
    <row r="1428">
      <c r="A1428" s="91"/>
      <c r="B1428" s="91"/>
      <c r="C1428" s="91"/>
      <c r="E1428" s="28"/>
      <c r="F1428" s="283"/>
      <c r="G1428" s="284"/>
      <c r="H1428" s="283"/>
      <c r="I1428" s="285"/>
      <c r="K1428" s="285"/>
      <c r="L1428" s="262"/>
    </row>
    <row r="1429">
      <c r="A1429" s="91"/>
      <c r="B1429" s="91"/>
      <c r="C1429" s="91"/>
      <c r="E1429" s="28"/>
      <c r="F1429" s="283"/>
      <c r="G1429" s="284"/>
      <c r="H1429" s="283"/>
      <c r="I1429" s="285"/>
      <c r="K1429" s="285"/>
      <c r="L1429" s="262"/>
    </row>
    <row r="1430">
      <c r="A1430" s="91"/>
      <c r="B1430" s="91"/>
      <c r="C1430" s="91"/>
      <c r="E1430" s="28"/>
      <c r="F1430" s="283"/>
      <c r="G1430" s="284"/>
      <c r="H1430" s="283"/>
      <c r="I1430" s="285"/>
      <c r="K1430" s="285"/>
      <c r="L1430" s="262"/>
    </row>
    <row r="1431">
      <c r="A1431" s="91"/>
      <c r="B1431" s="91"/>
      <c r="C1431" s="91"/>
      <c r="E1431" s="28"/>
      <c r="F1431" s="283"/>
      <c r="G1431" s="284"/>
      <c r="H1431" s="283"/>
      <c r="I1431" s="285"/>
      <c r="K1431" s="285"/>
      <c r="L1431" s="262"/>
    </row>
    <row r="1432">
      <c r="A1432" s="91"/>
      <c r="B1432" s="91"/>
      <c r="C1432" s="91"/>
      <c r="E1432" s="28"/>
      <c r="F1432" s="283"/>
      <c r="G1432" s="284"/>
      <c r="H1432" s="283"/>
      <c r="I1432" s="285"/>
      <c r="K1432" s="285"/>
      <c r="L1432" s="262"/>
    </row>
    <row r="1433">
      <c r="A1433" s="91"/>
      <c r="B1433" s="91"/>
      <c r="C1433" s="91"/>
      <c r="E1433" s="28"/>
      <c r="F1433" s="283"/>
      <c r="G1433" s="284"/>
      <c r="H1433" s="283"/>
      <c r="I1433" s="285"/>
      <c r="K1433" s="285"/>
      <c r="L1433" s="262"/>
    </row>
    <row r="1434">
      <c r="A1434" s="91"/>
      <c r="B1434" s="91"/>
      <c r="C1434" s="91"/>
      <c r="E1434" s="28"/>
      <c r="F1434" s="283"/>
      <c r="G1434" s="284"/>
      <c r="H1434" s="283"/>
      <c r="I1434" s="285"/>
      <c r="K1434" s="285"/>
      <c r="L1434" s="262"/>
    </row>
    <row r="1435">
      <c r="A1435" s="91"/>
      <c r="B1435" s="91"/>
      <c r="C1435" s="91"/>
      <c r="E1435" s="28"/>
      <c r="F1435" s="283"/>
      <c r="G1435" s="284"/>
      <c r="H1435" s="283"/>
      <c r="I1435" s="285"/>
      <c r="K1435" s="285"/>
      <c r="L1435" s="262"/>
    </row>
    <row r="1436">
      <c r="A1436" s="91"/>
      <c r="B1436" s="91"/>
      <c r="C1436" s="91"/>
      <c r="E1436" s="28"/>
      <c r="F1436" s="283"/>
      <c r="G1436" s="284"/>
      <c r="H1436" s="283"/>
      <c r="I1436" s="285"/>
      <c r="K1436" s="285"/>
      <c r="L1436" s="262"/>
    </row>
    <row r="1437">
      <c r="A1437" s="91"/>
      <c r="B1437" s="91"/>
      <c r="C1437" s="91"/>
      <c r="E1437" s="28"/>
      <c r="F1437" s="283"/>
      <c r="G1437" s="284"/>
      <c r="H1437" s="283"/>
      <c r="I1437" s="285"/>
      <c r="K1437" s="285"/>
      <c r="L1437" s="262"/>
    </row>
    <row r="1438">
      <c r="A1438" s="91"/>
      <c r="B1438" s="91"/>
      <c r="C1438" s="91"/>
      <c r="E1438" s="28"/>
      <c r="F1438" s="283"/>
      <c r="G1438" s="284"/>
      <c r="H1438" s="283"/>
      <c r="I1438" s="285"/>
      <c r="K1438" s="285"/>
      <c r="L1438" s="262"/>
    </row>
    <row r="1439">
      <c r="A1439" s="91"/>
      <c r="B1439" s="91"/>
      <c r="C1439" s="91"/>
      <c r="E1439" s="28"/>
      <c r="F1439" s="283"/>
      <c r="G1439" s="284"/>
      <c r="H1439" s="283"/>
      <c r="I1439" s="285"/>
      <c r="K1439" s="285"/>
      <c r="L1439" s="262"/>
    </row>
    <row r="1440">
      <c r="A1440" s="91"/>
      <c r="B1440" s="91"/>
      <c r="C1440" s="91"/>
      <c r="E1440" s="28"/>
      <c r="F1440" s="283"/>
      <c r="G1440" s="284"/>
      <c r="H1440" s="283"/>
      <c r="I1440" s="285"/>
      <c r="K1440" s="285"/>
      <c r="L1440" s="262"/>
    </row>
    <row r="1441">
      <c r="A1441" s="91"/>
      <c r="B1441" s="91"/>
      <c r="C1441" s="91"/>
      <c r="E1441" s="28"/>
      <c r="F1441" s="283"/>
      <c r="G1441" s="284"/>
      <c r="H1441" s="283"/>
      <c r="I1441" s="285"/>
      <c r="K1441" s="285"/>
      <c r="L1441" s="262"/>
    </row>
    <row r="1442">
      <c r="A1442" s="91"/>
      <c r="B1442" s="91"/>
      <c r="C1442" s="91"/>
      <c r="E1442" s="28"/>
      <c r="F1442" s="283"/>
      <c r="G1442" s="284"/>
      <c r="H1442" s="283"/>
      <c r="I1442" s="285"/>
      <c r="K1442" s="285"/>
      <c r="L1442" s="262"/>
    </row>
    <row r="1443">
      <c r="A1443" s="91"/>
      <c r="B1443" s="91"/>
      <c r="C1443" s="91"/>
      <c r="E1443" s="28"/>
      <c r="F1443" s="283"/>
      <c r="G1443" s="284"/>
      <c r="H1443" s="283"/>
      <c r="I1443" s="285"/>
      <c r="K1443" s="285"/>
      <c r="L1443" s="262"/>
    </row>
    <row r="1444">
      <c r="A1444" s="91"/>
      <c r="B1444" s="91"/>
      <c r="C1444" s="91"/>
      <c r="E1444" s="28"/>
      <c r="F1444" s="283"/>
      <c r="G1444" s="284"/>
      <c r="H1444" s="283"/>
      <c r="I1444" s="285"/>
      <c r="K1444" s="285"/>
      <c r="L1444" s="262"/>
    </row>
    <row r="1445">
      <c r="A1445" s="91"/>
      <c r="B1445" s="91"/>
      <c r="C1445" s="91"/>
      <c r="E1445" s="28"/>
      <c r="F1445" s="283"/>
      <c r="G1445" s="284"/>
      <c r="H1445" s="283"/>
      <c r="I1445" s="285"/>
      <c r="K1445" s="285"/>
      <c r="L1445" s="262"/>
    </row>
    <row r="1446">
      <c r="A1446" s="91"/>
      <c r="B1446" s="91"/>
      <c r="C1446" s="91"/>
      <c r="E1446" s="28"/>
      <c r="F1446" s="283"/>
      <c r="G1446" s="284"/>
      <c r="H1446" s="283"/>
      <c r="I1446" s="285"/>
      <c r="K1446" s="285"/>
      <c r="L1446" s="262"/>
    </row>
    <row r="1447">
      <c r="A1447" s="91"/>
      <c r="B1447" s="91"/>
      <c r="C1447" s="91"/>
      <c r="E1447" s="28"/>
      <c r="F1447" s="283"/>
      <c r="G1447" s="284"/>
      <c r="H1447" s="283"/>
      <c r="I1447" s="285"/>
      <c r="K1447" s="285"/>
      <c r="L1447" s="262"/>
    </row>
    <row r="1448">
      <c r="A1448" s="91"/>
      <c r="B1448" s="91"/>
      <c r="C1448" s="91"/>
      <c r="E1448" s="28"/>
      <c r="F1448" s="283"/>
      <c r="G1448" s="284"/>
      <c r="H1448" s="283"/>
      <c r="I1448" s="285"/>
      <c r="K1448" s="285"/>
      <c r="L1448" s="262"/>
    </row>
    <row r="1449">
      <c r="A1449" s="91"/>
      <c r="B1449" s="91"/>
      <c r="C1449" s="91"/>
      <c r="E1449" s="28"/>
      <c r="F1449" s="283"/>
      <c r="G1449" s="284"/>
      <c r="H1449" s="283"/>
      <c r="I1449" s="285"/>
      <c r="K1449" s="285"/>
      <c r="L1449" s="262"/>
    </row>
    <row r="1450">
      <c r="A1450" s="91"/>
      <c r="B1450" s="91"/>
      <c r="C1450" s="91"/>
      <c r="E1450" s="28"/>
      <c r="F1450" s="283"/>
      <c r="G1450" s="284"/>
      <c r="H1450" s="283"/>
      <c r="I1450" s="285"/>
      <c r="K1450" s="285"/>
      <c r="L1450" s="262"/>
    </row>
    <row r="1451">
      <c r="A1451" s="91"/>
      <c r="B1451" s="91"/>
      <c r="C1451" s="91"/>
      <c r="E1451" s="28"/>
      <c r="F1451" s="283"/>
      <c r="G1451" s="284"/>
      <c r="H1451" s="283"/>
      <c r="I1451" s="285"/>
      <c r="K1451" s="285"/>
      <c r="L1451" s="262"/>
    </row>
    <row r="1452">
      <c r="A1452" s="91"/>
      <c r="B1452" s="91"/>
      <c r="C1452" s="91"/>
      <c r="E1452" s="28"/>
      <c r="F1452" s="283"/>
      <c r="G1452" s="284"/>
      <c r="H1452" s="283"/>
      <c r="I1452" s="285"/>
      <c r="K1452" s="285"/>
      <c r="L1452" s="262"/>
    </row>
    <row r="1453">
      <c r="A1453" s="91"/>
      <c r="B1453" s="91"/>
      <c r="C1453" s="91"/>
      <c r="E1453" s="28"/>
      <c r="F1453" s="283"/>
      <c r="G1453" s="284"/>
      <c r="H1453" s="283"/>
      <c r="I1453" s="285"/>
      <c r="K1453" s="285"/>
      <c r="L1453" s="262"/>
    </row>
    <row r="1454">
      <c r="A1454" s="91"/>
      <c r="B1454" s="91"/>
      <c r="C1454" s="91"/>
      <c r="E1454" s="28"/>
      <c r="F1454" s="283"/>
      <c r="G1454" s="284"/>
      <c r="H1454" s="283"/>
      <c r="I1454" s="285"/>
      <c r="K1454" s="285"/>
      <c r="L1454" s="262"/>
    </row>
    <row r="1455">
      <c r="A1455" s="91"/>
      <c r="B1455" s="91"/>
      <c r="C1455" s="91"/>
      <c r="E1455" s="28"/>
      <c r="F1455" s="283"/>
      <c r="G1455" s="284"/>
      <c r="H1455" s="283"/>
      <c r="I1455" s="285"/>
      <c r="K1455" s="285"/>
      <c r="L1455" s="262"/>
    </row>
    <row r="1456">
      <c r="A1456" s="91"/>
      <c r="B1456" s="91"/>
      <c r="C1456" s="91"/>
      <c r="E1456" s="28"/>
      <c r="F1456" s="283"/>
      <c r="G1456" s="284"/>
      <c r="H1456" s="283"/>
      <c r="I1456" s="285"/>
      <c r="K1456" s="285"/>
      <c r="L1456" s="262"/>
    </row>
    <row r="1457">
      <c r="A1457" s="91"/>
      <c r="B1457" s="91"/>
      <c r="C1457" s="91"/>
      <c r="E1457" s="28"/>
      <c r="F1457" s="283"/>
      <c r="G1457" s="284"/>
      <c r="H1457" s="283"/>
      <c r="I1457" s="285"/>
      <c r="K1457" s="285"/>
      <c r="L1457" s="262"/>
    </row>
    <row r="1458">
      <c r="A1458" s="91"/>
      <c r="B1458" s="91"/>
      <c r="C1458" s="91"/>
      <c r="E1458" s="28"/>
      <c r="F1458" s="283"/>
      <c r="G1458" s="284"/>
      <c r="H1458" s="283"/>
      <c r="I1458" s="285"/>
      <c r="K1458" s="285"/>
      <c r="L1458" s="262"/>
    </row>
    <row r="1459">
      <c r="A1459" s="91"/>
      <c r="B1459" s="91"/>
      <c r="C1459" s="91"/>
      <c r="E1459" s="28"/>
      <c r="F1459" s="283"/>
      <c r="G1459" s="284"/>
      <c r="H1459" s="283"/>
      <c r="I1459" s="285"/>
      <c r="K1459" s="285"/>
      <c r="L1459" s="262"/>
    </row>
    <row r="1460">
      <c r="A1460" s="91"/>
      <c r="B1460" s="91"/>
      <c r="C1460" s="91"/>
      <c r="E1460" s="28"/>
      <c r="F1460" s="283"/>
      <c r="G1460" s="284"/>
      <c r="H1460" s="283"/>
      <c r="I1460" s="285"/>
      <c r="K1460" s="285"/>
      <c r="L1460" s="262"/>
    </row>
    <row r="1461">
      <c r="A1461" s="91"/>
      <c r="B1461" s="91"/>
      <c r="C1461" s="91"/>
      <c r="E1461" s="28"/>
      <c r="F1461" s="283"/>
      <c r="G1461" s="284"/>
      <c r="H1461" s="283"/>
      <c r="I1461" s="285"/>
      <c r="K1461" s="285"/>
      <c r="L1461" s="262"/>
    </row>
    <row r="1462">
      <c r="A1462" s="91"/>
      <c r="B1462" s="91"/>
      <c r="C1462" s="91"/>
      <c r="E1462" s="28"/>
      <c r="F1462" s="283"/>
      <c r="G1462" s="284"/>
      <c r="H1462" s="283"/>
      <c r="I1462" s="285"/>
      <c r="K1462" s="285"/>
      <c r="L1462" s="262"/>
    </row>
    <row r="1463">
      <c r="A1463" s="91"/>
      <c r="B1463" s="91"/>
      <c r="C1463" s="91"/>
      <c r="E1463" s="28"/>
      <c r="F1463" s="283"/>
      <c r="G1463" s="284"/>
      <c r="H1463" s="283"/>
      <c r="I1463" s="285"/>
      <c r="K1463" s="285"/>
      <c r="L1463" s="262"/>
    </row>
    <row r="1464">
      <c r="A1464" s="91"/>
      <c r="B1464" s="91"/>
      <c r="C1464" s="91"/>
      <c r="E1464" s="28"/>
      <c r="F1464" s="283"/>
      <c r="G1464" s="284"/>
      <c r="H1464" s="283"/>
      <c r="I1464" s="285"/>
      <c r="K1464" s="285"/>
      <c r="L1464" s="262"/>
    </row>
    <row r="1465">
      <c r="A1465" s="91"/>
      <c r="B1465" s="91"/>
      <c r="C1465" s="91"/>
      <c r="E1465" s="28"/>
      <c r="F1465" s="283"/>
      <c r="G1465" s="284"/>
      <c r="H1465" s="283"/>
      <c r="I1465" s="285"/>
      <c r="K1465" s="285"/>
      <c r="L1465" s="262"/>
    </row>
    <row r="1466">
      <c r="A1466" s="91"/>
      <c r="B1466" s="91"/>
      <c r="C1466" s="91"/>
      <c r="E1466" s="28"/>
      <c r="F1466" s="283"/>
      <c r="G1466" s="284"/>
      <c r="H1466" s="283"/>
      <c r="I1466" s="285"/>
      <c r="K1466" s="285"/>
      <c r="L1466" s="262"/>
    </row>
    <row r="1467">
      <c r="A1467" s="91"/>
      <c r="B1467" s="91"/>
      <c r="C1467" s="91"/>
      <c r="E1467" s="28"/>
      <c r="F1467" s="283"/>
      <c r="G1467" s="284"/>
      <c r="H1467" s="283"/>
      <c r="I1467" s="285"/>
      <c r="K1467" s="285"/>
      <c r="L1467" s="262"/>
    </row>
    <row r="1468">
      <c r="A1468" s="91"/>
      <c r="B1468" s="91"/>
      <c r="C1468" s="91"/>
      <c r="E1468" s="28"/>
      <c r="F1468" s="283"/>
      <c r="G1468" s="284"/>
      <c r="H1468" s="283"/>
      <c r="I1468" s="285"/>
      <c r="K1468" s="285"/>
      <c r="L1468" s="262"/>
    </row>
    <row r="1469">
      <c r="A1469" s="91"/>
      <c r="B1469" s="91"/>
      <c r="C1469" s="91"/>
      <c r="E1469" s="28"/>
      <c r="F1469" s="283"/>
      <c r="G1469" s="284"/>
      <c r="H1469" s="283"/>
      <c r="I1469" s="285"/>
      <c r="K1469" s="285"/>
      <c r="L1469" s="262"/>
    </row>
    <row r="1470">
      <c r="A1470" s="91"/>
      <c r="B1470" s="91"/>
      <c r="C1470" s="91"/>
      <c r="E1470" s="28"/>
      <c r="F1470" s="283"/>
      <c r="G1470" s="284"/>
      <c r="H1470" s="283"/>
      <c r="I1470" s="285"/>
      <c r="K1470" s="285"/>
      <c r="L1470" s="262"/>
    </row>
    <row r="1471">
      <c r="A1471" s="91"/>
      <c r="B1471" s="91"/>
      <c r="C1471" s="91"/>
      <c r="E1471" s="28"/>
      <c r="F1471" s="283"/>
      <c r="G1471" s="284"/>
      <c r="H1471" s="283"/>
      <c r="I1471" s="285"/>
      <c r="K1471" s="285"/>
      <c r="L1471" s="262"/>
    </row>
    <row r="1472">
      <c r="A1472" s="91"/>
      <c r="B1472" s="91"/>
      <c r="C1472" s="91"/>
      <c r="E1472" s="28"/>
      <c r="F1472" s="283"/>
      <c r="G1472" s="284"/>
      <c r="H1472" s="283"/>
      <c r="I1472" s="285"/>
      <c r="K1472" s="285"/>
      <c r="L1472" s="262"/>
    </row>
    <row r="1473">
      <c r="A1473" s="91"/>
      <c r="B1473" s="91"/>
      <c r="C1473" s="91"/>
      <c r="E1473" s="28"/>
      <c r="F1473" s="283"/>
      <c r="G1473" s="284"/>
      <c r="H1473" s="283"/>
      <c r="I1473" s="285"/>
      <c r="K1473" s="285"/>
      <c r="L1473" s="262"/>
    </row>
    <row r="1474">
      <c r="A1474" s="91"/>
      <c r="B1474" s="91"/>
      <c r="C1474" s="91"/>
      <c r="E1474" s="28"/>
      <c r="F1474" s="283"/>
      <c r="G1474" s="284"/>
      <c r="H1474" s="283"/>
      <c r="I1474" s="285"/>
      <c r="K1474" s="285"/>
      <c r="L1474" s="262"/>
    </row>
    <row r="1475">
      <c r="A1475" s="91"/>
      <c r="B1475" s="91"/>
      <c r="C1475" s="91"/>
      <c r="E1475" s="28"/>
      <c r="F1475" s="283"/>
      <c r="G1475" s="284"/>
      <c r="H1475" s="283"/>
      <c r="I1475" s="285"/>
      <c r="K1475" s="285"/>
      <c r="L1475" s="262"/>
    </row>
    <row r="1476">
      <c r="A1476" s="91"/>
      <c r="B1476" s="91"/>
      <c r="C1476" s="91"/>
      <c r="E1476" s="28"/>
      <c r="F1476" s="283"/>
      <c r="G1476" s="284"/>
      <c r="H1476" s="283"/>
      <c r="I1476" s="285"/>
      <c r="K1476" s="285"/>
      <c r="L1476" s="262"/>
    </row>
    <row r="1477">
      <c r="A1477" s="91"/>
      <c r="B1477" s="91"/>
      <c r="C1477" s="91"/>
      <c r="E1477" s="28"/>
      <c r="F1477" s="283"/>
      <c r="G1477" s="284"/>
      <c r="H1477" s="283"/>
      <c r="I1477" s="285"/>
      <c r="K1477" s="285"/>
      <c r="L1477" s="262"/>
    </row>
    <row r="1478">
      <c r="A1478" s="91"/>
      <c r="B1478" s="91"/>
      <c r="C1478" s="91"/>
      <c r="E1478" s="28"/>
      <c r="F1478" s="283"/>
      <c r="G1478" s="284"/>
      <c r="H1478" s="283"/>
      <c r="I1478" s="285"/>
      <c r="K1478" s="285"/>
      <c r="L1478" s="262"/>
    </row>
    <row r="1479">
      <c r="A1479" s="91"/>
      <c r="B1479" s="91"/>
      <c r="C1479" s="91"/>
      <c r="E1479" s="28"/>
      <c r="F1479" s="283"/>
      <c r="G1479" s="284"/>
      <c r="H1479" s="283"/>
      <c r="I1479" s="285"/>
      <c r="K1479" s="285"/>
      <c r="L1479" s="262"/>
    </row>
    <row r="1480">
      <c r="A1480" s="91"/>
      <c r="B1480" s="91"/>
      <c r="C1480" s="91"/>
      <c r="E1480" s="28"/>
      <c r="F1480" s="283"/>
      <c r="G1480" s="284"/>
      <c r="H1480" s="283"/>
      <c r="I1480" s="285"/>
      <c r="K1480" s="285"/>
      <c r="L1480" s="262"/>
    </row>
    <row r="1481">
      <c r="A1481" s="91"/>
      <c r="B1481" s="91"/>
      <c r="C1481" s="91"/>
      <c r="E1481" s="28"/>
      <c r="F1481" s="283"/>
      <c r="G1481" s="284"/>
      <c r="H1481" s="283"/>
      <c r="I1481" s="285"/>
      <c r="K1481" s="285"/>
      <c r="L1481" s="262"/>
    </row>
    <row r="1482">
      <c r="A1482" s="91"/>
      <c r="B1482" s="91"/>
      <c r="C1482" s="91"/>
      <c r="E1482" s="28"/>
      <c r="F1482" s="283"/>
      <c r="G1482" s="284"/>
      <c r="H1482" s="283"/>
      <c r="I1482" s="285"/>
      <c r="K1482" s="285"/>
      <c r="L1482" s="262"/>
    </row>
    <row r="1483">
      <c r="A1483" s="91"/>
      <c r="B1483" s="91"/>
      <c r="C1483" s="91"/>
      <c r="E1483" s="28"/>
      <c r="F1483" s="283"/>
      <c r="G1483" s="284"/>
      <c r="H1483" s="283"/>
      <c r="I1483" s="285"/>
      <c r="K1483" s="285"/>
      <c r="L1483" s="262"/>
    </row>
    <row r="1484">
      <c r="A1484" s="91"/>
      <c r="B1484" s="91"/>
      <c r="C1484" s="91"/>
      <c r="E1484" s="28"/>
      <c r="F1484" s="283"/>
      <c r="G1484" s="284"/>
      <c r="H1484" s="283"/>
      <c r="I1484" s="285"/>
      <c r="K1484" s="285"/>
      <c r="L1484" s="262"/>
    </row>
    <row r="1485">
      <c r="A1485" s="91"/>
      <c r="B1485" s="91"/>
      <c r="C1485" s="91"/>
      <c r="E1485" s="28"/>
      <c r="F1485" s="283"/>
      <c r="G1485" s="284"/>
      <c r="H1485" s="283"/>
      <c r="I1485" s="285"/>
      <c r="K1485" s="285"/>
      <c r="L1485" s="262"/>
    </row>
    <row r="1486">
      <c r="A1486" s="91"/>
      <c r="B1486" s="91"/>
      <c r="C1486" s="91"/>
      <c r="E1486" s="28"/>
      <c r="F1486" s="283"/>
      <c r="G1486" s="284"/>
      <c r="H1486" s="283"/>
      <c r="I1486" s="285"/>
      <c r="K1486" s="285"/>
      <c r="L1486" s="262"/>
    </row>
    <row r="1487">
      <c r="A1487" s="91"/>
      <c r="B1487" s="91"/>
      <c r="C1487" s="91"/>
      <c r="E1487" s="28"/>
      <c r="F1487" s="283"/>
      <c r="G1487" s="284"/>
      <c r="H1487" s="283"/>
      <c r="I1487" s="285"/>
      <c r="K1487" s="285"/>
      <c r="L1487" s="262"/>
    </row>
    <row r="1488">
      <c r="A1488" s="91"/>
      <c r="B1488" s="91"/>
      <c r="C1488" s="91"/>
      <c r="E1488" s="28"/>
      <c r="F1488" s="283"/>
      <c r="G1488" s="284"/>
      <c r="H1488" s="283"/>
      <c r="I1488" s="285"/>
      <c r="K1488" s="285"/>
      <c r="L1488" s="262"/>
    </row>
    <row r="1489">
      <c r="A1489" s="91"/>
      <c r="B1489" s="91"/>
      <c r="C1489" s="91"/>
      <c r="E1489" s="28"/>
      <c r="F1489" s="283"/>
      <c r="G1489" s="284"/>
      <c r="H1489" s="283"/>
      <c r="I1489" s="285"/>
      <c r="K1489" s="285"/>
      <c r="L1489" s="262"/>
    </row>
    <row r="1490">
      <c r="A1490" s="91"/>
      <c r="B1490" s="91"/>
      <c r="C1490" s="91"/>
      <c r="E1490" s="28"/>
      <c r="F1490" s="283"/>
      <c r="G1490" s="284"/>
      <c r="H1490" s="283"/>
      <c r="I1490" s="285"/>
      <c r="K1490" s="285"/>
      <c r="L1490" s="262"/>
    </row>
    <row r="1491">
      <c r="A1491" s="91"/>
      <c r="B1491" s="91"/>
      <c r="C1491" s="91"/>
      <c r="E1491" s="28"/>
      <c r="F1491" s="283"/>
      <c r="G1491" s="284"/>
      <c r="H1491" s="283"/>
      <c r="I1491" s="285"/>
      <c r="K1491" s="285"/>
      <c r="L1491" s="262"/>
    </row>
    <row r="1492">
      <c r="A1492" s="91"/>
      <c r="B1492" s="91"/>
      <c r="C1492" s="91"/>
      <c r="E1492" s="28"/>
      <c r="F1492" s="283"/>
      <c r="G1492" s="284"/>
      <c r="H1492" s="283"/>
      <c r="I1492" s="285"/>
      <c r="K1492" s="285"/>
      <c r="L1492" s="262"/>
    </row>
    <row r="1493">
      <c r="A1493" s="91"/>
      <c r="B1493" s="91"/>
      <c r="C1493" s="91"/>
      <c r="E1493" s="28"/>
      <c r="F1493" s="283"/>
      <c r="G1493" s="284"/>
      <c r="H1493" s="283"/>
      <c r="I1493" s="285"/>
      <c r="K1493" s="285"/>
      <c r="L1493" s="262"/>
    </row>
    <row r="1494">
      <c r="A1494" s="91"/>
      <c r="B1494" s="91"/>
      <c r="C1494" s="91"/>
      <c r="E1494" s="28"/>
      <c r="F1494" s="283"/>
      <c r="G1494" s="284"/>
      <c r="H1494" s="283"/>
      <c r="I1494" s="285"/>
      <c r="K1494" s="285"/>
      <c r="L1494" s="262"/>
    </row>
    <row r="1495">
      <c r="A1495" s="91"/>
      <c r="B1495" s="91"/>
      <c r="C1495" s="91"/>
      <c r="E1495" s="28"/>
      <c r="F1495" s="283"/>
      <c r="G1495" s="284"/>
      <c r="H1495" s="283"/>
      <c r="I1495" s="285"/>
      <c r="K1495" s="285"/>
      <c r="L1495" s="262"/>
    </row>
    <row r="1496">
      <c r="A1496" s="91"/>
      <c r="B1496" s="91"/>
      <c r="C1496" s="91"/>
      <c r="E1496" s="28"/>
      <c r="F1496" s="283"/>
      <c r="G1496" s="284"/>
      <c r="H1496" s="283"/>
      <c r="I1496" s="285"/>
      <c r="K1496" s="285"/>
      <c r="L1496" s="262"/>
    </row>
    <row r="1497">
      <c r="A1497" s="91"/>
      <c r="B1497" s="91"/>
      <c r="C1497" s="91"/>
      <c r="E1497" s="28"/>
      <c r="F1497" s="283"/>
      <c r="G1497" s="284"/>
      <c r="H1497" s="283"/>
      <c r="I1497" s="285"/>
      <c r="K1497" s="285"/>
      <c r="L1497" s="262"/>
    </row>
    <row r="1498">
      <c r="A1498" s="91"/>
      <c r="B1498" s="91"/>
      <c r="C1498" s="91"/>
      <c r="E1498" s="28"/>
      <c r="F1498" s="283"/>
      <c r="G1498" s="284"/>
      <c r="H1498" s="283"/>
      <c r="I1498" s="285"/>
      <c r="K1498" s="285"/>
      <c r="L1498" s="262"/>
    </row>
    <row r="1499">
      <c r="A1499" s="91"/>
      <c r="B1499" s="91"/>
      <c r="C1499" s="91"/>
      <c r="E1499" s="28"/>
      <c r="F1499" s="283"/>
      <c r="G1499" s="284"/>
      <c r="H1499" s="283"/>
      <c r="I1499" s="285"/>
      <c r="K1499" s="285"/>
      <c r="L1499" s="262"/>
    </row>
    <row r="1500">
      <c r="A1500" s="91"/>
      <c r="B1500" s="91"/>
      <c r="C1500" s="91"/>
      <c r="E1500" s="28"/>
      <c r="F1500" s="283"/>
      <c r="G1500" s="284"/>
      <c r="H1500" s="283"/>
      <c r="I1500" s="285"/>
      <c r="K1500" s="285"/>
      <c r="L1500" s="262"/>
    </row>
    <row r="1501">
      <c r="A1501" s="91"/>
      <c r="B1501" s="91"/>
      <c r="C1501" s="91"/>
      <c r="E1501" s="28"/>
      <c r="F1501" s="283"/>
      <c r="G1501" s="284"/>
      <c r="H1501" s="283"/>
      <c r="I1501" s="285"/>
      <c r="K1501" s="285"/>
      <c r="L1501" s="262"/>
    </row>
    <row r="1502">
      <c r="A1502" s="91"/>
      <c r="B1502" s="91"/>
      <c r="C1502" s="91"/>
      <c r="E1502" s="28"/>
      <c r="F1502" s="283"/>
      <c r="G1502" s="284"/>
      <c r="H1502" s="283"/>
      <c r="I1502" s="285"/>
      <c r="K1502" s="285"/>
      <c r="L1502" s="262"/>
    </row>
    <row r="1503">
      <c r="A1503" s="91"/>
      <c r="B1503" s="91"/>
      <c r="C1503" s="91"/>
      <c r="E1503" s="28"/>
      <c r="F1503" s="283"/>
      <c r="G1503" s="284"/>
      <c r="H1503" s="283"/>
      <c r="I1503" s="285"/>
      <c r="K1503" s="285"/>
      <c r="L1503" s="262"/>
    </row>
    <row r="1504">
      <c r="A1504" s="91"/>
      <c r="B1504" s="91"/>
      <c r="C1504" s="91"/>
      <c r="E1504" s="28"/>
      <c r="F1504" s="283"/>
      <c r="G1504" s="284"/>
      <c r="H1504" s="283"/>
      <c r="I1504" s="285"/>
      <c r="K1504" s="285"/>
      <c r="L1504" s="262"/>
    </row>
    <row r="1505">
      <c r="A1505" s="91"/>
      <c r="B1505" s="91"/>
      <c r="C1505" s="91"/>
      <c r="E1505" s="28"/>
      <c r="F1505" s="283"/>
      <c r="G1505" s="284"/>
      <c r="H1505" s="283"/>
      <c r="I1505" s="285"/>
      <c r="K1505" s="285"/>
      <c r="L1505" s="262"/>
    </row>
    <row r="1506">
      <c r="A1506" s="91"/>
      <c r="B1506" s="91"/>
      <c r="C1506" s="91"/>
      <c r="E1506" s="28"/>
      <c r="F1506" s="283"/>
      <c r="G1506" s="284"/>
      <c r="H1506" s="283"/>
      <c r="I1506" s="285"/>
      <c r="K1506" s="285"/>
      <c r="L1506" s="262"/>
    </row>
    <row r="1507">
      <c r="A1507" s="91"/>
      <c r="B1507" s="91"/>
      <c r="C1507" s="91"/>
      <c r="E1507" s="28"/>
      <c r="F1507" s="283"/>
      <c r="G1507" s="284"/>
      <c r="H1507" s="283"/>
      <c r="I1507" s="285"/>
      <c r="K1507" s="285"/>
      <c r="L1507" s="262"/>
    </row>
    <row r="1508">
      <c r="A1508" s="91"/>
      <c r="B1508" s="91"/>
      <c r="C1508" s="91"/>
      <c r="E1508" s="28"/>
      <c r="F1508" s="283"/>
      <c r="G1508" s="284"/>
      <c r="H1508" s="283"/>
      <c r="I1508" s="285"/>
      <c r="K1508" s="285"/>
      <c r="L1508" s="262"/>
    </row>
    <row r="1509">
      <c r="A1509" s="91"/>
      <c r="B1509" s="91"/>
      <c r="C1509" s="91"/>
      <c r="E1509" s="28"/>
      <c r="F1509" s="283"/>
      <c r="G1509" s="284"/>
      <c r="H1509" s="283"/>
      <c r="I1509" s="285"/>
      <c r="K1509" s="285"/>
      <c r="L1509" s="262"/>
    </row>
    <row r="1510">
      <c r="A1510" s="91"/>
      <c r="B1510" s="91"/>
      <c r="C1510" s="91"/>
      <c r="E1510" s="28"/>
      <c r="F1510" s="283"/>
      <c r="G1510" s="284"/>
      <c r="H1510" s="283"/>
      <c r="I1510" s="285"/>
      <c r="K1510" s="285"/>
      <c r="L1510" s="262"/>
    </row>
    <row r="1511">
      <c r="A1511" s="91"/>
      <c r="B1511" s="91"/>
      <c r="C1511" s="91"/>
      <c r="E1511" s="28"/>
      <c r="F1511" s="283"/>
      <c r="G1511" s="284"/>
      <c r="H1511" s="283"/>
      <c r="I1511" s="285"/>
      <c r="K1511" s="285"/>
      <c r="L1511" s="262"/>
    </row>
    <row r="1512">
      <c r="A1512" s="91"/>
      <c r="B1512" s="91"/>
      <c r="C1512" s="91"/>
      <c r="E1512" s="28"/>
      <c r="F1512" s="283"/>
      <c r="G1512" s="284"/>
      <c r="H1512" s="283"/>
      <c r="I1512" s="285"/>
      <c r="K1512" s="285"/>
      <c r="L1512" s="262"/>
    </row>
    <row r="1513">
      <c r="A1513" s="91"/>
      <c r="B1513" s="91"/>
      <c r="C1513" s="91"/>
      <c r="E1513" s="28"/>
      <c r="F1513" s="283"/>
      <c r="G1513" s="284"/>
      <c r="H1513" s="283"/>
      <c r="I1513" s="285"/>
      <c r="K1513" s="285"/>
      <c r="L1513" s="262"/>
    </row>
    <row r="1514">
      <c r="A1514" s="91"/>
      <c r="B1514" s="91"/>
      <c r="C1514" s="91"/>
      <c r="E1514" s="28"/>
      <c r="F1514" s="283"/>
      <c r="G1514" s="284"/>
      <c r="H1514" s="283"/>
      <c r="I1514" s="285"/>
      <c r="K1514" s="285"/>
      <c r="L1514" s="262"/>
    </row>
    <row r="1515">
      <c r="A1515" s="91"/>
      <c r="B1515" s="91"/>
      <c r="C1515" s="91"/>
      <c r="E1515" s="28"/>
      <c r="F1515" s="283"/>
      <c r="G1515" s="284"/>
      <c r="H1515" s="283"/>
      <c r="I1515" s="285"/>
      <c r="K1515" s="285"/>
      <c r="L1515" s="262"/>
    </row>
    <row r="1516">
      <c r="A1516" s="91"/>
      <c r="B1516" s="91"/>
      <c r="C1516" s="91"/>
      <c r="E1516" s="28"/>
      <c r="F1516" s="283"/>
      <c r="G1516" s="284"/>
      <c r="H1516" s="283"/>
      <c r="I1516" s="285"/>
      <c r="K1516" s="285"/>
      <c r="L1516" s="262"/>
    </row>
    <row r="1517">
      <c r="A1517" s="91"/>
      <c r="B1517" s="91"/>
      <c r="C1517" s="91"/>
      <c r="E1517" s="28"/>
      <c r="F1517" s="283"/>
      <c r="G1517" s="284"/>
      <c r="H1517" s="283"/>
      <c r="I1517" s="285"/>
      <c r="K1517" s="285"/>
      <c r="L1517" s="262"/>
    </row>
    <row r="1518">
      <c r="A1518" s="91"/>
      <c r="B1518" s="91"/>
      <c r="C1518" s="91"/>
      <c r="E1518" s="28"/>
      <c r="F1518" s="283"/>
      <c r="G1518" s="284"/>
      <c r="H1518" s="283"/>
      <c r="I1518" s="285"/>
      <c r="K1518" s="285"/>
      <c r="L1518" s="262"/>
    </row>
    <row r="1519">
      <c r="A1519" s="91"/>
      <c r="B1519" s="91"/>
      <c r="C1519" s="91"/>
      <c r="E1519" s="28"/>
      <c r="F1519" s="283"/>
      <c r="G1519" s="284"/>
      <c r="H1519" s="283"/>
      <c r="I1519" s="285"/>
      <c r="K1519" s="285"/>
      <c r="L1519" s="262"/>
    </row>
    <row r="1520">
      <c r="A1520" s="91"/>
      <c r="B1520" s="91"/>
      <c r="C1520" s="91"/>
      <c r="E1520" s="28"/>
      <c r="F1520" s="283"/>
      <c r="G1520" s="284"/>
      <c r="H1520" s="283"/>
      <c r="I1520" s="285"/>
      <c r="K1520" s="285"/>
      <c r="L1520" s="262"/>
    </row>
    <row r="1521">
      <c r="A1521" s="91"/>
      <c r="B1521" s="91"/>
      <c r="C1521" s="91"/>
      <c r="E1521" s="28"/>
      <c r="F1521" s="283"/>
      <c r="G1521" s="284"/>
      <c r="H1521" s="283"/>
      <c r="I1521" s="285"/>
      <c r="K1521" s="285"/>
      <c r="L1521" s="262"/>
    </row>
    <row r="1522">
      <c r="A1522" s="91"/>
      <c r="B1522" s="91"/>
      <c r="C1522" s="91"/>
      <c r="E1522" s="28"/>
      <c r="F1522" s="283"/>
      <c r="G1522" s="284"/>
      <c r="H1522" s="283"/>
      <c r="I1522" s="285"/>
      <c r="K1522" s="285"/>
      <c r="L1522" s="262"/>
    </row>
    <row r="1523">
      <c r="A1523" s="91"/>
      <c r="B1523" s="91"/>
      <c r="C1523" s="91"/>
      <c r="E1523" s="28"/>
      <c r="F1523" s="283"/>
      <c r="G1523" s="284"/>
      <c r="H1523" s="283"/>
      <c r="I1523" s="285"/>
      <c r="K1523" s="285"/>
      <c r="L1523" s="262"/>
    </row>
    <row r="1524">
      <c r="A1524" s="91"/>
      <c r="B1524" s="91"/>
      <c r="C1524" s="91"/>
      <c r="E1524" s="28"/>
      <c r="F1524" s="283"/>
      <c r="G1524" s="284"/>
      <c r="H1524" s="283"/>
      <c r="I1524" s="285"/>
      <c r="K1524" s="285"/>
      <c r="L1524" s="262"/>
    </row>
    <row r="1525">
      <c r="A1525" s="91"/>
      <c r="B1525" s="91"/>
      <c r="C1525" s="91"/>
      <c r="E1525" s="28"/>
      <c r="F1525" s="283"/>
      <c r="G1525" s="284"/>
      <c r="H1525" s="283"/>
      <c r="I1525" s="285"/>
      <c r="K1525" s="285"/>
      <c r="L1525" s="262"/>
    </row>
    <row r="1526">
      <c r="A1526" s="91"/>
      <c r="B1526" s="91"/>
      <c r="C1526" s="91"/>
      <c r="E1526" s="28"/>
      <c r="F1526" s="283"/>
      <c r="G1526" s="284"/>
      <c r="H1526" s="283"/>
      <c r="I1526" s="285"/>
      <c r="K1526" s="285"/>
      <c r="L1526" s="262"/>
    </row>
    <row r="1527">
      <c r="A1527" s="91"/>
      <c r="B1527" s="91"/>
      <c r="C1527" s="91"/>
      <c r="E1527" s="28"/>
      <c r="F1527" s="283"/>
      <c r="G1527" s="284"/>
      <c r="H1527" s="283"/>
      <c r="I1527" s="285"/>
      <c r="K1527" s="285"/>
      <c r="L1527" s="262"/>
    </row>
    <row r="1528">
      <c r="A1528" s="91"/>
      <c r="B1528" s="91"/>
      <c r="C1528" s="91"/>
      <c r="E1528" s="28"/>
      <c r="F1528" s="283"/>
      <c r="G1528" s="284"/>
      <c r="H1528" s="283"/>
      <c r="I1528" s="285"/>
      <c r="K1528" s="285"/>
      <c r="L1528" s="262"/>
    </row>
    <row r="1529">
      <c r="A1529" s="91"/>
      <c r="B1529" s="91"/>
      <c r="C1529" s="91"/>
      <c r="E1529" s="28"/>
      <c r="F1529" s="283"/>
      <c r="G1529" s="284"/>
      <c r="H1529" s="283"/>
      <c r="I1529" s="285"/>
      <c r="K1529" s="285"/>
      <c r="L1529" s="262"/>
    </row>
    <row r="1530">
      <c r="A1530" s="91"/>
      <c r="B1530" s="91"/>
      <c r="C1530" s="91"/>
      <c r="E1530" s="28"/>
      <c r="F1530" s="283"/>
      <c r="G1530" s="284"/>
      <c r="H1530" s="283"/>
      <c r="I1530" s="285"/>
      <c r="K1530" s="285"/>
      <c r="L1530" s="262"/>
    </row>
    <row r="1531">
      <c r="A1531" s="91"/>
      <c r="B1531" s="91"/>
      <c r="C1531" s="91"/>
      <c r="E1531" s="28"/>
      <c r="F1531" s="283"/>
      <c r="G1531" s="284"/>
      <c r="H1531" s="283"/>
      <c r="I1531" s="285"/>
      <c r="K1531" s="285"/>
      <c r="L1531" s="262"/>
    </row>
    <row r="1532">
      <c r="A1532" s="91"/>
      <c r="B1532" s="91"/>
      <c r="C1532" s="91"/>
      <c r="E1532" s="28"/>
      <c r="F1532" s="283"/>
      <c r="G1532" s="284"/>
      <c r="H1532" s="283"/>
      <c r="I1532" s="285"/>
      <c r="K1532" s="285"/>
      <c r="L1532" s="262"/>
    </row>
    <row r="1533">
      <c r="A1533" s="91"/>
      <c r="B1533" s="91"/>
      <c r="C1533" s="91"/>
      <c r="E1533" s="28"/>
      <c r="F1533" s="283"/>
      <c r="G1533" s="284"/>
      <c r="H1533" s="283"/>
      <c r="I1533" s="285"/>
      <c r="K1533" s="285"/>
      <c r="L1533" s="262"/>
    </row>
    <row r="1534">
      <c r="A1534" s="91"/>
      <c r="B1534" s="91"/>
      <c r="C1534" s="91"/>
      <c r="E1534" s="28"/>
      <c r="F1534" s="283"/>
      <c r="G1534" s="284"/>
      <c r="H1534" s="283"/>
      <c r="I1534" s="285"/>
      <c r="K1534" s="285"/>
      <c r="L1534" s="262"/>
    </row>
    <row r="1535">
      <c r="A1535" s="91"/>
      <c r="B1535" s="91"/>
      <c r="C1535" s="91"/>
      <c r="E1535" s="28"/>
      <c r="F1535" s="283"/>
      <c r="G1535" s="284"/>
      <c r="H1535" s="283"/>
      <c r="I1535" s="285"/>
      <c r="K1535" s="285"/>
      <c r="L1535" s="262"/>
    </row>
    <row r="1536">
      <c r="A1536" s="91"/>
      <c r="B1536" s="91"/>
      <c r="C1536" s="91"/>
      <c r="E1536" s="28"/>
      <c r="F1536" s="283"/>
      <c r="G1536" s="284"/>
      <c r="H1536" s="283"/>
      <c r="I1536" s="285"/>
      <c r="K1536" s="285"/>
      <c r="L1536" s="262"/>
    </row>
    <row r="1537">
      <c r="A1537" s="91"/>
      <c r="B1537" s="91"/>
      <c r="C1537" s="91"/>
      <c r="E1537" s="28"/>
      <c r="F1537" s="283"/>
      <c r="G1537" s="284"/>
      <c r="H1537" s="283"/>
      <c r="I1537" s="285"/>
      <c r="K1537" s="285"/>
      <c r="L1537" s="262"/>
    </row>
    <row r="1538">
      <c r="A1538" s="91"/>
      <c r="B1538" s="91"/>
      <c r="C1538" s="91"/>
      <c r="E1538" s="28"/>
      <c r="F1538" s="283"/>
      <c r="G1538" s="284"/>
      <c r="H1538" s="283"/>
      <c r="I1538" s="285"/>
      <c r="K1538" s="285"/>
      <c r="L1538" s="262"/>
    </row>
    <row r="1539">
      <c r="A1539" s="91"/>
      <c r="B1539" s="91"/>
      <c r="C1539" s="91"/>
      <c r="E1539" s="28"/>
      <c r="F1539" s="283"/>
      <c r="G1539" s="284"/>
      <c r="H1539" s="283"/>
      <c r="I1539" s="285"/>
      <c r="K1539" s="285"/>
      <c r="L1539" s="262"/>
    </row>
    <row r="1540">
      <c r="A1540" s="91"/>
      <c r="B1540" s="91"/>
      <c r="C1540" s="91"/>
      <c r="E1540" s="28"/>
      <c r="F1540" s="283"/>
      <c r="G1540" s="284"/>
      <c r="H1540" s="283"/>
      <c r="I1540" s="285"/>
      <c r="K1540" s="285"/>
      <c r="L1540" s="262"/>
    </row>
    <row r="1541">
      <c r="A1541" s="91"/>
      <c r="B1541" s="91"/>
      <c r="C1541" s="91"/>
      <c r="E1541" s="28"/>
      <c r="F1541" s="283"/>
      <c r="G1541" s="284"/>
      <c r="H1541" s="283"/>
      <c r="I1541" s="285"/>
      <c r="K1541" s="285"/>
      <c r="L1541" s="262"/>
    </row>
    <row r="1542">
      <c r="A1542" s="91"/>
      <c r="B1542" s="91"/>
      <c r="C1542" s="91"/>
      <c r="E1542" s="28"/>
      <c r="F1542" s="283"/>
      <c r="G1542" s="284"/>
      <c r="H1542" s="283"/>
      <c r="I1542" s="285"/>
      <c r="K1542" s="285"/>
      <c r="L1542" s="262"/>
    </row>
    <row r="1543">
      <c r="A1543" s="91"/>
      <c r="B1543" s="91"/>
      <c r="C1543" s="91"/>
      <c r="E1543" s="28"/>
      <c r="F1543" s="283"/>
      <c r="G1543" s="284"/>
      <c r="H1543" s="283"/>
      <c r="I1543" s="285"/>
      <c r="K1543" s="285"/>
      <c r="L1543" s="262"/>
    </row>
    <row r="1544">
      <c r="A1544" s="91"/>
      <c r="B1544" s="91"/>
      <c r="C1544" s="91"/>
      <c r="E1544" s="28"/>
      <c r="F1544" s="283"/>
      <c r="G1544" s="284"/>
      <c r="H1544" s="283"/>
      <c r="I1544" s="285"/>
      <c r="K1544" s="285"/>
      <c r="L1544" s="262"/>
    </row>
    <row r="1545">
      <c r="A1545" s="91"/>
      <c r="B1545" s="91"/>
      <c r="C1545" s="91"/>
      <c r="E1545" s="28"/>
      <c r="F1545" s="283"/>
      <c r="G1545" s="284"/>
      <c r="H1545" s="283"/>
      <c r="I1545" s="285"/>
      <c r="K1545" s="285"/>
      <c r="L1545" s="262"/>
    </row>
    <row r="1546">
      <c r="A1546" s="91"/>
      <c r="B1546" s="91"/>
      <c r="C1546" s="91"/>
      <c r="E1546" s="28"/>
      <c r="F1546" s="283"/>
      <c r="G1546" s="284"/>
      <c r="H1546" s="283"/>
      <c r="I1546" s="285"/>
      <c r="K1546" s="285"/>
      <c r="L1546" s="262"/>
    </row>
    <row r="1547">
      <c r="A1547" s="91"/>
      <c r="B1547" s="91"/>
      <c r="C1547" s="91"/>
      <c r="E1547" s="28"/>
      <c r="F1547" s="283"/>
      <c r="G1547" s="284"/>
      <c r="H1547" s="283"/>
      <c r="I1547" s="285"/>
      <c r="K1547" s="285"/>
      <c r="L1547" s="262"/>
    </row>
    <row r="1548">
      <c r="A1548" s="91"/>
      <c r="B1548" s="91"/>
      <c r="C1548" s="91"/>
      <c r="E1548" s="28"/>
      <c r="F1548" s="283"/>
      <c r="G1548" s="284"/>
      <c r="H1548" s="283"/>
      <c r="I1548" s="285"/>
      <c r="K1548" s="285"/>
      <c r="L1548" s="262"/>
    </row>
    <row r="1549">
      <c r="A1549" s="91"/>
      <c r="B1549" s="91"/>
      <c r="C1549" s="91"/>
      <c r="E1549" s="28"/>
      <c r="F1549" s="283"/>
      <c r="G1549" s="284"/>
      <c r="H1549" s="283"/>
      <c r="I1549" s="285"/>
      <c r="K1549" s="285"/>
      <c r="L1549" s="262"/>
    </row>
    <row r="1550">
      <c r="A1550" s="91"/>
      <c r="B1550" s="91"/>
      <c r="C1550" s="91"/>
      <c r="E1550" s="28"/>
      <c r="F1550" s="283"/>
      <c r="G1550" s="284"/>
      <c r="H1550" s="283"/>
      <c r="I1550" s="285"/>
      <c r="K1550" s="285"/>
      <c r="L1550" s="262"/>
    </row>
    <row r="1551">
      <c r="A1551" s="91"/>
      <c r="B1551" s="91"/>
      <c r="C1551" s="91"/>
      <c r="E1551" s="28"/>
      <c r="F1551" s="283"/>
      <c r="G1551" s="284"/>
      <c r="H1551" s="283"/>
      <c r="I1551" s="285"/>
      <c r="K1551" s="285"/>
      <c r="L1551" s="262"/>
    </row>
    <row r="1552">
      <c r="A1552" s="91"/>
      <c r="B1552" s="91"/>
      <c r="C1552" s="91"/>
      <c r="E1552" s="28"/>
      <c r="F1552" s="283"/>
      <c r="G1552" s="284"/>
      <c r="H1552" s="283"/>
      <c r="I1552" s="285"/>
      <c r="K1552" s="285"/>
      <c r="L1552" s="262"/>
    </row>
    <row r="1553">
      <c r="A1553" s="91"/>
      <c r="B1553" s="91"/>
      <c r="C1553" s="91"/>
      <c r="E1553" s="28"/>
      <c r="F1553" s="283"/>
      <c r="G1553" s="284"/>
      <c r="H1553" s="283"/>
      <c r="I1553" s="285"/>
      <c r="K1553" s="285"/>
      <c r="L1553" s="262"/>
    </row>
    <row r="1554">
      <c r="A1554" s="91"/>
      <c r="B1554" s="91"/>
      <c r="C1554" s="91"/>
      <c r="E1554" s="28"/>
      <c r="F1554" s="283"/>
      <c r="G1554" s="284"/>
      <c r="H1554" s="283"/>
      <c r="I1554" s="285"/>
      <c r="K1554" s="285"/>
      <c r="L1554" s="262"/>
    </row>
    <row r="1555">
      <c r="A1555" s="91"/>
      <c r="B1555" s="91"/>
      <c r="C1555" s="91"/>
      <c r="E1555" s="28"/>
      <c r="F1555" s="283"/>
      <c r="G1555" s="284"/>
      <c r="H1555" s="283"/>
      <c r="I1555" s="285"/>
      <c r="K1555" s="285"/>
      <c r="L1555" s="262"/>
    </row>
    <row r="1556">
      <c r="A1556" s="91"/>
      <c r="B1556" s="91"/>
      <c r="C1556" s="91"/>
      <c r="E1556" s="28"/>
      <c r="F1556" s="283"/>
      <c r="G1556" s="284"/>
      <c r="H1556" s="283"/>
      <c r="I1556" s="285"/>
      <c r="K1556" s="285"/>
      <c r="L1556" s="262"/>
    </row>
    <row r="1557">
      <c r="A1557" s="91"/>
      <c r="B1557" s="91"/>
      <c r="C1557" s="91"/>
      <c r="E1557" s="28"/>
      <c r="F1557" s="283"/>
      <c r="G1557" s="284"/>
      <c r="H1557" s="283"/>
      <c r="I1557" s="285"/>
      <c r="K1557" s="285"/>
      <c r="L1557" s="262"/>
    </row>
    <row r="1558">
      <c r="A1558" s="91"/>
      <c r="B1558" s="91"/>
      <c r="C1558" s="91"/>
      <c r="E1558" s="28"/>
      <c r="F1558" s="283"/>
      <c r="G1558" s="284"/>
      <c r="H1558" s="283"/>
      <c r="I1558" s="285"/>
      <c r="K1558" s="285"/>
      <c r="L1558" s="262"/>
    </row>
    <row r="1559">
      <c r="A1559" s="91"/>
      <c r="B1559" s="91"/>
      <c r="C1559" s="91"/>
      <c r="E1559" s="28"/>
      <c r="F1559" s="283"/>
      <c r="G1559" s="284"/>
      <c r="H1559" s="283"/>
      <c r="I1559" s="285"/>
      <c r="K1559" s="285"/>
      <c r="L1559" s="262"/>
    </row>
    <row r="1560">
      <c r="A1560" s="91"/>
      <c r="B1560" s="91"/>
      <c r="C1560" s="91"/>
      <c r="E1560" s="28"/>
      <c r="F1560" s="283"/>
      <c r="G1560" s="284"/>
      <c r="H1560" s="283"/>
      <c r="I1560" s="285"/>
      <c r="K1560" s="285"/>
      <c r="L1560" s="262"/>
    </row>
    <row r="1561">
      <c r="A1561" s="91"/>
      <c r="B1561" s="91"/>
      <c r="C1561" s="91"/>
      <c r="E1561" s="28"/>
      <c r="F1561" s="283"/>
      <c r="G1561" s="284"/>
      <c r="H1561" s="283"/>
      <c r="I1561" s="285"/>
      <c r="K1561" s="285"/>
      <c r="L1561" s="262"/>
    </row>
    <row r="1562">
      <c r="A1562" s="91"/>
      <c r="B1562" s="91"/>
      <c r="C1562" s="91"/>
      <c r="E1562" s="28"/>
      <c r="F1562" s="283"/>
      <c r="G1562" s="284"/>
      <c r="H1562" s="283"/>
      <c r="I1562" s="285"/>
      <c r="K1562" s="285"/>
      <c r="L1562" s="262"/>
    </row>
    <row r="1563">
      <c r="A1563" s="91"/>
      <c r="B1563" s="91"/>
      <c r="C1563" s="91"/>
      <c r="E1563" s="28"/>
      <c r="F1563" s="283"/>
      <c r="G1563" s="284"/>
      <c r="H1563" s="283"/>
      <c r="I1563" s="285"/>
      <c r="K1563" s="285"/>
      <c r="L1563" s="262"/>
    </row>
    <row r="1564">
      <c r="A1564" s="91"/>
      <c r="B1564" s="91"/>
      <c r="C1564" s="91"/>
      <c r="E1564" s="28"/>
      <c r="F1564" s="283"/>
      <c r="G1564" s="284"/>
      <c r="H1564" s="283"/>
      <c r="I1564" s="285"/>
      <c r="K1564" s="285"/>
      <c r="L1564" s="262"/>
    </row>
  </sheetData>
  <mergeCells count="8">
    <mergeCell ref="A2:A3"/>
    <mergeCell ref="B2:B3"/>
    <mergeCell ref="C2:C3"/>
    <mergeCell ref="D2:D3"/>
    <mergeCell ref="E2:E3"/>
    <mergeCell ref="F2:G2"/>
    <mergeCell ref="H2:I2"/>
    <mergeCell ref="J2:L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